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2DFE8E80-6434-4C9E-96ED-CF28C122F0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717" i="1" l="1"/>
  <c r="AK4717" i="1" s="1"/>
  <c r="AL4711" i="1"/>
  <c r="AL4710" i="1"/>
  <c r="AL4652" i="1"/>
  <c r="AL4651" i="1"/>
  <c r="AL4638" i="1"/>
  <c r="AL4637" i="1"/>
  <c r="AL4636" i="1"/>
  <c r="AL4635" i="1"/>
  <c r="AL4634" i="1"/>
  <c r="AL3637" i="1"/>
  <c r="AK4707" i="1"/>
  <c r="AL4707" i="1"/>
  <c r="AK4708" i="1"/>
  <c r="AL4708" i="1"/>
  <c r="AK4709" i="1"/>
  <c r="AL4709" i="1"/>
  <c r="AK4710" i="1"/>
  <c r="AK4711" i="1"/>
  <c r="AK4712" i="1"/>
  <c r="AL4712" i="1"/>
  <c r="AK4713" i="1"/>
  <c r="AL4713" i="1"/>
  <c r="AK4714" i="1"/>
  <c r="AL4714" i="1"/>
  <c r="AK4716" i="1"/>
  <c r="AL4716" i="1"/>
  <c r="AK4718" i="1"/>
  <c r="AL4718" i="1"/>
  <c r="AK4719" i="1"/>
  <c r="AL4719" i="1"/>
  <c r="AK4720" i="1"/>
  <c r="AL4720" i="1"/>
  <c r="AK4721" i="1"/>
  <c r="AL4721" i="1"/>
  <c r="W4715" i="1"/>
  <c r="X4715" i="1" s="1"/>
  <c r="X4710" i="1"/>
  <c r="W2365" i="1"/>
  <c r="AL2365" i="1" s="1"/>
  <c r="X4708" i="1"/>
  <c r="X4709" i="1"/>
  <c r="X4711" i="1"/>
  <c r="X4712" i="1"/>
  <c r="X4713" i="1"/>
  <c r="X4714" i="1"/>
  <c r="X4716" i="1"/>
  <c r="X4717" i="1"/>
  <c r="X4718" i="1"/>
  <c r="X4719" i="1"/>
  <c r="X4720" i="1"/>
  <c r="X4721" i="1"/>
  <c r="U4709" i="1"/>
  <c r="V4709" i="1" s="1"/>
  <c r="U4710" i="1"/>
  <c r="V4710" i="1" s="1"/>
  <c r="U4711" i="1"/>
  <c r="V4711" i="1" s="1"/>
  <c r="U4712" i="1"/>
  <c r="V4712" i="1" s="1"/>
  <c r="U4713" i="1"/>
  <c r="V4713" i="1" s="1"/>
  <c r="U4714" i="1"/>
  <c r="V4714" i="1" s="1"/>
  <c r="U4715" i="1"/>
  <c r="V4715" i="1" s="1"/>
  <c r="U4716" i="1"/>
  <c r="V4716" i="1" s="1"/>
  <c r="U4717" i="1"/>
  <c r="V4717" i="1" s="1"/>
  <c r="U4718" i="1"/>
  <c r="V4718" i="1" s="1"/>
  <c r="U4719" i="1"/>
  <c r="V4719" i="1" s="1"/>
  <c r="U4720" i="1"/>
  <c r="V4720" i="1" s="1"/>
  <c r="U4721" i="1"/>
  <c r="V4721" i="1" s="1"/>
  <c r="U4708" i="1"/>
  <c r="V4708" i="1" s="1"/>
  <c r="AK4677" i="1"/>
  <c r="AL4677" i="1"/>
  <c r="AK4678" i="1"/>
  <c r="AL4678" i="1"/>
  <c r="AK4679" i="1"/>
  <c r="AL4679" i="1"/>
  <c r="AK4680" i="1"/>
  <c r="AL4680" i="1"/>
  <c r="AK4681" i="1"/>
  <c r="AL4681" i="1"/>
  <c r="AK4682" i="1"/>
  <c r="AL4682" i="1"/>
  <c r="AK4683" i="1"/>
  <c r="AL4683" i="1"/>
  <c r="AK4684" i="1"/>
  <c r="AL4684" i="1"/>
  <c r="AK4685" i="1"/>
  <c r="AL4685" i="1"/>
  <c r="AK4686" i="1"/>
  <c r="AL4686" i="1"/>
  <c r="AK4687" i="1"/>
  <c r="AL4687" i="1"/>
  <c r="AK4688" i="1"/>
  <c r="AL4688" i="1"/>
  <c r="AK4689" i="1"/>
  <c r="AL4689" i="1"/>
  <c r="AK4690" i="1"/>
  <c r="AL4690" i="1"/>
  <c r="AK4691" i="1"/>
  <c r="AL4691" i="1"/>
  <c r="AK4692" i="1"/>
  <c r="AL4692" i="1"/>
  <c r="AK4693" i="1"/>
  <c r="AL4693" i="1"/>
  <c r="AK4694" i="1"/>
  <c r="AL4694" i="1"/>
  <c r="AK4695" i="1"/>
  <c r="AL4695" i="1"/>
  <c r="AK4696" i="1"/>
  <c r="AL4696" i="1"/>
  <c r="AK4697" i="1"/>
  <c r="AL4697" i="1"/>
  <c r="AK4699" i="1"/>
  <c r="AL4699" i="1"/>
  <c r="AK4700" i="1"/>
  <c r="AL4700" i="1"/>
  <c r="AK4701" i="1"/>
  <c r="AL4701" i="1"/>
  <c r="AK4702" i="1"/>
  <c r="AL4702" i="1"/>
  <c r="AK4706" i="1"/>
  <c r="AL4706" i="1"/>
  <c r="AL3534" i="1"/>
  <c r="X3534" i="1"/>
  <c r="W4694" i="1"/>
  <c r="X4694" i="1" s="1"/>
  <c r="W4693" i="1"/>
  <c r="W4692" i="1"/>
  <c r="X4692" i="1" s="1"/>
  <c r="W4691" i="1"/>
  <c r="W4687" i="1"/>
  <c r="W4705" i="1"/>
  <c r="AL4705" i="1" s="1"/>
  <c r="W4704" i="1"/>
  <c r="X4704" i="1" s="1"/>
  <c r="W4706" i="1"/>
  <c r="W4701" i="1"/>
  <c r="AF4677" i="1"/>
  <c r="W4676" i="1"/>
  <c r="X4676" i="1" s="1"/>
  <c r="W4675" i="1"/>
  <c r="X4675" i="1" s="1"/>
  <c r="W4703" i="1"/>
  <c r="X4703" i="1" s="1"/>
  <c r="W4698" i="1"/>
  <c r="X4698" i="1" s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3" i="1"/>
  <c r="X4695" i="1"/>
  <c r="X4696" i="1"/>
  <c r="X4697" i="1"/>
  <c r="X4699" i="1"/>
  <c r="X4700" i="1"/>
  <c r="X4701" i="1"/>
  <c r="X4702" i="1"/>
  <c r="X4706" i="1"/>
  <c r="X4707" i="1"/>
  <c r="U4676" i="1"/>
  <c r="V4676" i="1" s="1"/>
  <c r="U4677" i="1"/>
  <c r="V4677" i="1" s="1"/>
  <c r="U4678" i="1"/>
  <c r="V4678" i="1" s="1"/>
  <c r="U4679" i="1"/>
  <c r="V4679" i="1" s="1"/>
  <c r="U4680" i="1"/>
  <c r="V4680" i="1" s="1"/>
  <c r="U4681" i="1"/>
  <c r="V4681" i="1" s="1"/>
  <c r="U4682" i="1"/>
  <c r="V4682" i="1" s="1"/>
  <c r="U4683" i="1"/>
  <c r="V4683" i="1" s="1"/>
  <c r="U4684" i="1"/>
  <c r="V4684" i="1" s="1"/>
  <c r="U4685" i="1"/>
  <c r="V4685" i="1" s="1"/>
  <c r="U4686" i="1"/>
  <c r="V4686" i="1" s="1"/>
  <c r="U4687" i="1"/>
  <c r="V4687" i="1" s="1"/>
  <c r="U4688" i="1"/>
  <c r="V4688" i="1" s="1"/>
  <c r="U4689" i="1"/>
  <c r="V4689" i="1" s="1"/>
  <c r="U4690" i="1"/>
  <c r="V4690" i="1" s="1"/>
  <c r="U4691" i="1"/>
  <c r="V4691" i="1" s="1"/>
  <c r="U4692" i="1"/>
  <c r="V4692" i="1" s="1"/>
  <c r="U4693" i="1"/>
  <c r="V4693" i="1" s="1"/>
  <c r="U4694" i="1"/>
  <c r="V4694" i="1" s="1"/>
  <c r="U4695" i="1"/>
  <c r="V4695" i="1" s="1"/>
  <c r="U4696" i="1"/>
  <c r="V4696" i="1" s="1"/>
  <c r="U4697" i="1"/>
  <c r="V4697" i="1" s="1"/>
  <c r="U4698" i="1"/>
  <c r="V4698" i="1" s="1"/>
  <c r="U4699" i="1"/>
  <c r="V4699" i="1" s="1"/>
  <c r="U4700" i="1"/>
  <c r="V4700" i="1" s="1"/>
  <c r="U4701" i="1"/>
  <c r="V4701" i="1" s="1"/>
  <c r="U4702" i="1"/>
  <c r="V4702" i="1" s="1"/>
  <c r="U4703" i="1"/>
  <c r="V4703" i="1" s="1"/>
  <c r="U4704" i="1"/>
  <c r="V4704" i="1" s="1"/>
  <c r="U4705" i="1"/>
  <c r="V4705" i="1" s="1"/>
  <c r="U4706" i="1"/>
  <c r="V4706" i="1" s="1"/>
  <c r="U4707" i="1"/>
  <c r="V4707" i="1" s="1"/>
  <c r="U4675" i="1"/>
  <c r="V4675" i="1" s="1"/>
  <c r="W2751" i="1"/>
  <c r="AK2751" i="1" s="1"/>
  <c r="W4669" i="1"/>
  <c r="X4669" i="1" s="1"/>
  <c r="W4668" i="1"/>
  <c r="X4668" i="1" s="1"/>
  <c r="W4667" i="1"/>
  <c r="AK4667" i="1" s="1"/>
  <c r="W4653" i="1"/>
  <c r="AK4653" i="1" s="1"/>
  <c r="AK4666" i="1"/>
  <c r="AL4666" i="1"/>
  <c r="AK4670" i="1"/>
  <c r="AL4670" i="1"/>
  <c r="AK4671" i="1"/>
  <c r="AL4671" i="1"/>
  <c r="AK4672" i="1"/>
  <c r="AL4672" i="1"/>
  <c r="W4674" i="1"/>
  <c r="AL4674" i="1" s="1"/>
  <c r="W4673" i="1"/>
  <c r="X4673" i="1" s="1"/>
  <c r="X4666" i="1"/>
  <c r="X4670" i="1"/>
  <c r="X4671" i="1"/>
  <c r="X4672" i="1"/>
  <c r="U4667" i="1"/>
  <c r="V4667" i="1" s="1"/>
  <c r="U4668" i="1"/>
  <c r="V4668" i="1" s="1"/>
  <c r="U4669" i="1"/>
  <c r="V4669" i="1" s="1"/>
  <c r="U4670" i="1"/>
  <c r="V4670" i="1" s="1"/>
  <c r="U4671" i="1"/>
  <c r="V4671" i="1" s="1"/>
  <c r="U4672" i="1"/>
  <c r="V4672" i="1" s="1"/>
  <c r="U4673" i="1"/>
  <c r="V4673" i="1" s="1"/>
  <c r="U4674" i="1"/>
  <c r="V4674" i="1" s="1"/>
  <c r="U4666" i="1"/>
  <c r="V4666" i="1" s="1"/>
  <c r="W4654" i="1"/>
  <c r="AK4654" i="1" s="1"/>
  <c r="W4663" i="1"/>
  <c r="X4663" i="1" s="1"/>
  <c r="W4665" i="1"/>
  <c r="AL4665" i="1" s="1"/>
  <c r="W4662" i="1"/>
  <c r="W4661" i="1"/>
  <c r="W4656" i="1"/>
  <c r="X4656" i="1" s="1"/>
  <c r="W4660" i="1"/>
  <c r="X4660" i="1" s="1"/>
  <c r="X4655" i="1"/>
  <c r="X4657" i="1"/>
  <c r="X4658" i="1"/>
  <c r="X4659" i="1"/>
  <c r="X4661" i="1"/>
  <c r="X4662" i="1"/>
  <c r="X4664" i="1"/>
  <c r="AK4655" i="1"/>
  <c r="AL4655" i="1"/>
  <c r="AK4657" i="1"/>
  <c r="AL4657" i="1"/>
  <c r="AK4658" i="1"/>
  <c r="AL4658" i="1"/>
  <c r="AK4659" i="1"/>
  <c r="AL4659" i="1"/>
  <c r="AK4661" i="1"/>
  <c r="AL4661" i="1"/>
  <c r="AK4662" i="1"/>
  <c r="AL4662" i="1"/>
  <c r="AK4663" i="1"/>
  <c r="AL4663" i="1"/>
  <c r="AK4664" i="1"/>
  <c r="AL4664" i="1"/>
  <c r="U4654" i="1"/>
  <c r="V4654" i="1" s="1"/>
  <c r="U4655" i="1"/>
  <c r="V4655" i="1" s="1"/>
  <c r="U4656" i="1"/>
  <c r="V4656" i="1" s="1"/>
  <c r="U4657" i="1"/>
  <c r="V4657" i="1" s="1"/>
  <c r="U4658" i="1"/>
  <c r="V4658" i="1" s="1"/>
  <c r="U4659" i="1"/>
  <c r="V4659" i="1" s="1"/>
  <c r="U4660" i="1"/>
  <c r="V4660" i="1" s="1"/>
  <c r="U4661" i="1"/>
  <c r="V4661" i="1" s="1"/>
  <c r="U4662" i="1"/>
  <c r="V4662" i="1" s="1"/>
  <c r="U4663" i="1"/>
  <c r="V4663" i="1" s="1"/>
  <c r="U4664" i="1"/>
  <c r="V4664" i="1" s="1"/>
  <c r="U4665" i="1"/>
  <c r="V4665" i="1" s="1"/>
  <c r="U4653" i="1"/>
  <c r="V4653" i="1" s="1"/>
  <c r="W4643" i="1"/>
  <c r="X4643" i="1" s="1"/>
  <c r="AK4641" i="1"/>
  <c r="AL4641" i="1"/>
  <c r="AK4642" i="1"/>
  <c r="AL4642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K4635" i="1"/>
  <c r="AK4636" i="1"/>
  <c r="AK4637" i="1"/>
  <c r="AK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K3534" i="1"/>
  <c r="AJ3534" i="1"/>
  <c r="AF3534" i="1" s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J2751" i="1"/>
  <c r="AF2751" i="1" s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J2365" i="1"/>
  <c r="AF2365" i="1" s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4717" i="1" l="1"/>
  <c r="AL4715" i="1"/>
  <c r="AK4715" i="1"/>
  <c r="X2365" i="1"/>
  <c r="AL4698" i="1"/>
  <c r="AK4703" i="1"/>
  <c r="AL4675" i="1"/>
  <c r="AK4698" i="1"/>
  <c r="AK2365" i="1"/>
  <c r="AK4705" i="1"/>
  <c r="AL4676" i="1"/>
  <c r="AK4675" i="1"/>
  <c r="AL4704" i="1"/>
  <c r="AK4704" i="1"/>
  <c r="AL4703" i="1"/>
  <c r="AK4676" i="1"/>
  <c r="X4705" i="1"/>
  <c r="AL2751" i="1"/>
  <c r="X2751" i="1"/>
  <c r="AL4668" i="1"/>
  <c r="X4653" i="1"/>
  <c r="AK4669" i="1"/>
  <c r="X4667" i="1"/>
  <c r="AK4668" i="1"/>
  <c r="AL4667" i="1"/>
  <c r="AL4653" i="1"/>
  <c r="AL4669" i="1"/>
  <c r="X2928" i="1"/>
  <c r="AL4673" i="1"/>
  <c r="AK4674" i="1"/>
  <c r="AK4673" i="1"/>
  <c r="X4674" i="1"/>
  <c r="X4654" i="1"/>
  <c r="AL4654" i="1"/>
  <c r="AL4660" i="1"/>
  <c r="AK4665" i="1"/>
  <c r="AK4660" i="1"/>
  <c r="X4665" i="1"/>
  <c r="AK4656" i="1"/>
  <c r="AL4656" i="1"/>
  <c r="AL4643" i="1"/>
  <c r="AK4643" i="1"/>
  <c r="X4626" i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<sst xmlns="http://schemas.openxmlformats.org/spreadsheetml/2006/main" count="64147" uniqueCount="3557">
  <si>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</si>
  <si>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</si>
  <si>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</si>
  <si>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</si>
  <si>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</si>
  <si>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</si>
  <si>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</si>
  <si>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</si>
  <si>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</si>
  <si>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</si>
  <si>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</si>
  <si>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</si>
  <si>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</si>
  <si>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</si>
  <si>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</si>
  <si>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</si>
  <si>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</si>
  <si>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</si>
  <si>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</si>
  <si>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</si>
  <si>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</si>
  <si>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</si>
  <si>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</si>
  <si>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</si>
  <si>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</si>
  <si>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</si>
  <si>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</si>
  <si>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</si>
  <si>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</si>
  <si>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</si>
  <si>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</si>
  <si>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</si>
  <si>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</si>
  <si>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</si>
  <si>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</si>
  <si>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</si>
  <si>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</si>
  <si>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</si>
  <si>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</si>
  <si>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</si>
  <si>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</si>
  <si>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</si>
  <si>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</si>
  <si>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</si>
  <si>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</si>
  <si>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</si>
  <si>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</si>
  <si>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</si>
  <si>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</si>
  <si>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</si>
  <si>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</si>
  <si>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</si>
  <si>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</si>
  <si>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</si>
  <si>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</si>
  <si>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</si>
  <si>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</si>
  <si>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</si>
  <si>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</si>
  <si>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</si>
  <si>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</si>
  <si>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</si>
  <si>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</si>
  <si>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</si>
  <si>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</si>
  <si>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</si>
  <si>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</si>
  <si>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</si>
  <si>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</si>
  <si>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</si>
  <si>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</si>
  <si>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</si>
  <si>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</si>
  <si>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</si>
  <si>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</si>
  <si>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</si>
  <si>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</si>
  <si>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</si>
  <si>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</si>
  <si>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</si>
  <si>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</si>
  <si>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</si>
  <si>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</si>
  <si>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</si>
  <si>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</si>
  <si>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</si>
  <si>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</si>
  <si>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</si>
  <si>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</si>
  <si>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</si>
  <si>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</si>
  <si>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</si>
  <si>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</si>
  <si>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</si>
  <si>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</si>
  <si>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</si>
  <si>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</si>
  <si>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</si>
  <si>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</si>
  <si>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</si>
  <si>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</si>
  <si>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</si>
  <si>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</si>
  <si>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</si>
  <si>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</si>
  <si>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</si>
  <si>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</si>
  <si>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</si>
  <si>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</si>
  <si>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</si>
  <si>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</si>
  <si>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</si>
  <si>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</si>
  <si>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</si>
  <si>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</si>
  <si>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</si>
  <si>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</si>
  <si>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</si>
  <si>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</si>
  <si>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</si>
  <si>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</si>
  <si>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</si>
  <si>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</si>
  <si>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</si>
  <si>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</si>
  <si>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</si>
  <si>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</si>
  <si>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</si>
  <si>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</si>
  <si>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</si>
  <si>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</si>
  <si>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</si>
  <si>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</si>
  <si>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</si>
  <si>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</si>
  <si>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</si>
  <si>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</si>
  <si>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</si>
  <si>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</si>
  <si>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</si>
  <si>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</si>
  <si>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</si>
  <si>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</si>
  <si>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</si>
  <si>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</si>
  <si>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</si>
  <si>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</si>
  <si>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</si>
  <si>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</si>
  <si>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</si>
  <si>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</si>
  <si>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</si>
  <si>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</si>
  <si>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</si>
  <si>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</si>
  <si>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</si>
  <si>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</si>
  <si>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</si>
  <si>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</si>
  <si>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</si>
  <si>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</si>
  <si>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</si>
  <si>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</si>
  <si>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</si>
  <si>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</si>
  <si>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</si>
  <si>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</si>
  <si>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</si>
  <si>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</si>
  <si>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</si>
  <si>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</si>
  <si>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</si>
  <si>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</si>
  <si>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</si>
  <si>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</si>
  <si>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</si>
  <si>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</si>
  <si>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</si>
  <si>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</si>
  <si>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</si>
  <si>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</si>
  <si>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</si>
  <si>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</si>
  <si>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</si>
  <si>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</si>
  <si>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</si>
  <si>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</si>
  <si>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</si>
  <si>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</si>
  <si>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</si>
  <si>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</si>
  <si>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</si>
  <si>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</si>
  <si>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</si>
  <si>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</si>
  <si>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</si>
  <si>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</si>
  <si>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</si>
  <si>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</si>
  <si>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</si>
  <si>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</si>
  <si>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</si>
  <si>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</si>
  <si>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</si>
  <si>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</si>
  <si>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</si>
  <si>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</si>
  <si>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</si>
  <si>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</si>
  <si>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</si>
  <si>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</si>
  <si>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</si>
  <si>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</si>
  <si>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</si>
  <si>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</si>
  <si>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</si>
  <si>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</si>
  <si>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</si>
  <si>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</si>
  <si>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</si>
  <si>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</si>
  <si>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</si>
  <si>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</si>
  <si>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</si>
  <si>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</si>
  <si>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</si>
  <si>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</si>
  <si>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</si>
  <si>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</si>
  <si>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</si>
  <si>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</si>
  <si>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</si>
  <si>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</si>
  <si>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</si>
  <si>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</si>
  <si>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</si>
  <si>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</si>
  <si>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</si>
  <si>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</si>
  <si>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</si>
  <si>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</si>
  <si>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</si>
  <si>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</si>
  <si>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</si>
  <si>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</si>
  <si>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</si>
  <si>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</si>
  <si>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</si>
  <si>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</si>
  <si>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</si>
  <si>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</si>
  <si>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</si>
  <si>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</si>
  <si>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</si>
  <si>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</si>
  <si>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</si>
  <si>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</si>
  <si>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</si>
  <si>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</si>
  <si>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</si>
  <si>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</si>
  <si>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</si>
  <si>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</si>
  <si>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</si>
  <si>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</si>
  <si>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</si>
  <si>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</si>
  <si>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</si>
  <si>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</si>
  <si>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</si>
  <si>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</si>
  <si>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</si>
  <si>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</si>
  <si>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</si>
  <si>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</si>
  <si>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</si>
  <si>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</si>
  <si>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</si>
  <si>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</si>
  <si>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</si>
  <si>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</si>
  <si>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</si>
  <si>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</si>
  <si>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</si>
  <si>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</si>
  <si>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</si>
  <si>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</si>
  <si>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</si>
  <si>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</si>
  <si>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</si>
  <si>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</si>
  <si>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</si>
  <si>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</si>
  <si>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</si>
  <si>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</si>
  <si>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</si>
  <si>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</si>
  <si>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</si>
  <si>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</si>
  <si>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</si>
  <si>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</si>
  <si>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</si>
  <si>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</si>
  <si>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</si>
  <si>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</si>
  <si>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</si>
  <si>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</si>
  <si>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</si>
  <si>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</si>
  <si>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</si>
  <si>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</si>
  <si>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</si>
  <si>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</si>
  <si>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</si>
  <si>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</si>
  <si>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</si>
  <si>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</si>
  <si>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</si>
  <si>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</si>
  <si>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</si>
  <si>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</si>
  <si>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</si>
  <si>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</si>
  <si>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</si>
  <si>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</si>
  <si>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</si>
  <si>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</si>
  <si>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</si>
  <si>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</si>
  <si>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</si>
  <si>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</si>
  <si>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</si>
  <si>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</si>
  <si>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</si>
  <si>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</si>
  <si>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</si>
  <si>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</si>
  <si>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</si>
  <si>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</si>
  <si>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</si>
  <si>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</si>
  <si>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</si>
  <si>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</si>
  <si>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</si>
  <si>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</si>
  <si>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</si>
  <si>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</si>
  <si>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</si>
  <si>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</si>
  <si>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</si>
  <si>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</si>
  <si>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</si>
  <si>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</si>
  <si>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</si>
  <si>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</si>
  <si>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</si>
  <si>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</si>
  <si>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</si>
  <si>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</si>
  <si>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</si>
  <si>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</si>
  <si>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</si>
  <si>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</si>
  <si>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</si>
  <si>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</si>
  <si>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</si>
  <si>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</si>
  <si>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</si>
  <si>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</si>
  <si>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</si>
  <si>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</si>
  <si>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</si>
  <si>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</si>
  <si>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</si>
  <si>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</si>
  <si>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</si>
  <si>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</si>
  <si>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</si>
  <si>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</si>
  <si>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</si>
  <si>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</si>
  <si>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</si>
  <si>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</si>
  <si>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</si>
  <si>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</si>
  <si>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</si>
  <si>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</si>
  <si>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</si>
  <si>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</si>
  <si>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</si>
  <si>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</si>
  <si>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</si>
  <si>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</si>
  <si>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</si>
  <si>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</si>
  <si>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</si>
  <si>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</si>
  <si>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</si>
  <si>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</si>
  <si>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</si>
  <si>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</si>
  <si>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</si>
  <si>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</si>
  <si>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</si>
  <si>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</si>
  <si>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</si>
  <si>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</si>
  <si>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</si>
  <si>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</si>
  <si>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</si>
  <si>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</si>
  <si>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</si>
  <si>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</si>
  <si>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</si>
  <si>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</si>
  <si>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</si>
  <si>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</si>
  <si>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</si>
  <si>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</si>
  <si>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</si>
  <si>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</si>
  <si>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</si>
  <si>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</si>
  <si>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</si>
  <si>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</si>
  <si>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</si>
  <si>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</si>
  <si>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</si>
  <si>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</si>
  <si>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</si>
  <si>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</si>
  <si>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</si>
  <si>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</si>
  <si>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</si>
  <si>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</si>
  <si>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</si>
  <si>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</si>
  <si>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</si>
  <si>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</si>
  <si>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</si>
  <si>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</si>
  <si>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</si>
  <si>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</si>
  <si>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</si>
  <si>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</si>
  <si>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</si>
  <si>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</si>
  <si>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</si>
  <si>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</si>
  <si>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</si>
  <si>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</si>
  <si>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</si>
  <si>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</si>
  <si>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</si>
  <si>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</si>
  <si>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</si>
  <si>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</si>
  <si>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</si>
  <si>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</si>
  <si>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</si>
  <si>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</si>
  <si>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</si>
  <si>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</si>
  <si>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</si>
  <si>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</si>
  <si>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</si>
  <si>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</si>
  <si>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</si>
  <si>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</si>
  <si>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</si>
  <si>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</si>
  <si>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</si>
  <si>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</si>
  <si>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</si>
  <si>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</si>
  <si>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</si>
  <si>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</si>
  <si>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</si>
  <si>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</si>
  <si>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</si>
  <si>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</si>
  <si>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</si>
  <si>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</si>
  <si>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</si>
  <si>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</si>
  <si>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</si>
  <si>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</si>
  <si>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</si>
  <si>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</si>
  <si>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</si>
  <si>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</si>
  <si>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</si>
  <si>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</si>
  <si>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</si>
  <si>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</si>
  <si>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</si>
  <si>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</si>
  <si>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</si>
  <si>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</si>
  <si>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</si>
  <si>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</si>
  <si>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</si>
  <si>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</si>
  <si>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</si>
  <si>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</si>
  <si>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</si>
  <si>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</si>
  <si>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</si>
  <si>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</si>
  <si>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</si>
  <si>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</si>
  <si>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</si>
  <si>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</si>
  <si>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</si>
  <si>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</si>
  <si>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</si>
  <si>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</si>
  <si>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</si>
  <si>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</si>
  <si>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</si>
  <si>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</si>
  <si>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</si>
  <si>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</si>
  <si>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</si>
  <si>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</si>
  <si>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</si>
  <si>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</si>
  <si>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</si>
  <si>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</si>
  <si>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</si>
  <si>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</si>
  <si>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</si>
  <si>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</si>
  <si>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</si>
  <si>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</si>
  <si>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</si>
  <si>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</si>
  <si>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</si>
  <si>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</si>
  <si>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</si>
  <si>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</si>
  <si>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</si>
  <si>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</si>
  <si>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</si>
  <si>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</si>
  <si>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</si>
  <si>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</si>
  <si>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</si>
  <si>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</si>
  <si>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</si>
  <si>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</si>
  <si>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</si>
  <si>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</si>
  <si>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</si>
  <si>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</si>
  <si>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</si>
  <si>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</si>
  <si>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</si>
  <si>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</si>
  <si>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</si>
  <si>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</si>
  <si>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</si>
  <si>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</si>
  <si>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</si>
  <si>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</si>
  <si>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</si>
  <si>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</si>
  <si>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</si>
  <si>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</si>
  <si>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</si>
  <si>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</si>
  <si>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</si>
  <si>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</si>
  <si>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</si>
  <si>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</si>
  <si>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</si>
  <si>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</si>
  <si>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</si>
  <si>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</si>
  <si>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</si>
  <si>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</si>
  <si>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</si>
  <si>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</si>
  <si>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</si>
  <si>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</si>
  <si>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</si>
  <si>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</si>
  <si>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</si>
  <si>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</si>
  <si>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</si>
  <si>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</si>
  <si>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</si>
  <si>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</si>
  <si>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</si>
  <si>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</si>
  <si>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</si>
  <si>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</si>
  <si>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</si>
  <si>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</si>
  <si>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</si>
  <si>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</si>
  <si>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</si>
  <si>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</si>
  <si>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</si>
  <si>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</si>
  <si>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</si>
  <si>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</si>
  <si>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</si>
  <si>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</si>
  <si>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</si>
  <si>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</si>
  <si>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</si>
  <si>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</si>
  <si>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</si>
  <si>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</si>
  <si>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</si>
  <si>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</si>
  <si>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</si>
  <si>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</si>
  <si>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</si>
  <si>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</si>
  <si>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</si>
  <si>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</si>
  <si>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</si>
  <si>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</si>
  <si>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</si>
  <si>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</si>
  <si>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</si>
  <si>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</si>
  <si>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</si>
  <si>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</si>
  <si>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</si>
  <si>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</si>
  <si>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</si>
  <si>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</si>
  <si>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</si>
  <si>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</si>
  <si>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</si>
  <si>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</si>
  <si>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</si>
  <si>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</si>
  <si>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</si>
  <si>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</si>
  <si>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</si>
  <si>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</si>
  <si>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</si>
  <si>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</si>
  <si>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</si>
  <si>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</si>
  <si>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</si>
  <si>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</si>
  <si>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</si>
  <si>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</si>
  <si>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</si>
  <si>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</si>
  <si>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</si>
  <si>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</si>
  <si>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</si>
  <si>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</si>
  <si>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</si>
  <si>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</si>
  <si>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</si>
  <si>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</si>
  <si>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</si>
  <si>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</si>
  <si>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</si>
  <si>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</si>
  <si>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</si>
  <si>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</si>
  <si>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</si>
  <si>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</si>
  <si>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</si>
  <si>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</si>
  <si>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</si>
  <si>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</si>
  <si>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</si>
  <si>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</si>
  <si>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</si>
  <si>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</si>
  <si>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</si>
  <si>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</si>
  <si>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</si>
  <si>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</si>
  <si>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</si>
  <si>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</si>
  <si>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</si>
  <si>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</si>
  <si>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</si>
  <si>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</si>
  <si>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</si>
  <si>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</si>
  <si>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</si>
  <si>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</si>
  <si>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</si>
  <si>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</si>
  <si>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</si>
  <si>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</si>
  <si>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</si>
  <si>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</si>
  <si>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</si>
  <si>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</si>
  <si>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</si>
  <si>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</si>
  <si>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</si>
  <si>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</si>
  <si>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</si>
  <si>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</si>
  <si>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</si>
  <si>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</si>
  <si>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</si>
  <si>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</si>
  <si>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</si>
  <si>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</si>
  <si>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</si>
  <si>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</si>
  <si>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</si>
  <si>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</si>
  <si>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</si>
  <si>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</si>
  <si>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</si>
  <si>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</si>
  <si>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</si>
  <si>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</si>
  <si>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</si>
  <si>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</si>
  <si>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</si>
  <si>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</si>
  <si>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</si>
  <si>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</si>
  <si>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</si>
  <si>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</si>
  <si>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</si>
  <si>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</si>
  <si>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</si>
  <si>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</si>
  <si>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</si>
  <si>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</si>
  <si>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</si>
  <si>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</si>
  <si>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</si>
  <si>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</si>
  <si>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</si>
  <si>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</si>
  <si>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</si>
  <si>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</si>
  <si>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</si>
  <si>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</si>
  <si>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</si>
  <si>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</si>
  <si>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</si>
  <si>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</si>
  <si>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</si>
  <si>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</si>
  <si>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</si>
  <si>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</si>
  <si>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</si>
  <si>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</si>
  <si>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</si>
  <si>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</si>
  <si>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</si>
  <si>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</si>
  <si>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</si>
  <si>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</si>
  <si>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</si>
  <si>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</si>
  <si>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</si>
  <si>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</si>
  <si>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</si>
  <si>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</si>
  <si>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</si>
  <si>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</si>
  <si>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</si>
  <si>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</si>
  <si>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</si>
  <si>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</si>
  <si>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</si>
  <si>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</si>
  <si>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</si>
  <si>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</si>
  <si>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</si>
  <si>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</si>
  <si>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</si>
  <si>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</si>
  <si>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</si>
  <si>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</si>
  <si>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</si>
  <si>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</si>
  <si>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</si>
  <si>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</si>
  <si>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</si>
  <si>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</si>
  <si>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</si>
  <si>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</si>
  <si>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</si>
  <si>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</si>
  <si>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</si>
  <si>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</si>
  <si>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</si>
  <si>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</si>
  <si>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</si>
  <si>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</si>
  <si>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</si>
  <si>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</si>
  <si>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</si>
  <si>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</si>
  <si>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</si>
  <si>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</si>
  <si>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</si>
  <si>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</si>
  <si>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</si>
  <si>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</si>
  <si>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</si>
  <si>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</si>
  <si>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</si>
  <si>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</si>
  <si>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</si>
  <si>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</si>
  <si>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</si>
  <si>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</si>
  <si>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</si>
  <si>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</si>
  <si>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</si>
  <si>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</si>
  <si>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</si>
  <si>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</si>
  <si>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</si>
  <si>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</si>
  <si>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</si>
  <si>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</si>
  <si>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</si>
  <si>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</si>
  <si>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</si>
  <si>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</si>
  <si>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</si>
  <si>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</si>
  <si>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</si>
  <si>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</si>
  <si>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</si>
  <si>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</si>
  <si>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</si>
  <si>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</si>
  <si>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</si>
  <si>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</si>
  <si>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</si>
  <si>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</si>
  <si>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</si>
  <si>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</si>
  <si>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</si>
  <si>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</si>
  <si>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</si>
  <si>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</si>
  <si>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</si>
  <si>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</si>
  <si>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</si>
  <si>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</si>
  <si>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</si>
  <si>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</si>
  <si>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</si>
  <si>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</si>
  <si>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</si>
  <si>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</si>
  <si>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</si>
  <si>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</si>
  <si>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</si>
  <si>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</si>
  <si>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</si>
  <si>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</si>
  <si>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</si>
  <si>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</si>
  <si>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</si>
  <si>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</si>
  <si>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</si>
  <si>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</si>
  <si>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</si>
  <si>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</si>
  <si>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</si>
  <si>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</si>
  <si>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</si>
  <si>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</si>
  <si>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</si>
  <si>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</si>
  <si>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</si>
  <si>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</si>
  <si>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</si>
  <si>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</si>
  <si>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</si>
  <si>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</si>
  <si>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</si>
  <si>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</si>
  <si>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</si>
  <si>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</si>
  <si>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</si>
  <si>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</si>
  <si>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</si>
  <si>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</si>
  <si>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</si>
  <si>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</si>
  <si>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</si>
  <si>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</si>
  <si>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</si>
  <si>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</si>
  <si>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</si>
  <si>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</si>
  <si>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</si>
  <si>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</si>
  <si>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</si>
  <si>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</si>
  <si>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</si>
  <si>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</si>
  <si>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</si>
  <si>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</si>
  <si>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</si>
  <si>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</si>
  <si>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</si>
  <si>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</si>
  <si>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</si>
  <si>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</si>
  <si>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</si>
  <si>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</si>
  <si>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</si>
  <si>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</si>
  <si>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</si>
  <si>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</si>
  <si>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</si>
  <si>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</si>
  <si>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</si>
  <si>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</si>
  <si>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</si>
  <si>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</si>
  <si>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</si>
  <si>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</si>
  <si>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</si>
  <si>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</si>
  <si>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</si>
  <si>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</si>
  <si>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</si>
  <si>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</si>
  <si>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</si>
  <si>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</si>
  <si>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</si>
  <si>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</si>
  <si>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</si>
  <si>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</si>
  <si>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</si>
  <si>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</si>
  <si>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</si>
  <si>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</si>
  <si>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</si>
  <si>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</si>
  <si>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</si>
  <si>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</si>
  <si>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</si>
  <si>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</si>
  <si>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</si>
  <si>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</si>
  <si>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</si>
  <si>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</si>
  <si>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</si>
  <si>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</si>
  <si>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</si>
  <si>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</si>
  <si>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</si>
  <si>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</si>
  <si>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</si>
  <si>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</si>
  <si>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</si>
  <si>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</si>
  <si>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</si>
  <si>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</si>
  <si>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</si>
  <si>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</si>
  <si>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</si>
  <si>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</si>
  <si>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</si>
  <si>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</si>
  <si>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</si>
  <si>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</si>
  <si>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</si>
  <si>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</si>
  <si>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</si>
  <si>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</si>
  <si>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</si>
  <si>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</si>
  <si>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</si>
  <si>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</si>
  <si>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</si>
  <si>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</si>
  <si>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</si>
  <si>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</si>
  <si>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</si>
  <si>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</si>
  <si>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</si>
  <si>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</si>
  <si>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</si>
  <si>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</si>
  <si>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</si>
  <si>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</si>
  <si>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</si>
  <si>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</si>
  <si>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</si>
  <si>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</si>
  <si>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</si>
  <si>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</si>
  <si>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</si>
  <si>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</si>
  <si>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</si>
  <si>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</si>
  <si>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</si>
  <si>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</si>
  <si>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</si>
  <si>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</si>
  <si>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</si>
  <si>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</si>
  <si>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</si>
  <si>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</si>
  <si>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</si>
  <si>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</si>
  <si>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</si>
  <si>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</si>
  <si>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</si>
  <si>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</si>
  <si>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</si>
  <si>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</si>
  <si>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</si>
  <si>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</si>
  <si>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</si>
  <si>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</si>
  <si>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</si>
  <si>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</si>
  <si>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</si>
  <si>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</si>
  <si>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</si>
  <si>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</si>
  <si>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</si>
  <si>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</si>
  <si>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</si>
  <si>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</si>
  <si>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</si>
  <si>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</si>
  <si>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</si>
  <si>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</si>
  <si>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</si>
  <si>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</si>
  <si>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</si>
  <si>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</si>
  <si>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</si>
  <si>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</si>
  <si>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</si>
  <si>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</si>
  <si>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</si>
  <si>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</si>
  <si>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</si>
  <si>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</si>
  <si>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</si>
  <si>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</si>
  <si>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</si>
  <si>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</si>
  <si>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</si>
  <si>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</si>
  <si>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</si>
  <si>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</si>
  <si>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</si>
  <si>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</si>
  <si>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</si>
  <si>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</si>
  <si>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</si>
  <si>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</si>
  <si>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</si>
  <si>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</si>
  <si>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</si>
  <si>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</si>
  <si>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</si>
  <si>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</si>
  <si>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</si>
  <si>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</si>
  <si>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</si>
  <si>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</si>
  <si>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</si>
  <si>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</si>
  <si>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</si>
  <si>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</si>
  <si>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</si>
  <si>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</si>
  <si>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</si>
  <si>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</si>
  <si>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</si>
  <si>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</si>
  <si>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</si>
  <si>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</si>
  <si>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</si>
  <si>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</si>
  <si>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</si>
  <si>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</si>
  <si>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</si>
  <si>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</si>
  <si>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</si>
  <si>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</si>
  <si>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</si>
  <si>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</si>
  <si>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</si>
  <si>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</si>
  <si>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</si>
  <si>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</si>
  <si>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</si>
  <si>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</si>
  <si>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</si>
  <si>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</si>
  <si>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</si>
  <si>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</si>
  <si>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</si>
  <si>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</si>
  <si>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</si>
  <si>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</si>
  <si>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</si>
  <si>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</si>
  <si>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</si>
  <si>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</si>
  <si>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</si>
  <si>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</si>
  <si>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</si>
  <si>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</si>
  <si>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</si>
  <si>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</si>
  <si>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</si>
  <si>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</si>
  <si>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</si>
  <si>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</si>
  <si>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</si>
  <si>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</si>
  <si>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</si>
  <si>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</si>
  <si>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</si>
  <si>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</si>
  <si>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</si>
  <si>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</si>
  <si>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</si>
  <si>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</si>
  <si>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</si>
  <si>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</si>
  <si>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</si>
  <si>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</si>
  <si>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</si>
  <si>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</si>
  <si>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</si>
  <si>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</si>
  <si>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</si>
  <si>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</si>
  <si>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</si>
  <si>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</si>
  <si>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</si>
  <si>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</si>
  <si>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</si>
  <si>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</si>
  <si>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</si>
  <si>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</si>
  <si>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</si>
  <si>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</si>
  <si>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</si>
  <si>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</si>
  <si>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</si>
  <si>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</si>
  <si>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</si>
  <si>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</si>
  <si>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</si>
  <si>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</si>
  <si>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</si>
  <si>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</si>
  <si>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</si>
  <si>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</si>
  <si>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</si>
  <si>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</si>
  <si>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</si>
  <si>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</si>
  <si>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</si>
  <si>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</si>
  <si>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</si>
  <si>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</si>
  <si>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</si>
  <si>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</si>
  <si>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</si>
  <si>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</si>
  <si>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</si>
  <si>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</si>
  <si>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</si>
  <si>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</si>
  <si>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</si>
  <si>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</si>
  <si>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</si>
  <si>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</si>
  <si>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</si>
  <si>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</si>
  <si>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</si>
  <si>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</si>
  <si>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</si>
  <si>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</si>
  <si>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</si>
  <si>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</si>
  <si>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</si>
  <si>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</si>
  <si>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</si>
  <si>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</si>
  <si>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</si>
  <si>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</si>
  <si>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</si>
  <si>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</si>
  <si>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</si>
  <si>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</si>
  <si>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</si>
  <si>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</si>
  <si>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</si>
  <si>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</si>
  <si>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</si>
  <si>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</si>
  <si>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</si>
  <si>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</si>
  <si>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</si>
  <si>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</si>
  <si>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</si>
  <si>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</si>
  <si>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</si>
  <si>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</si>
  <si>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</si>
  <si>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</si>
  <si>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</si>
  <si>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</si>
  <si>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</si>
  <si>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</si>
  <si>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</si>
  <si>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</si>
  <si>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</si>
  <si>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</si>
  <si>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</si>
  <si>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</si>
  <si>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</si>
  <si>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</si>
  <si>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</si>
  <si>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</si>
  <si>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</si>
  <si>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</si>
  <si>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</si>
  <si>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</si>
  <si>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</si>
  <si>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</si>
  <si>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</si>
  <si>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</si>
  <si>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</si>
  <si>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</si>
  <si>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</si>
  <si>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</si>
  <si>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</si>
  <si>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</si>
  <si>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</si>
  <si>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</si>
  <si>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</si>
  <si>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</si>
  <si>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</si>
  <si>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</si>
  <si>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</si>
  <si>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</si>
  <si>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</si>
  <si>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</si>
  <si>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</si>
  <si>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</si>
  <si>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</si>
  <si>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</si>
  <si>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</si>
  <si>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</si>
  <si>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</si>
  <si>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</si>
  <si>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</si>
  <si>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</si>
  <si>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</si>
  <si>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</si>
  <si>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</si>
  <si>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</si>
  <si>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</si>
  <si>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</si>
  <si>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</si>
  <si>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</si>
  <si>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</si>
  <si>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</si>
  <si>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</si>
  <si>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</si>
  <si>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</si>
  <si>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</si>
  <si>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</si>
  <si>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</si>
  <si>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</si>
  <si>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</si>
  <si>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</si>
  <si>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</si>
  <si>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</si>
  <si>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</si>
  <si>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</si>
  <si>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</si>
  <si>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</si>
  <si>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</si>
  <si>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</si>
  <si>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</si>
  <si>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</si>
  <si>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</si>
  <si>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</si>
  <si>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</si>
  <si>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</si>
  <si>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</si>
  <si>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</si>
  <si>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</si>
  <si>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</si>
  <si>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</si>
  <si>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</si>
  <si>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</si>
  <si>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</si>
  <si>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</si>
  <si>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</si>
  <si>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</si>
  <si>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</si>
  <si>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</si>
  <si>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</si>
  <si>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</si>
  <si>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</si>
  <si>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</si>
  <si>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</si>
  <si>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</si>
  <si>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</si>
  <si>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</si>
  <si>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</si>
  <si>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</si>
  <si>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</si>
  <si>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</si>
  <si>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</si>
  <si>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</si>
  <si>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</si>
  <si>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</si>
  <si>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</si>
  <si>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</si>
  <si>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</si>
  <si>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</si>
  <si>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</si>
  <si>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</si>
  <si>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</si>
  <si>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</si>
  <si>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</si>
  <si>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</si>
  <si>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</si>
  <si>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</si>
  <si>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</si>
  <si>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</si>
  <si>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</si>
  <si>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</si>
  <si>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</si>
  <si>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</si>
  <si>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</si>
  <si>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</si>
  <si>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</si>
  <si>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</si>
  <si>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</si>
  <si>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</si>
  <si>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</si>
  <si>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</si>
  <si>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</si>
  <si>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</si>
  <si>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</si>
  <si>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</si>
  <si>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</si>
  <si>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</si>
  <si>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</si>
  <si>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</si>
  <si>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</si>
  <si>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</si>
  <si>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</si>
  <si>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</si>
  <si>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</si>
  <si>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</si>
  <si>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</si>
  <si>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</si>
  <si>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</si>
  <si>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</si>
  <si>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</si>
  <si>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</si>
  <si>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</si>
  <si>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</si>
  <si>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</si>
  <si>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</si>
  <si>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</si>
  <si>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</si>
  <si>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</si>
  <si>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</si>
  <si>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</si>
  <si>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</si>
  <si>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</si>
  <si>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</si>
  <si>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</si>
  <si>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</si>
  <si>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</si>
  <si>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</si>
  <si>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</si>
  <si>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</si>
  <si>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</si>
  <si>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</si>
  <si>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</si>
  <si>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</si>
  <si>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</si>
  <si>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</si>
  <si>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</si>
  <si>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</si>
  <si>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</si>
  <si>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</si>
  <si>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</si>
  <si>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</si>
  <si>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</si>
  <si>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</si>
  <si>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</si>
  <si>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</si>
  <si>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</si>
  <si>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</si>
  <si>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</si>
  <si>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</si>
  <si>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</si>
  <si>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</si>
  <si>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</si>
  <si>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</si>
  <si>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</si>
  <si>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</si>
  <si>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</si>
  <si>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</si>
  <si>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</si>
  <si>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</si>
  <si>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</si>
  <si>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</si>
  <si>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</si>
  <si>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</si>
  <si>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</si>
  <si>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</si>
  <si>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</si>
  <si>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</si>
  <si>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</si>
  <si>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</si>
  <si>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</si>
  <si>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</si>
  <si>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</si>
  <si>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</si>
  <si>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</si>
  <si>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</si>
  <si>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</si>
  <si>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</si>
  <si>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</si>
  <si>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</si>
  <si>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</si>
  <si>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</si>
  <si>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</si>
  <si>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</si>
  <si>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</si>
  <si>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</si>
  <si>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</si>
  <si>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</si>
  <si>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</si>
  <si>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</si>
  <si>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</si>
  <si>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</si>
  <si>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</si>
  <si>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</si>
  <si>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</si>
  <si>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</si>
  <si>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</si>
  <si>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</si>
  <si>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</si>
  <si>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</si>
  <si>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</si>
  <si>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</si>
  <si>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</si>
  <si>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</si>
  <si>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</si>
  <si>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</si>
  <si>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</si>
  <si>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</si>
  <si>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</si>
  <si>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</si>
  <si>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</si>
  <si>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</si>
  <si>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</si>
  <si>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</si>
  <si>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</si>
  <si>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</si>
  <si>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</si>
  <si>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</si>
  <si>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</si>
  <si>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</si>
  <si>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</si>
  <si>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</si>
  <si>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</si>
  <si>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</si>
  <si>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</si>
  <si>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</si>
  <si>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</si>
  <si>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</si>
  <si>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</si>
  <si>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</si>
  <si>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</si>
  <si>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</si>
  <si>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</si>
  <si>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</si>
  <si>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</si>
  <si>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</si>
  <si>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</si>
  <si>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</si>
  <si>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</si>
  <si>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</si>
  <si>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</si>
  <si>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</si>
  <si>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</si>
  <si>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</si>
  <si>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</si>
  <si>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</si>
  <si>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</si>
  <si>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</si>
  <si>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</si>
  <si>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</si>
  <si>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</si>
  <si>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</si>
  <si>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</si>
  <si>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</si>
  <si>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</si>
  <si>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</si>
  <si>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</si>
  <si>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</si>
  <si>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</si>
  <si>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</si>
  <si>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</si>
  <si>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</si>
  <si>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</si>
  <si>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</si>
  <si>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</si>
  <si>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</si>
  <si>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</si>
  <si>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</si>
  <si>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</si>
  <si>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</si>
  <si>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</si>
  <si>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</si>
  <si>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</si>
  <si>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</si>
  <si>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</si>
  <si>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</si>
  <si>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</si>
  <si>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</si>
  <si>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</si>
  <si>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</si>
  <si>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</si>
  <si>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</si>
  <si>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</si>
  <si>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</si>
  <si>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</si>
  <si>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</si>
  <si>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</si>
  <si>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</si>
  <si>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</si>
  <si>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</si>
  <si>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</si>
  <si>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</si>
  <si>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</si>
  <si>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</si>
  <si>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</si>
  <si>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</si>
  <si>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</si>
  <si>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</si>
  <si>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</si>
  <si>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</si>
  <si>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</si>
  <si>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</si>
  <si>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</si>
  <si>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</si>
  <si>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</si>
  <si>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</si>
  <si>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</si>
  <si>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</si>
  <si>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</si>
  <si>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</si>
  <si>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</si>
  <si>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</si>
  <si>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</si>
  <si>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</si>
  <si>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</si>
  <si>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</si>
  <si>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</si>
  <si>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</si>
  <si>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</si>
  <si>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</si>
  <si>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</si>
  <si>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</si>
  <si>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</si>
  <si>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</si>
  <si>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</si>
  <si>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</si>
  <si>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</si>
  <si>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</si>
  <si>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</si>
  <si>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</si>
  <si>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</si>
  <si>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</si>
  <si>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</si>
  <si>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</si>
  <si>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</si>
  <si>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</si>
  <si>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</si>
  <si>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</si>
  <si>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</si>
  <si>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</si>
  <si>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</si>
  <si>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</si>
  <si>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</si>
  <si>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</si>
  <si>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</si>
  <si>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</si>
  <si>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</si>
  <si>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</si>
  <si>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</si>
  <si>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</si>
  <si>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</si>
  <si>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</si>
  <si>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</si>
  <si>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</si>
  <si>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</si>
  <si>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</si>
  <si>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</si>
  <si>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</si>
  <si>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</si>
  <si>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</si>
  <si>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</si>
  <si>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</si>
  <si>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</si>
  <si>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</si>
  <si>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</si>
  <si>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</si>
  <si>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</si>
  <si>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</si>
  <si>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</si>
  <si>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</si>
  <si>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</si>
  <si>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</si>
  <si>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</si>
  <si>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</si>
  <si>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</si>
  <si>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</si>
  <si>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</si>
  <si>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</si>
  <si>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</si>
  <si>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</si>
  <si>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</si>
  <si>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</si>
  <si>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</si>
  <si>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</si>
  <si>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</si>
  <si>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</si>
  <si>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</si>
  <si>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</si>
  <si>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</si>
  <si>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</si>
  <si>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</si>
  <si>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</si>
  <si>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</si>
  <si>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</si>
  <si>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</si>
  <si>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</si>
  <si>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</si>
  <si>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</si>
  <si>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</si>
  <si>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</si>
  <si>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</si>
  <si>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</si>
  <si>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</si>
  <si>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</si>
  <si>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</si>
  <si>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</si>
  <si>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</si>
  <si>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</si>
  <si>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</si>
  <si>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</si>
  <si>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</si>
  <si>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</si>
  <si>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</si>
  <si>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</si>
  <si>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</si>
  <si>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</si>
  <si>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</si>
  <si>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</si>
  <si>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</si>
  <si>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</si>
  <si>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</si>
  <si>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</si>
  <si>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</si>
  <si>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</si>
  <si>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</si>
  <si>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</si>
  <si>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</si>
  <si>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</si>
  <si>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</si>
  <si>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</si>
  <si>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</si>
  <si>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</si>
  <si>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</si>
  <si>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</si>
  <si>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</si>
  <si>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</si>
  <si>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</si>
  <si>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</si>
  <si>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</si>
  <si>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</si>
  <si>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</si>
  <si>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</si>
  <si>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</si>
  <si>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</si>
  <si>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</si>
  <si>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</si>
  <si>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</si>
  <si>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</si>
  <si>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</si>
  <si>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</si>
  <si>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</si>
  <si>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</si>
  <si>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</si>
  <si>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</si>
  <si>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</si>
  <si>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</si>
  <si>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</si>
  <si>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</si>
  <si>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</si>
  <si>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</si>
  <si>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</si>
  <si>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</si>
  <si>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</si>
  <si>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</si>
  <si>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</si>
  <si>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</si>
  <si>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</si>
  <si>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</si>
  <si>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</si>
  <si>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</si>
  <si>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</si>
  <si>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</si>
  <si>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</si>
  <si>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</si>
  <si>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</si>
  <si>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</si>
  <si>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</si>
  <si>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</si>
  <si>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</si>
  <si>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</si>
  <si>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</si>
  <si>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</si>
  <si>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</si>
  <si>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</si>
  <si>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</si>
  <si>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</si>
  <si>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</si>
  <si>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</si>
  <si>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</si>
  <si>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</si>
  <si>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</si>
  <si>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</si>
  <si>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</si>
  <si>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</si>
  <si>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</si>
  <si>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</si>
  <si>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</si>
  <si>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</si>
  <si>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</si>
  <si>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</si>
  <si>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</si>
  <si>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</si>
  <si>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</si>
  <si>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</si>
  <si>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</si>
  <si>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</si>
  <si>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</si>
  <si>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</si>
  <si>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</si>
  <si>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</si>
  <si>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</si>
  <si>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</si>
  <si>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</si>
  <si>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</si>
  <si>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</si>
  <si>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</si>
  <si>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</si>
  <si>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</si>
  <si>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</si>
  <si>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</si>
  <si>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</si>
  <si>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</si>
  <si>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</si>
  <si>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</si>
  <si>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</si>
  <si>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</si>
  <si>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</si>
  <si>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</si>
  <si>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</si>
  <si>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</si>
  <si>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</si>
  <si>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</si>
  <si>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</si>
  <si>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</si>
  <si>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</si>
  <si>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</si>
  <si>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</si>
  <si>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</si>
  <si>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</si>
  <si>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</si>
  <si>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</si>
  <si>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</si>
  <si>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</si>
  <si>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</si>
  <si>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</si>
  <si>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</si>
  <si>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</si>
  <si>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</si>
  <si>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</si>
  <si>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</si>
  <si>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</si>
  <si>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</si>
  <si>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</si>
  <si>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</si>
  <si>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</si>
  <si>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</si>
  <si>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</si>
  <si>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</si>
  <si>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</si>
  <si>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</si>
  <si>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</si>
  <si>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</si>
  <si>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</si>
  <si>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</si>
  <si>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</si>
  <si>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</si>
  <si>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</si>
  <si>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</si>
  <si>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</si>
  <si>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</si>
  <si>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</si>
  <si>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</si>
  <si>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</si>
  <si>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</si>
  <si>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</si>
  <si>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</si>
  <si>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</si>
  <si>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</si>
  <si>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</si>
  <si>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</si>
  <si>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</si>
  <si>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</si>
  <si>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</si>
  <si>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</si>
  <si>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</si>
  <si>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</si>
  <si>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</si>
  <si>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</si>
  <si>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</si>
  <si>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</si>
  <si>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</si>
  <si>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</si>
  <si>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</si>
  <si>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</si>
  <si>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</si>
  <si>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</si>
  <si>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</si>
  <si>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</si>
  <si>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</si>
  <si>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</si>
  <si>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</si>
  <si>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</si>
  <si>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</si>
  <si>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</si>
  <si>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</si>
  <si>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</si>
  <si>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</si>
  <si>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</si>
  <si>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</si>
  <si>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</si>
  <si>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</si>
  <si>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</si>
  <si>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</si>
  <si>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</si>
  <si>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</si>
  <si>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</si>
  <si>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</si>
  <si>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</si>
  <si>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</si>
  <si>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</si>
  <si>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</si>
  <si>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</si>
  <si>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</si>
  <si>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</si>
  <si>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</si>
  <si>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</si>
  <si>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</si>
  <si>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</si>
  <si>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</si>
  <si>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</si>
  <si>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</si>
  <si>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</si>
  <si>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</si>
  <si>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</si>
  <si>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</si>
  <si>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</si>
  <si>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</si>
  <si>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</si>
  <si>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</si>
  <si>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</si>
  <si>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</si>
  <si>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</si>
  <si>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</si>
  <si>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</si>
  <si>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</si>
  <si>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</si>
  <si>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</si>
  <si>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</si>
  <si>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</si>
  <si>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</si>
  <si>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</si>
  <si>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</si>
  <si>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</si>
  <si>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</si>
  <si>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</si>
  <si>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</si>
  <si>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</si>
  <si>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</si>
  <si>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</si>
  <si>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</si>
  <si>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</si>
  <si>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</si>
  <si>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</si>
  <si>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</si>
  <si>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</si>
  <si>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</si>
  <si>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</si>
  <si>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</si>
  <si>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</si>
  <si>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</si>
  <si>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</si>
  <si>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</si>
  <si>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</si>
  <si>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</si>
  <si>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</si>
  <si>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</si>
  <si>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</si>
  <si>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</si>
  <si>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</si>
  <si>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</si>
  <si>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</si>
  <si>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</si>
  <si>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</si>
  <si>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</si>
  <si>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</si>
  <si>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</si>
  <si>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</si>
  <si>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</si>
  <si>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</si>
  <si>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</si>
  <si>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</si>
  <si>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</si>
  <si>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</si>
  <si>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</si>
  <si>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</si>
  <si>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</si>
  <si>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</si>
  <si>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</si>
  <si>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</si>
  <si>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</si>
  <si>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</si>
  <si>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</si>
  <si>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</si>
  <si>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</si>
  <si>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</si>
  <si>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</si>
  <si>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</si>
  <si>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</si>
  <si>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</si>
  <si>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</si>
  <si>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</si>
  <si>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</si>
  <si>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</si>
  <si>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</si>
  <si>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</si>
  <si>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</si>
  <si>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</si>
  <si>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</si>
  <si>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</si>
  <si>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</si>
  <si>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</si>
  <si>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</si>
  <si>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</si>
  <si>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</si>
  <si>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</si>
  <si>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</si>
  <si>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</si>
  <si>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</si>
  <si>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</si>
  <si>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</si>
  <si>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</si>
  <si>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</si>
  <si>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</si>
  <si>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</si>
  <si>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</si>
  <si>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</si>
  <si>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</si>
  <si>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</si>
  <si>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</si>
  <si>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</si>
  <si>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</si>
  <si>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</si>
  <si>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</si>
  <si>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</si>
  <si>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</si>
  <si>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</si>
  <si>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</si>
  <si>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</si>
  <si>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</si>
  <si>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</si>
  <si>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</si>
  <si>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</si>
  <si>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</si>
  <si>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</si>
  <si>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</si>
  <si>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</si>
  <si>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</si>
  <si>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</si>
  <si>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</si>
  <si>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</si>
  <si>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</si>
  <si>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</si>
  <si>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</si>
  <si>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</si>
  <si>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</si>
  <si>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</si>
  <si>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</si>
  <si>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</si>
  <si>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</si>
  <si>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</si>
  <si>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</si>
  <si>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</si>
  <si>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</si>
  <si>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</si>
  <si>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</si>
  <si>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</si>
  <si>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</si>
  <si>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</si>
  <si>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</si>
  <si>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</si>
  <si>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</si>
  <si>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</si>
  <si>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</si>
  <si>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</si>
  <si>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</si>
  <si>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</si>
  <si>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</si>
  <si>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</si>
  <si>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</si>
  <si>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</si>
  <si>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</si>
  <si>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</si>
  <si>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</si>
  <si>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</si>
  <si>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</si>
  <si>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</si>
  <si>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</si>
  <si>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</si>
  <si>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</si>
  <si>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</si>
  <si>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</si>
  <si>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</si>
  <si>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</si>
  <si>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</si>
  <si>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</si>
  <si>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</si>
  <si>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</si>
  <si>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</si>
  <si>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</si>
  <si>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</si>
  <si>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</si>
  <si>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</si>
  <si>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</si>
  <si>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</si>
  <si>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</si>
  <si>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</si>
  <si>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</si>
  <si>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</si>
  <si>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</si>
  <si>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</si>
  <si>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</si>
  <si>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</si>
  <si>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</si>
  <si>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</si>
  <si>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</si>
  <si>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</si>
  <si>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</si>
  <si>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</si>
  <si>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</si>
  <si>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</si>
  <si>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</si>
  <si>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</si>
  <si>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</si>
  <si>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</si>
  <si>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</si>
  <si>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</si>
  <si>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</si>
  <si>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</si>
  <si>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</si>
  <si>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</si>
  <si>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</si>
  <si>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</si>
  <si>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</si>
  <si>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</si>
  <si>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</si>
  <si>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</si>
  <si>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</si>
  <si>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</si>
  <si>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</si>
  <si>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</si>
  <si>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</si>
  <si>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</si>
  <si>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</si>
  <si>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</si>
  <si>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</si>
  <si>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</si>
  <si>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</si>
  <si>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</si>
  <si>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</si>
  <si>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</si>
  <si>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</si>
  <si>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</si>
  <si>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</si>
  <si>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</si>
  <si>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</si>
  <si>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</si>
  <si>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</si>
  <si>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</si>
  <si>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</si>
  <si>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</si>
  <si>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</si>
  <si>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</si>
  <si>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</si>
  <si>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</si>
  <si>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</si>
  <si>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</si>
  <si>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</si>
  <si>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</si>
  <si>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</si>
  <si>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</si>
  <si>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</si>
  <si>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</si>
  <si>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</si>
  <si>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</si>
  <si>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</si>
  <si>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</si>
  <si>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</si>
  <si>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</si>
  <si>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</si>
  <si>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</si>
  <si>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</si>
  <si>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</si>
  <si>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</si>
  <si>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</si>
  <si>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</si>
  <si>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</si>
  <si>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</si>
  <si>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</si>
  <si>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</si>
  <si>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</si>
  <si>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</si>
  <si>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</si>
  <si>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</si>
  <si>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</si>
  <si>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</si>
  <si>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</si>
  <si>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</si>
  <si>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</si>
  <si>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</si>
  <si>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</si>
  <si>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</si>
  <si>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</si>
  <si>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</si>
  <si>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</si>
  <si>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</si>
  <si>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</si>
  <si>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</si>
  <si>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</si>
  <si>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</si>
  <si>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</si>
  <si>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</si>
  <si>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</si>
  <si>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</si>
  <si>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</si>
  <si>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</si>
  <si>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</si>
  <si>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</si>
  <si>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</si>
  <si>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</si>
  <si>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</si>
  <si>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</si>
  <si>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</si>
  <si>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</si>
  <si>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</si>
  <si>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</si>
  <si>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</si>
  <si>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</si>
  <si>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</si>
  <si>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</si>
  <si>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</si>
  <si>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</si>
  <si>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</si>
  <si>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</si>
  <si>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</si>
  <si>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</si>
  <si>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</si>
  <si>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</si>
  <si>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</si>
  <si>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</si>
  <si>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</si>
  <si>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</si>
  <si>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</si>
  <si>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</si>
  <si>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</si>
  <si>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</si>
  <si>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</si>
  <si>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</si>
  <si>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</si>
  <si>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</si>
  <si>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</si>
  <si>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</si>
  <si>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</si>
  <si>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</si>
  <si>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</si>
  <si>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</si>
  <si>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</si>
  <si>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</si>
  <si>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</si>
  <si>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</si>
  <si>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</si>
  <si>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</si>
  <si>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</si>
  <si>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</si>
  <si>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</si>
  <si>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</si>
  <si>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</si>
  <si>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</si>
  <si>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</si>
  <si>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</si>
  <si>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</si>
  <si>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</si>
  <si>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</si>
  <si>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</si>
  <si>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</si>
  <si>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</si>
  <si>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</si>
  <si>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</si>
  <si>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</si>
  <si>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</si>
  <si>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</si>
  <si>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</si>
  <si>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</si>
  <si>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</si>
  <si>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</si>
  <si>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</si>
  <si>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</si>
  <si>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</si>
  <si>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</si>
  <si>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</si>
  <si>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</si>
  <si>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</si>
  <si>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</si>
  <si>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</si>
  <si>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</si>
  <si>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</si>
  <si>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</si>
  <si>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</si>
  <si>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</si>
  <si>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</si>
  <si>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</si>
  <si>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</si>
  <si>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</si>
  <si>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</si>
  <si>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</si>
  <si>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</si>
  <si>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</si>
  <si>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</si>
  <si>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</si>
  <si>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</si>
  <si>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</si>
  <si>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</si>
  <si>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</si>
  <si>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</si>
  <si>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</si>
  <si>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</si>
  <si>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</si>
  <si>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</si>
  <si>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</si>
  <si>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</si>
  <si>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</si>
  <si>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</si>
  <si>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</si>
  <si>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</si>
  <si>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</si>
  <si>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</si>
  <si>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</si>
  <si>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</si>
  <si>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</si>
  <si>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</si>
  <si>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</si>
  <si>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</si>
  <si>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</si>
  <si>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</si>
  <si>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</si>
  <si>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</si>
  <si>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</si>
  <si>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</si>
  <si>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</si>
  <si>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</si>
  <si>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</si>
  <si>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</si>
  <si>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</si>
  <si>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</si>
  <si>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</si>
  <si>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</si>
  <si>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</si>
  <si>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</si>
  <si>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</si>
  <si>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</si>
  <si>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</si>
  <si>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</si>
  <si>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</si>
  <si>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</si>
  <si>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</si>
  <si>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</si>
  <si>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</si>
  <si>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</si>
  <si>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</si>
  <si>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</si>
  <si>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</si>
  <si>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</si>
  <si>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</si>
  <si>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</si>
  <si>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</si>
  <si>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</si>
  <si>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</si>
  <si>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</si>
  <si>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</si>
  <si>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</si>
  <si>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</si>
  <si>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</si>
  <si>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</si>
  <si>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</si>
  <si>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</si>
  <si>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</si>
  <si>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</si>
  <si>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</si>
  <si>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</si>
  <si>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</si>
  <si>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</si>
  <si>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</si>
  <si>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</si>
  <si>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</si>
  <si>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</si>
  <si>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</si>
  <si>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</si>
  <si>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</si>
  <si>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</si>
  <si>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</si>
  <si>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</si>
  <si>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</si>
  <si>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</si>
  <si>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</si>
  <si>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</si>
  <si>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</si>
  <si>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</si>
  <si>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</si>
  <si>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</si>
  <si>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</si>
  <si>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</si>
  <si>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</si>
  <si>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</si>
  <si>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</si>
  <si>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</si>
  <si>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</si>
  <si>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</si>
  <si>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</si>
  <si>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</si>
  <si>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</si>
  <si>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</si>
  <si>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</si>
  <si>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</si>
  <si>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</si>
  <si>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</si>
  <si>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</si>
  <si>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</si>
  <si>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</si>
  <si>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</si>
  <si>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</si>
  <si>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</si>
  <si>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</si>
  <si>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</si>
  <si>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</si>
  <si>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</si>
  <si>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</si>
  <si>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</si>
  <si>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</si>
  <si>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</si>
  <si>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</si>
  <si>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</si>
  <si>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</si>
  <si>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</si>
  <si>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</si>
  <si>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</si>
  <si>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</si>
  <si>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</si>
  <si>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</si>
  <si>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</si>
  <si>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</si>
  <si>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</si>
  <si>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</si>
  <si>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</si>
  <si>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</si>
  <si>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</si>
  <si>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</si>
  <si>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</si>
  <si>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</si>
  <si>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</si>
  <si>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</si>
  <si>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</si>
  <si>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</si>
  <si>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</si>
  <si>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</si>
  <si>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</si>
  <si>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</si>
  <si>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</si>
  <si>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</si>
  <si>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</si>
  <si>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</si>
  <si>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</si>
  <si>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</si>
  <si>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</si>
  <si>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</si>
  <si>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</si>
  <si>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</si>
  <si>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</si>
  <si>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</si>
  <si>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</si>
  <si>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</si>
  <si>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</si>
  <si>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</si>
  <si>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</si>
  <si>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</si>
  <si>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</si>
  <si>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</si>
  <si>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</si>
  <si>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</si>
  <si>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</si>
  <si>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</si>
  <si>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</si>
  <si>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</si>
  <si>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</si>
  <si>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</si>
  <si>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</si>
  <si>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</si>
  <si>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</si>
  <si>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</si>
  <si>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</si>
  <si>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</si>
  <si>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</si>
  <si>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</si>
  <si>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</si>
  <si>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</si>
  <si>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</si>
  <si>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</si>
  <si>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</si>
  <si>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</si>
  <si>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</si>
  <si>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</si>
  <si>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</si>
  <si>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</si>
  <si>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</si>
  <si>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</si>
  <si>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</si>
  <si>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</si>
  <si>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</si>
  <si>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</si>
  <si>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</si>
  <si>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</si>
  <si>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</si>
  <si>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</si>
  <si>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</si>
  <si>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</si>
  <si>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</si>
  <si>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</si>
  <si>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</si>
  <si>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</si>
  <si>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</si>
  <si>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</si>
  <si>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</si>
  <si>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</si>
  <si>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</si>
  <si>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</si>
  <si>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</si>
  <si>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</si>
  <si>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</si>
  <si>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</si>
  <si>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</si>
  <si>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</si>
  <si>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</si>
  <si>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</si>
  <si>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</si>
  <si>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</si>
  <si>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</si>
  <si>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</si>
  <si>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</si>
  <si>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</si>
  <si>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</si>
  <si>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</si>
  <si>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</si>
  <si>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</si>
  <si>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</si>
  <si>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</si>
  <si>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</si>
  <si>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</si>
  <si>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</si>
  <si>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</si>
  <si>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</si>
  <si>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</si>
  <si>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</si>
  <si>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</si>
  <si>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</si>
  <si>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</si>
  <si>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</si>
  <si>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</si>
  <si>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</si>
  <si>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</si>
  <si>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</si>
  <si>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</si>
  <si>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</si>
  <si>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</si>
  <si>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</si>
  <si>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</si>
  <si>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</si>
  <si>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</si>
  <si>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</si>
  <si>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</si>
  <si>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</si>
  <si>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</si>
  <si>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</si>
  <si>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</si>
  <si>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</si>
  <si>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</si>
  <si>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</si>
  <si>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</si>
  <si>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</si>
  <si>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</si>
  <si>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</si>
  <si>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</si>
  <si>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</si>
  <si>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</si>
  <si>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</si>
  <si>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</si>
  <si>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</si>
  <si>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</si>
  <si>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</si>
  <si>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</si>
  <si>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</si>
  <si>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</si>
  <si>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</si>
  <si>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</si>
  <si>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</si>
  <si>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</si>
  <si>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</si>
  <si>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</si>
  <si>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</si>
  <si>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</si>
  <si>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</si>
  <si>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</si>
  <si>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</si>
  <si>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</si>
  <si>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</si>
  <si>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</si>
  <si>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</si>
  <si>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</si>
  <si>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</si>
  <si>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</si>
  <si>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</si>
  <si>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</si>
  <si>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</si>
  <si>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</si>
  <si>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</si>
  <si>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</si>
  <si>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</si>
  <si>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</si>
  <si>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</si>
  <si>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</si>
  <si>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</si>
  <si>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</si>
  <si>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</si>
  <si>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</si>
  <si>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</si>
  <si>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</si>
  <si>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</si>
  <si>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</si>
  <si>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</si>
  <si>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</si>
  <si>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</si>
  <si>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</si>
  <si>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</si>
  <si>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</si>
  <si>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</si>
  <si>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</si>
  <si>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</si>
  <si>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</si>
  <si>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</si>
  <si>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</si>
  <si>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</si>
  <si>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</si>
  <si>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</si>
  <si>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</si>
  <si>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</si>
  <si>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</si>
  <si>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</si>
  <si>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</si>
  <si>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</si>
  <si>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</si>
  <si>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</si>
  <si>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</si>
  <si>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</si>
  <si>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</si>
  <si>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</si>
  <si>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</si>
  <si>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</si>
  <si>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</si>
  <si>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</si>
  <si>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</si>
  <si>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</si>
  <si>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</si>
  <si>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</si>
  <si>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</si>
  <si>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</si>
  <si>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</si>
  <si>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</si>
  <si>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</si>
  <si>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</si>
  <si>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</si>
  <si>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</si>
  <si>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</si>
  <si>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</si>
  <si>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</si>
  <si>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</si>
  <si>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</si>
  <si>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</si>
  <si>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</si>
  <si>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</si>
  <si>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</si>
  <si>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</si>
  <si>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</si>
  <si>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</si>
  <si>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</si>
  <si>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</si>
  <si>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</si>
  <si>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</si>
  <si>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</si>
  <si>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</si>
  <si>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</si>
  <si>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</si>
  <si>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</si>
  <si>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</si>
  <si>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</si>
  <si>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</si>
  <si>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</si>
  <si>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</si>
  <si>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</si>
  <si>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</si>
  <si>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</si>
  <si>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</si>
  <si>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</si>
  <si>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</si>
  <si>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</si>
  <si>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</si>
  <si>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</si>
  <si>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</si>
  <si>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</si>
  <si>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</si>
  <si>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</si>
  <si>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</si>
  <si>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</si>
  <si>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</si>
  <si>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</si>
  <si>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</si>
  <si>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</si>
  <si>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</si>
  <si>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</si>
  <si>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</si>
  <si>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</si>
  <si>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</si>
  <si>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</si>
  <si>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</si>
  <si>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</si>
  <si>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</si>
  <si>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</si>
  <si>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</si>
  <si>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</si>
  <si>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</si>
  <si>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</si>
  <si>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</si>
  <si>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</si>
  <si>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</si>
  <si>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</si>
  <si>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</si>
  <si>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</si>
  <si>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</si>
  <si>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</si>
  <si>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</si>
  <si>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</si>
  <si>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</si>
  <si>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</si>
  <si>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</si>
  <si>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</si>
  <si>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</si>
  <si>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</si>
  <si>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</si>
  <si>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</si>
  <si>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</si>
  <si>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</si>
  <si>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</si>
  <si>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</si>
  <si>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</si>
  <si>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</si>
  <si>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</si>
  <si>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</si>
  <si>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</si>
  <si>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</si>
  <si>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</si>
  <si>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</si>
  <si>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</si>
  <si>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</si>
  <si>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</si>
  <si>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</si>
  <si>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</si>
  <si>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</si>
  <si>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</si>
  <si>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</si>
  <si>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</si>
  <si>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</si>
  <si>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</si>
  <si>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</si>
  <si>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</si>
  <si>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</si>
  <si>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</si>
  <si>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</si>
  <si>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</si>
  <si>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</si>
  <si>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</si>
  <si>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</si>
  <si>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</si>
  <si>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</si>
  <si>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</si>
  <si>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</si>
  <si>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</si>
  <si>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</si>
  <si>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</si>
  <si>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</si>
  <si>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</si>
  <si>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</si>
  <si>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</si>
  <si>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</si>
  <si>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</si>
  <si>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</si>
  <si>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</si>
  <si>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</si>
  <si>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</si>
  <si>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</si>
  <si>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</si>
  <si>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</si>
  <si>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</si>
  <si>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</si>
  <si>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</si>
  <si>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</si>
  <si>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</si>
  <si>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</si>
  <si>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</si>
  <si>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</si>
  <si>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</si>
  <si>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</si>
  <si>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</si>
  <si>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</si>
  <si>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</si>
  <si>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</si>
  <si>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</si>
  <si>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</si>
  <si>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</si>
  <si>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</si>
  <si>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</si>
  <si>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</si>
  <si>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</si>
  <si>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</si>
  <si>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</si>
  <si>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</si>
  <si>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</si>
  <si>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</si>
  <si>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</si>
  <si>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</si>
  <si>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</si>
  <si>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</si>
  <si>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</si>
  <si>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</si>
  <si>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</si>
  <si>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</si>
  <si>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</si>
  <si>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</si>
  <si>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</si>
  <si>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</si>
  <si>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</si>
  <si>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</si>
  <si>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</si>
  <si>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</si>
  <si>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</si>
  <si>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</si>
  <si>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</si>
  <si>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</si>
  <si>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</si>
  <si>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</si>
  <si>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</si>
  <si>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</si>
  <si>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</si>
  <si>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</si>
  <si>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</si>
  <si>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</si>
  <si>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</si>
  <si>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</si>
  <si>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</si>
  <si>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</si>
  <si>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</si>
  <si>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</si>
  <si>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</si>
  <si>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</si>
  <si>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</si>
  <si>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</si>
  <si>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</si>
  <si>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</si>
  <si>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</si>
  <si>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</si>
  <si>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</si>
  <si>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</si>
  <si>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</si>
  <si>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</si>
  <si>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</si>
  <si>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</si>
  <si>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</si>
  <si>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</si>
  <si>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</si>
  <si>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</si>
  <si>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</si>
  <si>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</si>
  <si>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</si>
  <si>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</si>
  <si>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</si>
  <si>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</si>
  <si>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</si>
  <si>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</si>
  <si>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</si>
  <si>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</si>
  <si>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</si>
  <si>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</si>
  <si>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</si>
  <si>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</si>
  <si>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</si>
  <si>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</si>
  <si>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</si>
  <si>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</si>
  <si>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</si>
  <si>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</si>
  <si>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</si>
  <si>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</si>
  <si>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</si>
  <si>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</si>
  <si>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</si>
  <si>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</si>
  <si>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</si>
  <si>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</si>
  <si>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</si>
  <si>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</si>
  <si>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</si>
  <si>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</si>
  <si>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</si>
  <si>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</si>
  <si>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</si>
  <si>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</si>
  <si>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</si>
  <si>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</si>
  <si>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</si>
  <si>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</si>
  <si>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</si>
  <si>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</si>
  <si>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</si>
  <si>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</si>
  <si>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</si>
  <si>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</si>
  <si>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</si>
  <si>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</si>
  <si>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</si>
  <si>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</si>
  <si>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</si>
  <si>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</si>
  <si>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</si>
  <si>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</si>
  <si>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</si>
  <si>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</si>
  <si>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</si>
  <si>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</si>
  <si>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</si>
  <si>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</si>
  <si>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</si>
  <si>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</si>
  <si>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</si>
  <si>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</si>
  <si>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</si>
  <si>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</si>
  <si>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</si>
  <si>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</si>
  <si>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</si>
  <si>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</si>
  <si>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</si>
  <si>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</si>
  <si>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</si>
  <si>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</si>
  <si>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</si>
  <si>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</si>
  <si>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</si>
  <si>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</si>
  <si>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</si>
  <si>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</si>
  <si>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</si>
  <si>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</si>
  <si>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</si>
  <si>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</si>
  <si>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</si>
  <si>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</si>
  <si>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</si>
  <si>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</si>
  <si>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</si>
  <si>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</si>
  <si>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</si>
  <si>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</si>
  <si>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</si>
  <si>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</si>
  <si>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</si>
  <si>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</si>
  <si>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</si>
  <si>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</si>
  <si>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</si>
  <si>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</si>
  <si>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</si>
  <si>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</si>
  <si>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</si>
  <si>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</si>
  <si>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</si>
  <si>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</si>
  <si>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</si>
  <si>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</si>
  <si>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</si>
  <si>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</si>
  <si>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</si>
  <si>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</si>
  <si>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</si>
  <si>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</si>
  <si>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</si>
  <si>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</si>
  <si>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</si>
  <si>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</si>
  <si>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</si>
  <si>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</si>
  <si>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</si>
  <si>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</si>
  <si>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</si>
  <si>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</si>
  <si>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</si>
  <si>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</si>
  <si>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</si>
  <si>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</si>
  <si>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</si>
  <si>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</si>
  <si>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</si>
  <si>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</si>
  <si>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</si>
  <si>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</si>
  <si>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</si>
  <si>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</si>
  <si>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</si>
  <si>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</si>
  <si>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</si>
  <si>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</si>
  <si>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</si>
  <si>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</si>
  <si>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</si>
  <si>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</si>
  <si>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</si>
  <si>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</si>
  <si>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</si>
  <si>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</si>
  <si>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</si>
  <si>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</si>
  <si>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</si>
  <si>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</si>
  <si>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</si>
  <si>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</si>
  <si>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</si>
  <si>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</si>
  <si>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</si>
  <si>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</si>
  <si>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</si>
  <si>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</si>
  <si>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</si>
  <si>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</si>
  <si>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</si>
  <si>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</si>
  <si>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</si>
  <si>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</si>
  <si>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</si>
  <si>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</si>
  <si>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</si>
  <si>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</si>
  <si>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</si>
  <si>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</si>
  <si>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</si>
  <si>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</si>
  <si>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</si>
  <si>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</si>
  <si>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</si>
  <si>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</si>
  <si>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</si>
  <si>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</si>
  <si>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</si>
  <si>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</si>
  <si>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</si>
  <si>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</si>
  <si>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</si>
  <si>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</si>
  <si>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</si>
  <si>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</si>
  <si>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</si>
  <si>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</si>
  <si>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</si>
  <si>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</si>
  <si>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</si>
  <si>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</si>
  <si>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</si>
  <si>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</si>
  <si>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</si>
  <si>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</si>
  <si>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</si>
  <si>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</si>
  <si>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</si>
  <si>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</si>
  <si>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</si>
  <si>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</si>
  <si>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</si>
  <si>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</si>
  <si>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</si>
  <si>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</si>
  <si>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</si>
  <si>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</si>
  <si>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</si>
  <si>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</si>
  <si>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</si>
  <si>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</si>
  <si>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</si>
  <si>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</si>
  <si>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</si>
  <si>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</si>
  <si>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</si>
  <si>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</si>
  <si>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</si>
  <si>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</si>
  <si>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</si>
  <si>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</si>
  <si>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</si>
  <si>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</si>
  <si>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</si>
  <si>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</si>
  <si>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</si>
  <si>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</si>
  <si>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</si>
  <si>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</si>
  <si>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</si>
  <si>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</si>
  <si>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</si>
  <si>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</si>
  <si>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</si>
  <si>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</si>
  <si>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</si>
  <si>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</si>
  <si>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</si>
  <si>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</si>
  <si>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</si>
  <si>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</si>
  <si>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</si>
  <si>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</si>
  <si>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</si>
  <si>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</si>
  <si>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</si>
  <si>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</si>
  <si>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</si>
  <si>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</si>
  <si>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</si>
  <si>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</si>
  <si>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</si>
  <si>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</si>
  <si>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</si>
  <si>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</si>
  <si>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</si>
  <si>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</si>
  <si>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</si>
  <si>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</si>
  <si>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</si>
  <si>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</si>
  <si>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</si>
  <si>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</si>
  <si>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</si>
  <si>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</si>
  <si>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</si>
  <si>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</si>
  <si>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</si>
  <si>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</si>
  <si>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</si>
  <si>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</si>
  <si>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</si>
  <si>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</si>
  <si>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</si>
  <si>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</si>
  <si>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</si>
  <si>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</si>
  <si>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</si>
  <si>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</si>
  <si>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</si>
  <si>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</si>
  <si>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</si>
  <si>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</si>
  <si>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</si>
  <si>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</si>
  <si>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</si>
  <si>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</si>
  <si>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</si>
  <si>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</si>
  <si>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</si>
  <si>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</si>
  <si>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</si>
  <si>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</si>
  <si>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</si>
  <si>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</si>
  <si>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</si>
  <si>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</si>
  <si>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</si>
  <si>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</si>
  <si>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</si>
  <si>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</si>
  <si>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</si>
  <si>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</si>
  <si>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</si>
  <si>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</si>
  <si>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</si>
  <si>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</si>
  <si>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</si>
  <si>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</si>
  <si>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</si>
  <si>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</si>
  <si>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</si>
  <si>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</si>
  <si>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</si>
  <si>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</si>
  <si>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</si>
  <si>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</si>
  <si>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</si>
  <si>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</si>
  <si>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</si>
  <si>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</si>
  <si>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</si>
  <si>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</si>
  <si>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</si>
  <si>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</si>
  <si>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</si>
  <si>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</si>
  <si>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</si>
  <si>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</si>
  <si>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</si>
  <si>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</si>
  <si>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</si>
  <si>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</si>
  <si>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</si>
  <si>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</si>
  <si>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</si>
  <si>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</si>
  <si>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</si>
  <si>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</si>
  <si>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</si>
  <si>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</si>
  <si>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</si>
  <si>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</si>
  <si>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</si>
  <si>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</si>
  <si>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</si>
  <si>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</si>
  <si>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</si>
  <si>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</si>
  <si>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</si>
  <si>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</si>
  <si>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</si>
  <si>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</si>
  <si>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</si>
  <si>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</si>
  <si>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</si>
  <si>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</si>
  <si>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</si>
  <si>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</si>
  <si>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</si>
  <si>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</si>
  <si>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</si>
  <si>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</si>
  <si>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</si>
  <si>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</si>
  <si>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</si>
  <si>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</si>
  <si>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</si>
  <si>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</si>
  <si>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</si>
  <si>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</si>
  <si>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</si>
  <si>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</si>
  <si>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</si>
  <si>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</si>
  <si>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</si>
  <si>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</si>
  <si>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</si>
  <si>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</si>
  <si>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</si>
  <si>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</si>
  <si>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</si>
  <si>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</si>
  <si>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</si>
  <si>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</si>
  <si>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</si>
  <si>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</si>
  <si>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</si>
  <si>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</si>
  <si>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</si>
  <si>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</si>
  <si>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</si>
  <si>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</si>
  <si>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</si>
  <si>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</si>
  <si>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</si>
  <si>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</si>
  <si>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</si>
  <si>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</si>
  <si>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</si>
  <si>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</si>
  <si>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</si>
  <si>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</si>
  <si>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</si>
  <si>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</si>
  <si>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</si>
  <si>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</si>
  <si>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</si>
  <si>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</si>
  <si>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</si>
  <si>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</si>
  <si>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</si>
  <si>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</si>
  <si>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</si>
  <si>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</si>
  <si>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</si>
  <si>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</si>
  <si>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</si>
  <si>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</si>
  <si>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</si>
  <si>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</si>
  <si>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</si>
  <si>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</si>
  <si>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</si>
  <si>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</si>
  <si>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</si>
  <si>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</si>
  <si>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</si>
  <si>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</si>
  <si>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</si>
  <si>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</si>
  <si>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</si>
  <si>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</si>
  <si>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</si>
  <si>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</si>
  <si>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</si>
  <si>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</si>
  <si>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</si>
  <si>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</si>
  <si>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</si>
  <si>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</si>
  <si>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</si>
  <si>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</si>
  <si>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</si>
  <si>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</si>
  <si>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</si>
  <si>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</si>
  <si>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</si>
  <si>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</si>
  <si>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</si>
  <si>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</si>
  <si>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</si>
  <si>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</si>
  <si>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</si>
  <si>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</si>
  <si>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</si>
  <si>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</si>
  <si>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</si>
  <si>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</si>
  <si>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</si>
  <si>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</si>
  <si>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</si>
  <si>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</si>
  <si>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</si>
  <si>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</si>
  <si>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</si>
  <si>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</si>
  <si>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</si>
  <si>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</si>
  <si>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</si>
  <si>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</si>
  <si>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</si>
  <si>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</si>
  <si>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</si>
  <si>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</si>
  <si>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</si>
  <si>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</si>
  <si>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</si>
  <si>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</si>
  <si>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</si>
  <si>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</si>
  <si>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</si>
  <si>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</si>
  <si>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</si>
  <si>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</si>
  <si>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</si>
  <si>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</si>
  <si>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</si>
  <si>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</si>
  <si>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</si>
  <si>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</si>
  <si>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</si>
  <si>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</si>
  <si>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</si>
  <si>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</si>
  <si>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</si>
  <si>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</si>
  <si>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</si>
  <si>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</si>
  <si>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</si>
  <si>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</si>
  <si>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</si>
  <si>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</si>
  <si>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</si>
  <si>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</si>
  <si>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</si>
  <si>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</si>
  <si>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</si>
  <si>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</si>
  <si>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</si>
  <si>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</si>
  <si>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</si>
  <si>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</si>
  <si>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</si>
  <si>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</si>
  <si>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</si>
  <si>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</si>
  <si>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</si>
  <si>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</si>
  <si>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</si>
  <si>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</si>
  <si>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</si>
  <si>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</si>
  <si>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</si>
  <si>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</si>
  <si>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</si>
  <si>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</si>
  <si>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</si>
  <si>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</si>
  <si>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</si>
  <si>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</si>
  <si>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</si>
  <si>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</si>
  <si>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</si>
  <si>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</si>
  <si>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</si>
  <si>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</si>
  <si>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</si>
  <si>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</si>
  <si>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</si>
  <si>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</si>
  <si>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</si>
  <si>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</si>
  <si>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</si>
  <si>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</si>
  <si>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</si>
  <si>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</si>
  <si>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</si>
  <si>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</si>
  <si>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</si>
  <si>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</si>
  <si>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</si>
  <si>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</si>
  <si>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</si>
  <si>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</si>
  <si>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</si>
  <si>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</si>
  <si>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</si>
  <si>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</si>
  <si>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</si>
  <si>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</si>
  <si>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</si>
  <si>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</si>
  <si>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</si>
  <si>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</si>
  <si>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</si>
  <si>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</si>
  <si>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</si>
  <si>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</si>
  <si>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</si>
  <si>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</si>
  <si>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</si>
  <si>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</si>
  <si>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</si>
  <si>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</si>
  <si>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</si>
  <si>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</si>
  <si>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</si>
  <si>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</si>
  <si>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</si>
  <si>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</si>
  <si>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</si>
  <si>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</si>
  <si>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</si>
  <si>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</si>
  <si>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</si>
  <si>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</si>
  <si>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</si>
  <si>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</si>
  <si>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</si>
  <si>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</si>
  <si>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</si>
  <si>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</si>
  <si>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</si>
  <si>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</si>
  <si>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</si>
  <si>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</si>
  <si>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</si>
  <si>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</si>
  <si>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</si>
  <si>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</si>
  <si>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</si>
  <si>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</si>
  <si>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</si>
  <si>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</si>
  <si>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</si>
  <si>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</si>
  <si>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</si>
  <si>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</si>
  <si>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</si>
  <si>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</si>
  <si>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</si>
  <si>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</si>
  <si>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</si>
  <si>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</si>
  <si>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</si>
  <si>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</si>
  <si>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</si>
  <si>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</si>
  <si>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</si>
  <si>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</si>
  <si>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</si>
  <si>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</si>
  <si>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</si>
  <si>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</si>
  <si>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</si>
  <si>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</si>
  <si>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</si>
  <si>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</si>
  <si>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</si>
  <si>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</si>
  <si>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</si>
  <si>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</si>
  <si>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</si>
  <si>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</si>
  <si>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</si>
  <si>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</si>
  <si>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</si>
  <si>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</si>
  <si>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</si>
  <si>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</si>
  <si>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</si>
  <si>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</si>
  <si>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</si>
  <si>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</si>
  <si>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</si>
  <si>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</si>
  <si>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</si>
  <si>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</si>
  <si>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</si>
  <si>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</si>
  <si>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</si>
  <si>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</si>
  <si>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</si>
  <si>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</si>
  <si>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</si>
  <si>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</si>
  <si>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</si>
  <si>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</si>
  <si>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</si>
  <si>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</si>
  <si>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</si>
  <si>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</si>
  <si>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</si>
  <si>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</si>
  <si>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</si>
  <si>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</si>
  <si>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</si>
  <si>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</si>
  <si>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</si>
  <si>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</si>
  <si>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</si>
  <si>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</si>
  <si>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</si>
  <si>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</si>
  <si>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</si>
  <si>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</si>
  <si>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</si>
  <si>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</si>
  <si>
    <t>06-D0901</t>
  </si>
  <si>
    <t>MICRO SWITCH M12-618 180º FF4515</t>
  </si>
  <si>
    <t>43-F8090KMGL33W</t>
  </si>
  <si>
    <t>JANTE 8,0X19 5X112 ET33 KOMET GBMR</t>
  </si>
  <si>
    <t>43-F9090KMGL30W</t>
  </si>
  <si>
    <t>JANTE 9,0X19 5X112 ET33 KOMET GBMR</t>
  </si>
  <si>
    <t>34-N710D</t>
  </si>
  <si>
    <t>13-1010601610XX</t>
  </si>
  <si>
    <t>MAHLE - KIT CARPET (2) CAMERA 360º  (VAG)</t>
  </si>
  <si>
    <t>13-1010601612XX</t>
  </si>
  <si>
    <t>MAHLE - PAINEL FOR REAR AND 360º CAMERA (VAG)</t>
  </si>
  <si>
    <t>13-1010601666XX</t>
  </si>
  <si>
    <t>MAHLE - DIGITAL ADAS EASY PLACING KIT</t>
  </si>
  <si>
    <t>13-1010601733XX</t>
  </si>
  <si>
    <t>MAHLE - BLIND SPOT CALIBRATOR - DOPPLER VAG-MAZDA-PORSCHE</t>
  </si>
  <si>
    <t>13-72591</t>
  </si>
  <si>
    <t>MOBILIÁRIO P/ OFICINA 4 ELEMENTOS INOX</t>
  </si>
  <si>
    <t>ALTO S.JOÃO PNEUS - COM.PNEUS UNIPESSOAL, LDA</t>
  </si>
  <si>
    <t>ELVIRA DA CONCEIÇÃO FIDALGO DIAS</t>
  </si>
  <si>
    <t>HV PNEUS UNIPESSOAL LDA</t>
  </si>
  <si>
    <t>99DESMONTAR2071</t>
  </si>
  <si>
    <t>MÁQ. DE DESMONTAR / MONTAR PNEUS PESADOS - USADA</t>
  </si>
  <si>
    <t>LUBRITYRES - LUBRIFICANTES PNEUS E ACESSORIOS UNIPESSOAL 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</si>
</sst>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721"/>
  <sheetViews>
    <sheetView tabSelected="1" workbookViewId="0">
      <pane ySplit="1" topLeftCell="A779" activePane="bottomLeft" state="frozen"/>
      <selection pane="bottomLeft" activeCell="M794" sqref="M794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3267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3225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3225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3225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3225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3225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3225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3225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3225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3225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3225</v>
      </c>
      <c r="AA11" s="2" t="s">
        <v>71</v>
      </c>
      <c r="AB11" s="2" t="s">
        <v>68</v>
      </c>
      <c r="AC11" s="2" t="s">
        <v>3229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3225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3267</v>
      </c>
      <c r="M13" s="2" t="s">
        <v>80</v>
      </c>
      <c r="O13" s="2" t="s">
        <v>3196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3225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3267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3225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3267</v>
      </c>
      <c r="M15" s="2" t="s">
        <v>41</v>
      </c>
      <c r="O15" s="2" t="s">
        <v>3144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3225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3225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3225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3225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3170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3453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3225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3453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3225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3225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3225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3225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3225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3225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3225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3225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3225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3225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3225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3225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3225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3399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3225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3225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3399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3225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3399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3225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3399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3225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3267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3225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3225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3225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3225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3225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3225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3225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3112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3225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3112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3225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3112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3225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3112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3225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3112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3225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3112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3225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3112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3225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3112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3225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3112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3225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3112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3225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3112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3225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3112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3225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3112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3225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3112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3225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3112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3225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3112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3225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3112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3225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3112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3225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3112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3225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3112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3225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3112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3225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3112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3225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3112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3225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3112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3225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3112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3225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3112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3225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3112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3225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3112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3225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3112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3225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3112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3225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3112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3225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3112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3225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3112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3225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3112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3225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3112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3225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3112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3225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3454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3225</v>
      </c>
      <c r="AA100" s="2" t="s">
        <v>71</v>
      </c>
      <c r="AB100" s="2" t="s">
        <v>68</v>
      </c>
      <c r="AC100" s="2" t="s">
        <v>3229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3225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3225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3225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3225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3225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3225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3304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3225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3487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3225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3487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3225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3487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3225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3487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3225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3487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3225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3487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3172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3171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3304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3225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3500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3225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3225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3487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3229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3453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3225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3453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3225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3113</v>
      </c>
      <c r="J124" s="2" t="s">
        <v>3114</v>
      </c>
      <c r="L124" s="2" t="s">
        <v>339</v>
      </c>
      <c r="M124" s="2" t="s">
        <v>40</v>
      </c>
      <c r="O124" s="2" t="s">
        <v>3115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3113</v>
      </c>
      <c r="J125" s="2" t="s">
        <v>3114</v>
      </c>
      <c r="L125" s="2" t="s">
        <v>339</v>
      </c>
      <c r="M125" s="2" t="s">
        <v>40</v>
      </c>
      <c r="O125" s="2" t="s">
        <v>3115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3113</v>
      </c>
      <c r="J126" s="2" t="s">
        <v>3114</v>
      </c>
      <c r="L126" s="2" t="s">
        <v>112</v>
      </c>
      <c r="M126" s="2" t="s">
        <v>40</v>
      </c>
      <c r="O126" s="2" t="s">
        <v>3115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3304</v>
      </c>
      <c r="D127" s="2" t="s">
        <v>311</v>
      </c>
      <c r="E127" s="2" t="s">
        <v>2445</v>
      </c>
      <c r="F127" s="2" t="s">
        <v>39</v>
      </c>
      <c r="G127" s="2">
        <v>505814030</v>
      </c>
      <c r="H127" s="2" t="s">
        <v>290</v>
      </c>
      <c r="I127" s="2" t="s">
        <v>2446</v>
      </c>
      <c r="J127" s="2" t="s">
        <v>2447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3225</v>
      </c>
      <c r="AA127" s="2" t="s">
        <v>71</v>
      </c>
      <c r="AB127" s="2" t="s">
        <v>68</v>
      </c>
      <c r="AC127" s="2" t="s">
        <v>3229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3225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3225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3453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3225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3453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3225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3453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3225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3453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3225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3225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3225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3453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3225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3453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3225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3453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3225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3453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3225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3225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3225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3500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3399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3399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3225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3225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3225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3487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3487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3118</v>
      </c>
      <c r="K155" s="2">
        <v>917575485</v>
      </c>
      <c r="L155" s="2" t="s">
        <v>461</v>
      </c>
      <c r="M155" s="2" t="s">
        <v>41</v>
      </c>
      <c r="O155" s="2" t="s">
        <v>3120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3225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3118</v>
      </c>
      <c r="K156" s="2">
        <v>917575485</v>
      </c>
      <c r="L156" s="2" t="s">
        <v>461</v>
      </c>
      <c r="M156" s="2" t="s">
        <v>41</v>
      </c>
      <c r="O156" s="2" t="s">
        <v>3120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3225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3377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3225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3225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3453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3453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3225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3453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3225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3453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3225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3225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3225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3377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3225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3225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3377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3225</v>
      </c>
      <c r="AA173" s="2" t="s">
        <v>46</v>
      </c>
      <c r="AB173" s="2" t="s">
        <v>60</v>
      </c>
      <c r="AC173" s="2" t="s">
        <v>3329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3225</v>
      </c>
      <c r="AA174" s="2" t="s">
        <v>46</v>
      </c>
      <c r="AB174" s="2" t="s">
        <v>60</v>
      </c>
      <c r="AC174" s="2" t="s">
        <v>3329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2475</v>
      </c>
      <c r="J175" s="2" t="s">
        <v>3121</v>
      </c>
      <c r="K175" s="2">
        <v>965864665</v>
      </c>
      <c r="L175" s="2" t="s">
        <v>344</v>
      </c>
      <c r="M175" s="2" t="s">
        <v>80</v>
      </c>
      <c r="O175" s="2" t="s">
        <v>3122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3225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2475</v>
      </c>
      <c r="J176" s="2" t="s">
        <v>3121</v>
      </c>
      <c r="K176" s="2">
        <v>965864665</v>
      </c>
      <c r="L176" s="2" t="s">
        <v>344</v>
      </c>
      <c r="M176" s="2" t="s">
        <v>80</v>
      </c>
      <c r="O176" s="2" t="s">
        <v>3122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3225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3127</v>
      </c>
      <c r="K181" s="2">
        <v>962555043</v>
      </c>
      <c r="L181" s="2" t="s">
        <v>344</v>
      </c>
      <c r="M181" s="2" t="s">
        <v>40</v>
      </c>
      <c r="O181" s="2" t="s">
        <v>3128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3127</v>
      </c>
      <c r="K182" s="2">
        <v>962555043</v>
      </c>
      <c r="L182" s="2" t="s">
        <v>344</v>
      </c>
      <c r="M182" s="2" t="s">
        <v>40</v>
      </c>
      <c r="O182" s="2" t="s">
        <v>3128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3304</v>
      </c>
      <c r="D183" s="2" t="s">
        <v>3327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3225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3225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3225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3225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3225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3225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3225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3453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3225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3225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3174</v>
      </c>
      <c r="K195" s="2">
        <v>911577458</v>
      </c>
      <c r="L195" s="2" t="s">
        <v>177</v>
      </c>
      <c r="M195" s="2" t="s">
        <v>41</v>
      </c>
      <c r="O195" s="2" t="s">
        <v>3175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3225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3174</v>
      </c>
      <c r="K196" s="2">
        <v>911577458</v>
      </c>
      <c r="L196" s="2" t="s">
        <v>177</v>
      </c>
      <c r="M196" s="2" t="s">
        <v>41</v>
      </c>
      <c r="O196" s="2" t="s">
        <v>3175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3225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3179</v>
      </c>
      <c r="L197" s="2" t="s">
        <v>133</v>
      </c>
      <c r="M197" s="2" t="s">
        <v>40</v>
      </c>
      <c r="O197" s="2" t="s">
        <v>3180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3225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3225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3225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3225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3225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3225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3225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3225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3377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3304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3225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3225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3225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3225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3225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3131</v>
      </c>
      <c r="L222" s="2" t="s">
        <v>177</v>
      </c>
      <c r="M222" s="2" t="s">
        <v>41</v>
      </c>
      <c r="O222" s="2" t="s">
        <v>3130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3225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3131</v>
      </c>
      <c r="L223" s="2" t="s">
        <v>177</v>
      </c>
      <c r="M223" s="2" t="s">
        <v>41</v>
      </c>
      <c r="O223" s="2" t="s">
        <v>3130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3225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3131</v>
      </c>
      <c r="L224" s="2" t="s">
        <v>177</v>
      </c>
      <c r="M224" s="2" t="s">
        <v>41</v>
      </c>
      <c r="O224" s="2" t="s">
        <v>3130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3225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3225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3225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3225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3225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3132</v>
      </c>
      <c r="L229" s="2" t="s">
        <v>177</v>
      </c>
      <c r="M229" s="2" t="s">
        <v>41</v>
      </c>
      <c r="O229" s="2" t="s">
        <v>3133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3225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3225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3225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3225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3182</v>
      </c>
      <c r="J239" s="2" t="s">
        <v>3183</v>
      </c>
      <c r="L239" s="2" t="s">
        <v>201</v>
      </c>
      <c r="M239" s="2" t="s">
        <v>41</v>
      </c>
      <c r="O239" s="2" t="s">
        <v>3184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3225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3182</v>
      </c>
      <c r="J240" s="2" t="s">
        <v>3183</v>
      </c>
      <c r="L240" s="2" t="s">
        <v>201</v>
      </c>
      <c r="M240" s="2" t="s">
        <v>41</v>
      </c>
      <c r="O240" s="2" t="s">
        <v>3184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3225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3225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3225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3225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3189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3225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3225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1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3225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3225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3225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3225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3225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3225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3225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3225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3225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3225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3304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3185</v>
      </c>
      <c r="L262" s="2" t="s">
        <v>339</v>
      </c>
      <c r="M262" s="2" t="s">
        <v>40</v>
      </c>
      <c r="O262" s="2" t="s">
        <v>3186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>
        <v>0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3185</v>
      </c>
      <c r="L263" s="2" t="s">
        <v>339</v>
      </c>
      <c r="M263" s="2" t="s">
        <v>40</v>
      </c>
      <c r="O263" s="2" t="s">
        <v>3187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3225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3225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3225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3225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3225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3225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3225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3225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3225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3225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3225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3225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3225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3225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3225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3225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3225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3225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3225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3225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3225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3225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3225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3225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3225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3225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3225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>
        <v>0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3225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3225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3225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3225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3435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3225</v>
      </c>
      <c r="AA302" s="2" t="s">
        <v>46</v>
      </c>
      <c r="AB302" s="2" t="s">
        <v>60</v>
      </c>
      <c r="AC302" s="2" t="s">
        <v>3329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3225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3225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3225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3225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3225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3225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3453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3182</v>
      </c>
      <c r="J312" s="2" t="s">
        <v>3236</v>
      </c>
      <c r="K312" s="2">
        <v>965347433</v>
      </c>
      <c r="L312" s="2" t="s">
        <v>201</v>
      </c>
      <c r="M312" s="2" t="s">
        <v>41</v>
      </c>
      <c r="O312" s="2" t="s">
        <v>3237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3225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3453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3182</v>
      </c>
      <c r="J313" s="2" t="s">
        <v>3236</v>
      </c>
      <c r="K313" s="2">
        <v>965347433</v>
      </c>
      <c r="L313" s="2" t="s">
        <v>201</v>
      </c>
      <c r="M313" s="2" t="s">
        <v>41</v>
      </c>
      <c r="O313" s="2" t="s">
        <v>3237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3225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3225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3225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3304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3304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3304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3304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3304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3173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3173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3225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3225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3453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3225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3453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3225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3225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3225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3225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3225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1622</v>
      </c>
      <c r="J336" s="2" t="s">
        <v>3168</v>
      </c>
      <c r="L336" s="2" t="s">
        <v>339</v>
      </c>
      <c r="M336" s="2" t="s">
        <v>40</v>
      </c>
      <c r="O336" s="2" t="s">
        <v>3169</v>
      </c>
      <c r="P336" s="2" t="s">
        <v>1607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1607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3225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3225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3225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3225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3399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3188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3225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3225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3225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3225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3225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3225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3225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3225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3225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3225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3225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3225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3225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3225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3305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3305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3305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3486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3225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3225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3225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3225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3225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3225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3225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3225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3225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3225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3225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3225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3225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3225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3377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3225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3225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3225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3305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3225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3305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3225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3225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3225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3225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3225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3225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3225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3225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3225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3225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3225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3225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3301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3368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3301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3368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3225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3225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3225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3225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3225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3225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3225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3225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3225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3225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3225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3225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3225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3225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3469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3469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3469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3225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3225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3225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3225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3305</v>
      </c>
      <c r="D455" s="2" t="s">
        <v>3303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3302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3301</v>
      </c>
      <c r="D456" s="2" t="s">
        <v>3300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3299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3305</v>
      </c>
      <c r="D457" s="2" t="s">
        <v>3303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3302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3305</v>
      </c>
      <c r="D458" s="2" t="s">
        <v>3306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3301</v>
      </c>
      <c r="D459" s="2" t="s">
        <v>3300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3299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3377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3225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3225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3225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3225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3225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3377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3399</v>
      </c>
      <c r="D472" s="2" t="s">
        <v>850</v>
      </c>
      <c r="E472" s="2" t="s">
        <v>183</v>
      </c>
      <c r="F472" s="2" t="s">
        <v>3528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3225</v>
      </c>
      <c r="AA472" s="2" t="s">
        <v>155</v>
      </c>
      <c r="AB472" s="2" t="s">
        <v>3379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3225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3225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3225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3225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3225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3225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3225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3225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3225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3225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3225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3225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3225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3225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3225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3225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3225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3225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3305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3225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3225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3225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3225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3225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3225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3225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3225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3225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3225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3225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3225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3225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3469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3225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3469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3225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3377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3225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3225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3225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3399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3225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3399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3225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3225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3399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3225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3399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3225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3225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3225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3225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3225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3225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3225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3225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3225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3225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3225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3225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3225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3470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3225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3454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3225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3454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3225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3225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3225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3225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3225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3225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3225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3225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3225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3225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3225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3225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3225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3225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3225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3225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3486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3225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1986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3225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1986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3225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3225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3225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3225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3225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3225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3225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3225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3225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3225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3225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3225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3377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3225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3225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3504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3225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3225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3225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3225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3225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3225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3225</v>
      </c>
      <c r="AA612" s="2" t="s">
        <v>46</v>
      </c>
      <c r="AB612" s="2" t="s">
        <v>60</v>
      </c>
      <c r="AC612" s="2" t="s">
        <v>3329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3225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3225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3377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3225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2537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3225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3225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3225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3225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3225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3454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3225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3454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3225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3225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3225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3225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3225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3225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3225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3225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3225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3225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3225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3225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3225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3225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3145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3225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3225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3225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3225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3225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3225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3225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3225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3225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3225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3225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3225</v>
      </c>
      <c r="AA670" s="2" t="s">
        <v>71</v>
      </c>
      <c r="AB670" s="2" t="s">
        <v>1599</v>
      </c>
      <c r="AC670" s="2" t="s">
        <v>1599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3225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3225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2690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3225</v>
      </c>
      <c r="AA673" s="2" t="s">
        <v>3380</v>
      </c>
      <c r="AB673" s="2" t="s">
        <v>3381</v>
      </c>
      <c r="AC673" s="2" t="s">
        <v>3382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3225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3225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1553</v>
      </c>
      <c r="J676" s="2" t="s">
        <v>1823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3225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1553</v>
      </c>
      <c r="J677" s="2" t="s">
        <v>1823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3225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3225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3225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3225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3225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3454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3225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3454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3225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3454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3225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3225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3225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3225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3499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1193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2745</v>
      </c>
      <c r="AB692" s="2" t="s">
        <v>2746</v>
      </c>
      <c r="AC692" s="2" t="s">
        <v>1193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3499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1193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1193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3225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3225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3225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3225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3225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3225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3225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3225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3225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3225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3225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3225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3225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3225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3225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3225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3377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3225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3225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3451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3243</v>
      </c>
      <c r="J727" s="2" t="s">
        <v>3244</v>
      </c>
      <c r="K727" s="2">
        <v>96179412</v>
      </c>
      <c r="L727" s="2" t="s">
        <v>461</v>
      </c>
      <c r="M727" s="2" t="s">
        <v>40</v>
      </c>
      <c r="O727" s="2" t="s">
        <v>3246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3451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3243</v>
      </c>
      <c r="J728" s="2" t="s">
        <v>3244</v>
      </c>
      <c r="K728" s="2">
        <v>96179412</v>
      </c>
      <c r="L728" s="2" t="s">
        <v>461</v>
      </c>
      <c r="M728" s="2" t="s">
        <v>40</v>
      </c>
      <c r="O728" s="2" t="s">
        <v>3246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3225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3225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3454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3225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3454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3225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2293</v>
      </c>
      <c r="J735" s="2" t="s">
        <v>2294</v>
      </c>
      <c r="K735" s="2">
        <v>965790183</v>
      </c>
      <c r="L735" s="2" t="s">
        <v>177</v>
      </c>
      <c r="M735" s="2" t="s">
        <v>41</v>
      </c>
      <c r="O735" s="2" t="s">
        <v>3216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3225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3225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3225</v>
      </c>
      <c r="AA740" s="2" t="s">
        <v>46</v>
      </c>
      <c r="AB740" s="2" t="s">
        <v>60</v>
      </c>
      <c r="AC740" s="2" t="s">
        <v>3329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3225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3225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3225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3225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3225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3225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3225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3225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3225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3225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3225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3190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3225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3225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3225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3225</v>
      </c>
      <c r="AA756" s="2" t="s">
        <v>71</v>
      </c>
      <c r="AB756" s="2" t="s">
        <v>68</v>
      </c>
      <c r="AC756" s="2" t="s">
        <v>3229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3225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3377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3225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3405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3405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1573</v>
      </c>
      <c r="AB769" s="2" t="s">
        <v>388</v>
      </c>
      <c r="AC769" s="2" t="s">
        <v>1326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1573</v>
      </c>
      <c r="AB770" s="2" t="s">
        <v>388</v>
      </c>
      <c r="AC770" s="2" t="s">
        <v>1326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3405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3225</v>
      </c>
      <c r="AA772" s="2" t="s">
        <v>71</v>
      </c>
      <c r="AB772" s="2" t="s">
        <v>68</v>
      </c>
      <c r="AC772" s="2" t="s">
        <v>3229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3319</v>
      </c>
      <c r="D773" s="2" t="s">
        <v>1162</v>
      </c>
      <c r="E773" s="2" t="s">
        <v>752</v>
      </c>
      <c r="F773" s="2" t="s">
        <v>1216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3319</v>
      </c>
      <c r="D774" s="2" t="s">
        <v>1162</v>
      </c>
      <c r="E774" s="2" t="s">
        <v>752</v>
      </c>
      <c r="F774" s="2" t="s">
        <v>1216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3319</v>
      </c>
      <c r="D775" s="2" t="s">
        <v>1162</v>
      </c>
      <c r="E775" s="2" t="s">
        <v>752</v>
      </c>
      <c r="F775" s="2" t="s">
        <v>1216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3225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3490</v>
      </c>
      <c r="O779" s="2" t="s">
        <v>1172</v>
      </c>
      <c r="P779" s="2" t="s">
        <v>43</v>
      </c>
      <c r="Q779" s="2" t="s">
        <v>1173</v>
      </c>
      <c r="R779" s="2" t="s">
        <v>1174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3225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3490</v>
      </c>
      <c r="O780" s="2" t="s">
        <v>1172</v>
      </c>
      <c r="P780" s="2" t="s">
        <v>43</v>
      </c>
      <c r="Q780" s="2" t="s">
        <v>1175</v>
      </c>
      <c r="R780" s="2" t="s">
        <v>1176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3225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3490</v>
      </c>
      <c r="O781" s="2" t="s">
        <v>1172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3225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1177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1178</v>
      </c>
      <c r="J782" s="2" t="s">
        <v>1179</v>
      </c>
      <c r="L782" s="2" t="s">
        <v>461</v>
      </c>
      <c r="M782" s="2" t="s">
        <v>41</v>
      </c>
      <c r="O782" s="2" t="s">
        <v>1180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3225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1177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1178</v>
      </c>
      <c r="J783" s="2" t="s">
        <v>1179</v>
      </c>
      <c r="L783" s="2" t="s">
        <v>461</v>
      </c>
      <c r="M783" s="2" t="s">
        <v>41</v>
      </c>
      <c r="O783" s="2" t="s">
        <v>1180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3225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1177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1178</v>
      </c>
      <c r="J784" s="2" t="s">
        <v>1179</v>
      </c>
      <c r="L784" s="2" t="s">
        <v>461</v>
      </c>
      <c r="M784" s="2" t="s">
        <v>41</v>
      </c>
      <c r="O784" s="2" t="s">
        <v>1180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3225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1177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1178</v>
      </c>
      <c r="J785" s="2" t="s">
        <v>1179</v>
      </c>
      <c r="L785" s="2" t="s">
        <v>461</v>
      </c>
      <c r="M785" s="2" t="s">
        <v>41</v>
      </c>
      <c r="O785" s="2" t="s">
        <v>1181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3225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1177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1178</v>
      </c>
      <c r="J786" s="2" t="s">
        <v>1179</v>
      </c>
      <c r="L786" s="2" t="s">
        <v>461</v>
      </c>
      <c r="M786" s="2" t="s">
        <v>41</v>
      </c>
      <c r="O786" s="2" t="s">
        <v>1180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3225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1177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1178</v>
      </c>
      <c r="J787" s="2" t="s">
        <v>1179</v>
      </c>
      <c r="L787" s="2" t="s">
        <v>461</v>
      </c>
      <c r="M787" s="2" t="s">
        <v>41</v>
      </c>
      <c r="O787" s="2" t="s">
        <v>1180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3225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1182</v>
      </c>
      <c r="R789" s="2" t="s">
        <v>1183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1184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3225</v>
      </c>
      <c r="AA790" s="2" t="s">
        <v>71</v>
      </c>
      <c r="AB790" s="2" t="s">
        <v>68</v>
      </c>
      <c r="AC790" s="2" t="s">
        <v>3229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1184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1185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1186</v>
      </c>
      <c r="L792" s="2" t="s">
        <v>99</v>
      </c>
      <c r="M792" s="2" t="s">
        <v>80</v>
      </c>
      <c r="O792" s="2" t="s">
        <v>1187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3225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1185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1186</v>
      </c>
      <c r="L793" s="2" t="s">
        <v>99</v>
      </c>
      <c r="M793" s="2" t="s">
        <v>80</v>
      </c>
      <c r="O793" s="2" t="s">
        <v>1187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3225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1188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1189</v>
      </c>
      <c r="K794" s="2">
        <v>965705708</v>
      </c>
      <c r="L794" s="2" t="s">
        <v>418</v>
      </c>
      <c r="M794" s="2" t="s">
        <v>40</v>
      </c>
      <c r="O794" s="2" t="s">
        <v>1190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3377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3308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1191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3225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3308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3225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3217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3225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3217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3225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1192</v>
      </c>
      <c r="P799" s="2" t="s">
        <v>1193</v>
      </c>
      <c r="Q799" s="2" t="s">
        <v>1194</v>
      </c>
      <c r="R799" s="2" t="s">
        <v>1195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1193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1192</v>
      </c>
      <c r="P800" s="2" t="s">
        <v>1193</v>
      </c>
      <c r="Q800" s="2" t="s">
        <v>1196</v>
      </c>
      <c r="R800" s="2" t="s">
        <v>1197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1198</v>
      </c>
      <c r="AB800" s="2" t="s">
        <v>119</v>
      </c>
      <c r="AC800" s="2" t="s">
        <v>1193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1192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1192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1199</v>
      </c>
      <c r="R803" s="2" t="s">
        <v>1200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3308</v>
      </c>
      <c r="D804" s="2" t="s">
        <v>1201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1202</v>
      </c>
      <c r="J804" s="2" t="s">
        <v>1203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1204</v>
      </c>
      <c r="R804" s="2" t="s">
        <v>1205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3225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3505</v>
      </c>
      <c r="D805" s="2" t="s">
        <v>1201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1202</v>
      </c>
      <c r="J805" s="2" t="s">
        <v>1203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3225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3505</v>
      </c>
      <c r="D806" s="2" t="s">
        <v>1201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1202</v>
      </c>
      <c r="J806" s="2" t="s">
        <v>1203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3225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3505</v>
      </c>
      <c r="D807" s="2" t="s">
        <v>1201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1202</v>
      </c>
      <c r="J807" s="2" t="s">
        <v>1203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3225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3505</v>
      </c>
      <c r="D808" s="2" t="s">
        <v>1201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1202</v>
      </c>
      <c r="J808" s="2" t="s">
        <v>1203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3225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3505</v>
      </c>
      <c r="D809" s="2" t="s">
        <v>1201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1202</v>
      </c>
      <c r="J809" s="2" t="s">
        <v>1203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1206</v>
      </c>
      <c r="R809" s="2" t="s">
        <v>1207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3225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3505</v>
      </c>
      <c r="D810" s="2" t="s">
        <v>1201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1202</v>
      </c>
      <c r="J810" s="2" t="s">
        <v>1203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1208</v>
      </c>
      <c r="R810" s="2" t="s">
        <v>1209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3225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3505</v>
      </c>
      <c r="D811" s="2" t="s">
        <v>1201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1202</v>
      </c>
      <c r="J811" s="2" t="s">
        <v>1203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1210</v>
      </c>
      <c r="R811" s="2" t="s">
        <v>1211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3225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3505</v>
      </c>
      <c r="D812" s="2" t="s">
        <v>1201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1202</v>
      </c>
      <c r="J812" s="2" t="s">
        <v>1203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3225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1212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3225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1212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3225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1213</v>
      </c>
      <c r="R815" s="2" t="s">
        <v>1214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1215</v>
      </c>
      <c r="E818" s="2" t="s">
        <v>752</v>
      </c>
      <c r="F818" s="2" t="s">
        <v>1216</v>
      </c>
      <c r="G818" s="2">
        <v>505181983</v>
      </c>
      <c r="H818" s="2" t="s">
        <v>109</v>
      </c>
      <c r="I818" s="2" t="s">
        <v>1217</v>
      </c>
      <c r="J818" s="2" t="s">
        <v>1218</v>
      </c>
      <c r="L818" s="2" t="s">
        <v>112</v>
      </c>
      <c r="M818" s="2" t="s">
        <v>80</v>
      </c>
      <c r="O818" s="2" t="s">
        <v>1219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3225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1215</v>
      </c>
      <c r="E819" s="2" t="s">
        <v>752</v>
      </c>
      <c r="F819" s="2" t="s">
        <v>1216</v>
      </c>
      <c r="G819" s="2">
        <v>505181983</v>
      </c>
      <c r="H819" s="2" t="s">
        <v>109</v>
      </c>
      <c r="I819" s="2" t="s">
        <v>1217</v>
      </c>
      <c r="J819" s="2" t="s">
        <v>1218</v>
      </c>
      <c r="L819" s="2" t="s">
        <v>112</v>
      </c>
      <c r="M819" s="2" t="s">
        <v>80</v>
      </c>
      <c r="O819" s="2" t="s">
        <v>1219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3225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1215</v>
      </c>
      <c r="E820" s="2" t="s">
        <v>752</v>
      </c>
      <c r="F820" s="2" t="s">
        <v>1216</v>
      </c>
      <c r="G820" s="2">
        <v>505181983</v>
      </c>
      <c r="H820" s="2" t="s">
        <v>109</v>
      </c>
      <c r="I820" s="2" t="s">
        <v>1217</v>
      </c>
      <c r="J820" s="2" t="s">
        <v>1218</v>
      </c>
      <c r="L820" s="2" t="s">
        <v>112</v>
      </c>
      <c r="M820" s="2" t="s">
        <v>80</v>
      </c>
      <c r="O820" s="2" t="s">
        <v>1219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3225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1215</v>
      </c>
      <c r="E821" s="2" t="s">
        <v>752</v>
      </c>
      <c r="F821" s="2" t="s">
        <v>1216</v>
      </c>
      <c r="G821" s="2">
        <v>505181983</v>
      </c>
      <c r="H821" s="2" t="s">
        <v>109</v>
      </c>
      <c r="I821" s="2" t="s">
        <v>1217</v>
      </c>
      <c r="J821" s="2" t="s">
        <v>1218</v>
      </c>
      <c r="L821" s="2" t="s">
        <v>112</v>
      </c>
      <c r="M821" s="2" t="s">
        <v>80</v>
      </c>
      <c r="O821" s="2" t="s">
        <v>1219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3225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1215</v>
      </c>
      <c r="E822" s="2" t="s">
        <v>752</v>
      </c>
      <c r="F822" s="2" t="s">
        <v>1216</v>
      </c>
      <c r="G822" s="2">
        <v>505181983</v>
      </c>
      <c r="H822" s="2" t="s">
        <v>109</v>
      </c>
      <c r="I822" s="2" t="s">
        <v>1217</v>
      </c>
      <c r="J822" s="2" t="s">
        <v>1218</v>
      </c>
      <c r="L822" s="2" t="s">
        <v>112</v>
      </c>
      <c r="M822" s="2" t="s">
        <v>80</v>
      </c>
      <c r="O822" s="2" t="s">
        <v>1219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3225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1215</v>
      </c>
      <c r="E823" s="2" t="s">
        <v>752</v>
      </c>
      <c r="F823" s="2" t="s">
        <v>1216</v>
      </c>
      <c r="G823" s="2">
        <v>505181983</v>
      </c>
      <c r="H823" s="2" t="s">
        <v>109</v>
      </c>
      <c r="I823" s="2" t="s">
        <v>1217</v>
      </c>
      <c r="J823" s="2" t="s">
        <v>1218</v>
      </c>
      <c r="L823" s="2" t="s">
        <v>112</v>
      </c>
      <c r="M823" s="2" t="s">
        <v>80</v>
      </c>
      <c r="O823" s="2" t="s">
        <v>1219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3225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1220</v>
      </c>
      <c r="P824" s="2" t="s">
        <v>658</v>
      </c>
      <c r="Q824" s="2" t="s">
        <v>1221</v>
      </c>
      <c r="R824" s="2" t="s">
        <v>1222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3225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1223</v>
      </c>
      <c r="P825" s="2" t="s">
        <v>1038</v>
      </c>
      <c r="Q825" s="2" t="s">
        <v>1224</v>
      </c>
      <c r="R825" s="2" t="s">
        <v>1225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3225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1226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3225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3499</v>
      </c>
      <c r="D827" s="2" t="s">
        <v>1227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3499</v>
      </c>
      <c r="D828" s="2" t="s">
        <v>1227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1228</v>
      </c>
      <c r="R828" s="2" t="s">
        <v>1229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1230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3225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3225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3225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1231</v>
      </c>
      <c r="L832" s="2" t="s">
        <v>571</v>
      </c>
      <c r="M832" s="2" t="s">
        <v>80</v>
      </c>
      <c r="O832" s="2" t="s">
        <v>1232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3225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1231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3225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3225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3225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3405</v>
      </c>
      <c r="D838" s="2" t="s">
        <v>3403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1233</v>
      </c>
      <c r="P838" s="2" t="s">
        <v>282</v>
      </c>
      <c r="Q838" s="2" t="s">
        <v>1234</v>
      </c>
      <c r="R838" s="2" t="s">
        <v>1235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1573</v>
      </c>
      <c r="AB838" s="2" t="s">
        <v>388</v>
      </c>
      <c r="AC838" s="2" t="s">
        <v>1326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3405</v>
      </c>
      <c r="D839" s="2" t="s">
        <v>3403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1233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1573</v>
      </c>
      <c r="AB839" s="2" t="s">
        <v>388</v>
      </c>
      <c r="AC839" s="2" t="s">
        <v>1326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3405</v>
      </c>
      <c r="D840" s="2" t="s">
        <v>3403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1233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1573</v>
      </c>
      <c r="AB840" s="2" t="s">
        <v>388</v>
      </c>
      <c r="AC840" s="2" t="s">
        <v>1326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3225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3225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2537</v>
      </c>
      <c r="L843" s="2" t="s">
        <v>99</v>
      </c>
      <c r="M843" s="2" t="s">
        <v>80</v>
      </c>
      <c r="P843" s="2" t="s">
        <v>282</v>
      </c>
      <c r="Q843" s="2" t="s">
        <v>1236</v>
      </c>
      <c r="R843" s="2" t="s">
        <v>1237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3225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3225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3225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3405</v>
      </c>
      <c r="D846" s="2" t="s">
        <v>1238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3225</v>
      </c>
      <c r="AA846" s="2" t="s">
        <v>71</v>
      </c>
      <c r="AB846" s="2" t="s">
        <v>68</v>
      </c>
      <c r="AC846" s="2" t="s">
        <v>3229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3405</v>
      </c>
      <c r="D847" s="2" t="s">
        <v>1238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1239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3218</v>
      </c>
      <c r="J848" s="2" t="s">
        <v>3219</v>
      </c>
      <c r="L848" s="2" t="s">
        <v>339</v>
      </c>
      <c r="M848" s="2" t="s">
        <v>40</v>
      </c>
      <c r="O848" s="2" t="s">
        <v>3220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1239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3218</v>
      </c>
      <c r="J849" s="2" t="s">
        <v>3219</v>
      </c>
      <c r="L849" s="2" t="s">
        <v>339</v>
      </c>
      <c r="M849" s="2" t="s">
        <v>40</v>
      </c>
      <c r="O849" s="2" t="s">
        <v>3220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1240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1240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1241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3225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1241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3225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3308</v>
      </c>
      <c r="D854" s="2" t="s">
        <v>1241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1242</v>
      </c>
      <c r="R854" s="2" t="s">
        <v>1243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3225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1244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3225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1245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3225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1246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3225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3225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3405</v>
      </c>
      <c r="D862" s="15" t="s">
        <v>3334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1247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3225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3405</v>
      </c>
      <c r="D863" s="15" t="s">
        <v>3334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3225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1248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3377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1249</v>
      </c>
      <c r="R865" s="2" t="s">
        <v>1250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3308</v>
      </c>
      <c r="D866" s="2" t="s">
        <v>3307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3308</v>
      </c>
      <c r="D867" s="2" t="s">
        <v>3309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1251</v>
      </c>
      <c r="R867" s="2" t="s">
        <v>1252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1253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3225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1253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3225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1253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3225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3225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3225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3225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3225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3225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3377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3505</v>
      </c>
      <c r="D879" s="2" t="s">
        <v>1254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2710</v>
      </c>
      <c r="J879" s="2" t="s">
        <v>2711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3225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3505</v>
      </c>
      <c r="D880" s="2" t="s">
        <v>1254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2710</v>
      </c>
      <c r="J880" s="2" t="s">
        <v>2711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3225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1255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2564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3225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1255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2564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3225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3405</v>
      </c>
      <c r="D884" s="2" t="s">
        <v>1256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1257</v>
      </c>
      <c r="R884" s="2" t="s">
        <v>1258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1259</v>
      </c>
      <c r="P885" s="2" t="s">
        <v>72</v>
      </c>
      <c r="Q885" s="2" t="s">
        <v>1260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3225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1259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1259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3225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3377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3132</v>
      </c>
      <c r="L889" s="2" t="s">
        <v>177</v>
      </c>
      <c r="M889" s="2" t="s">
        <v>41</v>
      </c>
      <c r="O889" s="2" t="s">
        <v>3134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3225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3132</v>
      </c>
      <c r="L890" s="2" t="s">
        <v>177</v>
      </c>
      <c r="M890" s="2" t="s">
        <v>41</v>
      </c>
      <c r="O890" s="2" t="s">
        <v>3134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3225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3225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3225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3225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3225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3225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3225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1261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3225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1261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3225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3405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1262</v>
      </c>
      <c r="R899" s="2" t="s">
        <v>1263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3405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1264</v>
      </c>
      <c r="R900" s="2" t="s">
        <v>1265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3499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1266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3225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3499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3147</v>
      </c>
      <c r="P902" s="2" t="s">
        <v>1038</v>
      </c>
      <c r="Q902" s="2" t="s">
        <v>1267</v>
      </c>
      <c r="R902" s="2" t="s">
        <v>1268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3225</v>
      </c>
      <c r="AA902" s="2" t="s">
        <v>1041</v>
      </c>
      <c r="AB902" s="2" t="s">
        <v>1269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3405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3405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3499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3499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3225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1270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1271</v>
      </c>
      <c r="J907" s="2" t="s">
        <v>1272</v>
      </c>
      <c r="L907" s="2" t="s">
        <v>177</v>
      </c>
      <c r="M907" s="2" t="s">
        <v>40</v>
      </c>
      <c r="O907" s="2" t="s">
        <v>1273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1274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1275</v>
      </c>
      <c r="J908" s="2" t="s">
        <v>1276</v>
      </c>
      <c r="L908" s="2" t="s">
        <v>339</v>
      </c>
      <c r="M908" s="2" t="s">
        <v>40</v>
      </c>
      <c r="O908" s="2" t="s">
        <v>1277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1274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1275</v>
      </c>
      <c r="J909" s="2" t="s">
        <v>1276</v>
      </c>
      <c r="L909" s="2" t="s">
        <v>339</v>
      </c>
      <c r="M909" s="2" t="s">
        <v>40</v>
      </c>
      <c r="O909" s="2" t="s">
        <v>1277</v>
      </c>
      <c r="P909" s="2" t="s">
        <v>114</v>
      </c>
      <c r="Q909" s="6" t="s">
        <v>1278</v>
      </c>
      <c r="R909" s="2" t="s">
        <v>1279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1274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1275</v>
      </c>
      <c r="J910" s="2" t="s">
        <v>1276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1274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1275</v>
      </c>
      <c r="J911" s="2" t="s">
        <v>1276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3405</v>
      </c>
      <c r="D912" s="2" t="s">
        <v>1280</v>
      </c>
      <c r="E912" s="2" t="s">
        <v>183</v>
      </c>
      <c r="F912" s="2" t="s">
        <v>2992</v>
      </c>
      <c r="L912" s="2" t="s">
        <v>99</v>
      </c>
      <c r="M912" s="2" t="s">
        <v>80</v>
      </c>
      <c r="P912" s="2" t="s">
        <v>282</v>
      </c>
      <c r="Q912" s="2" t="s">
        <v>1281</v>
      </c>
      <c r="R912" s="2" t="s">
        <v>1282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1573</v>
      </c>
      <c r="AB912" s="2" t="s">
        <v>388</v>
      </c>
      <c r="AC912" s="2" t="s">
        <v>1326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3405</v>
      </c>
      <c r="D913" s="2" t="s">
        <v>1280</v>
      </c>
      <c r="E913" s="2" t="s">
        <v>183</v>
      </c>
      <c r="F913" s="2" t="s">
        <v>2992</v>
      </c>
      <c r="L913" s="2" t="s">
        <v>99</v>
      </c>
      <c r="M913" s="2" t="s">
        <v>40</v>
      </c>
      <c r="P913" s="2" t="s">
        <v>282</v>
      </c>
      <c r="Q913" s="2" t="s">
        <v>1283</v>
      </c>
      <c r="R913" s="2" t="s">
        <v>1284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3378</v>
      </c>
      <c r="AC913" s="2" t="s">
        <v>1326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3405</v>
      </c>
      <c r="D914" s="2" t="s">
        <v>1280</v>
      </c>
      <c r="E914" s="2" t="s">
        <v>183</v>
      </c>
      <c r="F914" s="2" t="s">
        <v>2992</v>
      </c>
      <c r="L914" s="2" t="s">
        <v>99</v>
      </c>
      <c r="M914" s="2" t="s">
        <v>80</v>
      </c>
      <c r="P914" s="2" t="s">
        <v>282</v>
      </c>
      <c r="Q914" s="2" t="s">
        <v>1285</v>
      </c>
      <c r="R914" s="2" t="s">
        <v>1286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1573</v>
      </c>
      <c r="AB914" s="2" t="s">
        <v>388</v>
      </c>
      <c r="AC914" s="2" t="s">
        <v>1326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3405</v>
      </c>
      <c r="D915" s="2" t="s">
        <v>1280</v>
      </c>
      <c r="E915" s="2" t="s">
        <v>183</v>
      </c>
      <c r="F915" s="2" t="s">
        <v>2992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1573</v>
      </c>
      <c r="AB915" s="2" t="s">
        <v>388</v>
      </c>
      <c r="AC915" s="2" t="s">
        <v>1326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3405</v>
      </c>
      <c r="D916" s="2" t="s">
        <v>1280</v>
      </c>
      <c r="E916" s="2" t="s">
        <v>183</v>
      </c>
      <c r="F916" s="2" t="s">
        <v>2992</v>
      </c>
      <c r="L916" s="2" t="s">
        <v>99</v>
      </c>
      <c r="M916" s="2" t="s">
        <v>80</v>
      </c>
      <c r="P916" s="2" t="s">
        <v>282</v>
      </c>
      <c r="Q916" s="2" t="s">
        <v>1287</v>
      </c>
      <c r="R916" s="2" t="s">
        <v>1288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1573</v>
      </c>
      <c r="AB916" s="2" t="s">
        <v>388</v>
      </c>
      <c r="AC916" s="2" t="s">
        <v>1326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1289</v>
      </c>
      <c r="M917" s="2" t="s">
        <v>80</v>
      </c>
      <c r="P917" s="2" t="s">
        <v>114</v>
      </c>
      <c r="Q917" s="2" t="s">
        <v>1290</v>
      </c>
      <c r="R917" s="2" t="s">
        <v>1291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1292</v>
      </c>
      <c r="R918" s="2" t="s">
        <v>1293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1294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1295</v>
      </c>
      <c r="L919" s="2" t="s">
        <v>339</v>
      </c>
      <c r="M919" s="2" t="s">
        <v>80</v>
      </c>
      <c r="O919" s="2" t="s">
        <v>3197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3225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1294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1295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3225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1296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1296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1296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1297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3225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1298</v>
      </c>
      <c r="P926" s="2" t="s">
        <v>114</v>
      </c>
      <c r="Q926" s="2" t="s">
        <v>1299</v>
      </c>
      <c r="R926" s="2" t="s">
        <v>1300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1301</v>
      </c>
      <c r="P927" s="2" t="s">
        <v>1193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1198</v>
      </c>
      <c r="AB927" s="2" t="s">
        <v>119</v>
      </c>
      <c r="AC927" s="2" t="s">
        <v>1193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3377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1302</v>
      </c>
      <c r="P929" s="2" t="s">
        <v>1193</v>
      </c>
      <c r="Q929" s="2" t="s">
        <v>1303</v>
      </c>
      <c r="R929" s="2" t="s">
        <v>1304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2745</v>
      </c>
      <c r="AB929" s="2" t="s">
        <v>3394</v>
      </c>
      <c r="AC929" s="2" t="s">
        <v>1193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3225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3225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3405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3243</v>
      </c>
      <c r="J932" s="2" t="s">
        <v>3244</v>
      </c>
      <c r="K932" s="2">
        <v>96179412</v>
      </c>
      <c r="L932" s="2" t="s">
        <v>461</v>
      </c>
      <c r="M932" s="2" t="s">
        <v>40</v>
      </c>
      <c r="O932" s="2" t="s">
        <v>3247</v>
      </c>
      <c r="P932" s="2" t="s">
        <v>3254</v>
      </c>
      <c r="Q932" s="2" t="s">
        <v>1305</v>
      </c>
      <c r="R932" s="2" t="s">
        <v>1306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3253</v>
      </c>
      <c r="AB932" s="2" t="s">
        <v>1112</v>
      </c>
      <c r="AC932" s="2" t="s">
        <v>3252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3319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1310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3225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3319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3225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1311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1312</v>
      </c>
      <c r="L935" s="2" t="s">
        <v>177</v>
      </c>
      <c r="M935" s="2" t="s">
        <v>41</v>
      </c>
      <c r="O935" s="2" t="s">
        <v>1313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3225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1311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1312</v>
      </c>
      <c r="L936" s="2" t="s">
        <v>177</v>
      </c>
      <c r="M936" s="2" t="s">
        <v>41</v>
      </c>
      <c r="O936" s="2" t="s">
        <v>1313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3225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1311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1312</v>
      </c>
      <c r="L937" s="2" t="s">
        <v>177</v>
      </c>
      <c r="M937" s="2" t="s">
        <v>41</v>
      </c>
      <c r="O937" s="2" t="s">
        <v>1313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3225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1314</v>
      </c>
      <c r="G938" s="2">
        <v>507220633</v>
      </c>
      <c r="I938" s="2" t="s">
        <v>3149</v>
      </c>
      <c r="M938" s="2" t="s">
        <v>80</v>
      </c>
      <c r="O938" s="2" t="s">
        <v>3148</v>
      </c>
      <c r="P938" s="2" t="s">
        <v>1038</v>
      </c>
      <c r="Q938" s="2" t="s">
        <v>1315</v>
      </c>
      <c r="R938" s="2" t="s">
        <v>1316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3225</v>
      </c>
      <c r="AA938" s="2" t="s">
        <v>1041</v>
      </c>
      <c r="AB938" s="2" t="s">
        <v>1317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3225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3225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3225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3225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3225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3225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3225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1318</v>
      </c>
      <c r="R946" s="2" t="s">
        <v>1319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3225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1204</v>
      </c>
      <c r="R947" s="2" t="s">
        <v>1205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3225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1320</v>
      </c>
      <c r="L948" s="2" t="s">
        <v>99</v>
      </c>
      <c r="M948" s="2" t="s">
        <v>80</v>
      </c>
      <c r="O948" s="2" t="s">
        <v>1321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3225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3225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3225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3225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3225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3225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3225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3225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3225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3225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3225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3225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1322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3225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1322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3225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1323</v>
      </c>
      <c r="P962" s="2" t="s">
        <v>282</v>
      </c>
      <c r="Q962" s="2" t="s">
        <v>1324</v>
      </c>
      <c r="R962" s="2" t="s">
        <v>1325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3225</v>
      </c>
      <c r="AA962" s="2" t="s">
        <v>578</v>
      </c>
      <c r="AB962" s="2" t="s">
        <v>119</v>
      </c>
      <c r="AC962" s="2" t="s">
        <v>1326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1323</v>
      </c>
      <c r="P963" s="2" t="s">
        <v>282</v>
      </c>
      <c r="Q963" s="2" t="s">
        <v>1327</v>
      </c>
      <c r="R963" s="2" t="s">
        <v>1328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1329</v>
      </c>
      <c r="AC963" s="2" t="s">
        <v>1326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1330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1330</v>
      </c>
      <c r="P965" s="2" t="s">
        <v>114</v>
      </c>
      <c r="Q965" s="2" t="s">
        <v>1331</v>
      </c>
      <c r="R965" s="2" t="s">
        <v>1332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1333</v>
      </c>
      <c r="P966" s="2" t="s">
        <v>43</v>
      </c>
      <c r="Q966" s="2" t="s">
        <v>1334</v>
      </c>
      <c r="R966" s="2" t="s">
        <v>1335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3225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1336</v>
      </c>
      <c r="P967" s="2" t="s">
        <v>114</v>
      </c>
      <c r="Q967" s="2" t="s">
        <v>1337</v>
      </c>
      <c r="R967" s="2" t="s">
        <v>1338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1339</v>
      </c>
      <c r="P968" s="2" t="s">
        <v>114</v>
      </c>
      <c r="Q968" s="2" t="s">
        <v>1340</v>
      </c>
      <c r="R968" s="2" t="s">
        <v>1341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1336</v>
      </c>
      <c r="P969" s="2" t="s">
        <v>114</v>
      </c>
      <c r="Q969" s="2" t="s">
        <v>1342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1343</v>
      </c>
      <c r="P970" s="2" t="s">
        <v>72</v>
      </c>
      <c r="Q970" s="2" t="s">
        <v>1344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3225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1343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3225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1345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3225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1346</v>
      </c>
      <c r="P974" s="2" t="s">
        <v>1038</v>
      </c>
      <c r="Q974" s="2" t="s">
        <v>1347</v>
      </c>
      <c r="R974" s="2" t="s">
        <v>1348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3225</v>
      </c>
      <c r="AA974" s="2" t="s">
        <v>1041</v>
      </c>
      <c r="AB974" s="2" t="s">
        <v>1317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3225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3225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3225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3225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3322</v>
      </c>
      <c r="D979" s="2" t="s">
        <v>1349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3225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3322</v>
      </c>
      <c r="D980" s="2" t="s">
        <v>1349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1350</v>
      </c>
      <c r="R980" s="2" t="s">
        <v>1351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3225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1352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3225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1352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3225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1353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1354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1355</v>
      </c>
      <c r="L985" s="2" t="s">
        <v>418</v>
      </c>
      <c r="M985" s="2" t="s">
        <v>41</v>
      </c>
      <c r="P985" s="2" t="s">
        <v>282</v>
      </c>
      <c r="Q985" s="2" t="s">
        <v>1234</v>
      </c>
      <c r="R985" s="2" t="s">
        <v>1235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1573</v>
      </c>
      <c r="AB985" s="2" t="s">
        <v>388</v>
      </c>
      <c r="AC985" s="2" t="s">
        <v>1326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1354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1355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1573</v>
      </c>
      <c r="AB986" s="2" t="s">
        <v>388</v>
      </c>
      <c r="AC986" s="2" t="s">
        <v>1326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1354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1355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1573</v>
      </c>
      <c r="AB987" s="2" t="s">
        <v>388</v>
      </c>
      <c r="AC987" s="2" t="s">
        <v>1326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M988" s="2" t="s">
        <v>40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1356</v>
      </c>
      <c r="P989" s="2" t="s">
        <v>1357</v>
      </c>
      <c r="Q989" s="2" t="s">
        <v>1358</v>
      </c>
      <c r="R989" s="2" t="s">
        <v>1359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3225</v>
      </c>
      <c r="AA989" s="2" t="s">
        <v>75</v>
      </c>
      <c r="AB989" s="2" t="s">
        <v>76</v>
      </c>
      <c r="AC989" s="2" t="s">
        <v>1357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1360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1360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1360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3225</v>
      </c>
      <c r="AA993" s="2" t="s">
        <v>46</v>
      </c>
      <c r="AB993" s="2" t="s">
        <v>60</v>
      </c>
      <c r="AC993" s="2" t="s">
        <v>3329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1361</v>
      </c>
      <c r="P994" s="2" t="s">
        <v>43</v>
      </c>
      <c r="Q994" s="2" t="s">
        <v>1362</v>
      </c>
      <c r="R994" s="2" t="s">
        <v>1363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3225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1361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3225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1361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3225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1364</v>
      </c>
      <c r="P997" s="2" t="s">
        <v>84</v>
      </c>
      <c r="Q997" s="2" t="s">
        <v>1365</v>
      </c>
      <c r="R997" s="2" t="s">
        <v>1366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3225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1364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1367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1368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3225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1368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3225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1369</v>
      </c>
      <c r="R1002" s="2" t="s">
        <v>1370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3225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3225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3225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3295</v>
      </c>
      <c r="D1005" s="2" t="s">
        <v>1371</v>
      </c>
      <c r="E1005" s="2" t="s">
        <v>38</v>
      </c>
      <c r="F1005" s="2" t="s">
        <v>39</v>
      </c>
      <c r="I1005" s="2" t="s">
        <v>3296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3225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3295</v>
      </c>
      <c r="D1006" s="2" t="s">
        <v>1371</v>
      </c>
      <c r="E1006" s="2" t="s">
        <v>38</v>
      </c>
      <c r="F1006" s="2" t="s">
        <v>39</v>
      </c>
      <c r="I1006" s="2" t="s">
        <v>3296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3294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3225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3225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1372</v>
      </c>
      <c r="P1009" s="2" t="s">
        <v>114</v>
      </c>
      <c r="Q1009" s="2" t="s">
        <v>1373</v>
      </c>
      <c r="R1009" s="2" t="s">
        <v>1374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1372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1372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1375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3225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1375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3225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1376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3225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1376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3225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1241</v>
      </c>
      <c r="P1016" s="2" t="s">
        <v>1377</v>
      </c>
      <c r="Q1016" s="2" t="s">
        <v>1378</v>
      </c>
      <c r="R1016" s="2" t="s">
        <v>1379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3225</v>
      </c>
      <c r="AA1016" s="2" t="s">
        <v>1041</v>
      </c>
      <c r="AB1016" s="2" t="s">
        <v>1317</v>
      </c>
      <c r="AC1016" s="2" t="s">
        <v>1377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1380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3225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1380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3225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1380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3225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3225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3225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3225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1381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3225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3225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3174</v>
      </c>
      <c r="K1025" s="2">
        <v>911577458</v>
      </c>
      <c r="L1025" s="2" t="s">
        <v>177</v>
      </c>
      <c r="M1025" s="2" t="s">
        <v>41</v>
      </c>
      <c r="O1025" s="2" t="s">
        <v>3176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3225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3174</v>
      </c>
      <c r="K1026" s="2">
        <v>911577458</v>
      </c>
      <c r="L1026" s="2" t="s">
        <v>177</v>
      </c>
      <c r="M1026" s="2" t="s">
        <v>41</v>
      </c>
      <c r="O1026" s="2" t="s">
        <v>3176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3225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3174</v>
      </c>
      <c r="K1027" s="2">
        <v>911577458</v>
      </c>
      <c r="L1027" s="2" t="s">
        <v>177</v>
      </c>
      <c r="M1027" s="2" t="s">
        <v>41</v>
      </c>
      <c r="O1027" s="2" t="s">
        <v>3176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3225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3312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3322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3179</v>
      </c>
      <c r="L1029" s="2" t="s">
        <v>133</v>
      </c>
      <c r="M1029" s="2" t="s">
        <v>40</v>
      </c>
      <c r="O1029" s="2" t="s">
        <v>3181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3179</v>
      </c>
      <c r="L1030" s="2" t="s">
        <v>133</v>
      </c>
      <c r="M1030" s="2" t="s">
        <v>40</v>
      </c>
      <c r="O1030" s="2" t="s">
        <v>3181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3179</v>
      </c>
      <c r="L1031" s="2" t="s">
        <v>133</v>
      </c>
      <c r="M1031" s="2" t="s">
        <v>40</v>
      </c>
      <c r="O1031" s="2" t="s">
        <v>3181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1382</v>
      </c>
      <c r="R1032" s="2" t="s">
        <v>1383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1384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1385</v>
      </c>
      <c r="R1034" s="2" t="s">
        <v>1386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3312</v>
      </c>
      <c r="D1037" s="2" t="s">
        <v>1387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1388</v>
      </c>
      <c r="P1038" s="2" t="s">
        <v>72</v>
      </c>
      <c r="Q1038" s="2" t="s">
        <v>1389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3225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1388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3225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3225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3225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3225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3225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3322</v>
      </c>
      <c r="D1044" s="15" t="s">
        <v>3334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1389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3225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3322</v>
      </c>
      <c r="D1045" s="15" t="s">
        <v>3334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3225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3312</v>
      </c>
      <c r="D1046" s="2" t="s">
        <v>3311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3295</v>
      </c>
      <c r="D1047" s="2" t="s">
        <v>3310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3225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3295</v>
      </c>
      <c r="D1048" s="2" t="s">
        <v>3310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1390</v>
      </c>
      <c r="R1048" s="2" t="s">
        <v>1391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3225</v>
      </c>
      <c r="AA1048" s="2" t="s">
        <v>71</v>
      </c>
      <c r="AB1048" s="2" t="s">
        <v>1599</v>
      </c>
      <c r="AC1048" s="2" t="s">
        <v>1599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3295</v>
      </c>
      <c r="D1049" s="2" t="s">
        <v>3310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1392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3225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3295</v>
      </c>
      <c r="D1051" s="2" t="s">
        <v>1254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2710</v>
      </c>
      <c r="J1051" s="2" t="s">
        <v>2711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3225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3295</v>
      </c>
      <c r="D1052" s="2" t="s">
        <v>1254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2710</v>
      </c>
      <c r="J1052" s="2" t="s">
        <v>2711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3225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3312</v>
      </c>
      <c r="D1054" s="2" t="s">
        <v>1393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1394</v>
      </c>
      <c r="R1054" s="2" t="s">
        <v>1395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3229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1396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3215</v>
      </c>
      <c r="J1055" s="2" t="s">
        <v>3214</v>
      </c>
      <c r="K1055" s="2">
        <v>913814877</v>
      </c>
      <c r="L1055" s="2" t="s">
        <v>201</v>
      </c>
      <c r="M1055" s="2" t="s">
        <v>80</v>
      </c>
      <c r="O1055" s="2" t="s">
        <v>3206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3225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1396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3215</v>
      </c>
      <c r="J1056" s="2" t="s">
        <v>3214</v>
      </c>
      <c r="K1056" s="2">
        <v>913814877</v>
      </c>
      <c r="L1056" s="2" t="s">
        <v>201</v>
      </c>
      <c r="M1056" s="2" t="s">
        <v>80</v>
      </c>
      <c r="O1056" s="2" t="s">
        <v>3206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3225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1396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3215</v>
      </c>
      <c r="J1057" s="2" t="s">
        <v>3214</v>
      </c>
      <c r="K1057" s="2">
        <v>913814877</v>
      </c>
      <c r="L1057" s="2" t="s">
        <v>201</v>
      </c>
      <c r="M1057" s="2" t="s">
        <v>40</v>
      </c>
      <c r="O1057" s="2" t="s">
        <v>3207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1396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3215</v>
      </c>
      <c r="J1058" s="2" t="s">
        <v>3214</v>
      </c>
      <c r="K1058" s="2">
        <v>913814877</v>
      </c>
      <c r="L1058" s="2" t="s">
        <v>201</v>
      </c>
      <c r="M1058" s="2" t="s">
        <v>40</v>
      </c>
      <c r="O1058" s="2" t="s">
        <v>3207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1396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3215</v>
      </c>
      <c r="J1059" s="2" t="s">
        <v>3214</v>
      </c>
      <c r="K1059" s="2">
        <v>913814877</v>
      </c>
      <c r="L1059" s="2" t="s">
        <v>201</v>
      </c>
      <c r="M1059" s="2" t="s">
        <v>40</v>
      </c>
      <c r="O1059" s="2" t="s">
        <v>3207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3377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3312</v>
      </c>
      <c r="D1060" s="2" t="s">
        <v>1397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3225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3312</v>
      </c>
      <c r="D1061" s="2" t="s">
        <v>1397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3225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1398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1399</v>
      </c>
      <c r="J1062" s="2" t="s">
        <v>1400</v>
      </c>
      <c r="L1062" s="2" t="s">
        <v>177</v>
      </c>
      <c r="M1062" s="2" t="s">
        <v>40</v>
      </c>
      <c r="O1062" s="2" t="s">
        <v>1401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1398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1399</v>
      </c>
      <c r="J1063" s="2" t="s">
        <v>1400</v>
      </c>
      <c r="L1063" s="2" t="s">
        <v>177</v>
      </c>
      <c r="M1063" s="2" t="s">
        <v>40</v>
      </c>
      <c r="P1063" s="2" t="s">
        <v>114</v>
      </c>
      <c r="Q1063" s="2" t="s">
        <v>1402</v>
      </c>
      <c r="R1063" s="2" t="s">
        <v>1403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1398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1399</v>
      </c>
      <c r="J1064" s="2" t="s">
        <v>1400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1398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1399</v>
      </c>
      <c r="J1065" s="2" t="s">
        <v>1400</v>
      </c>
      <c r="L1065" s="2" t="s">
        <v>177</v>
      </c>
      <c r="M1065" s="2" t="s">
        <v>40</v>
      </c>
      <c r="P1065" s="2" t="s">
        <v>114</v>
      </c>
      <c r="Q1065" s="2" t="s">
        <v>1404</v>
      </c>
      <c r="R1065" s="2" t="s">
        <v>1405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1398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1399</v>
      </c>
      <c r="J1066" s="2" t="s">
        <v>1400</v>
      </c>
      <c r="L1066" s="2" t="s">
        <v>177</v>
      </c>
      <c r="M1066" s="2" t="s">
        <v>40</v>
      </c>
      <c r="P1066" s="2" t="s">
        <v>114</v>
      </c>
      <c r="Q1066" s="2" t="s">
        <v>1406</v>
      </c>
      <c r="R1066" s="2" t="s">
        <v>1407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1398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1399</v>
      </c>
      <c r="J1067" s="2" t="s">
        <v>1400</v>
      </c>
      <c r="L1067" s="2" t="s">
        <v>177</v>
      </c>
      <c r="M1067" s="2" t="s">
        <v>40</v>
      </c>
      <c r="P1067" s="2" t="s">
        <v>114</v>
      </c>
      <c r="Q1067" s="2" t="s">
        <v>1408</v>
      </c>
      <c r="R1067" s="2" t="s">
        <v>1409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1398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1399</v>
      </c>
      <c r="J1068" s="2" t="s">
        <v>1400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1398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1399</v>
      </c>
      <c r="J1069" s="2" t="s">
        <v>1400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1398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1399</v>
      </c>
      <c r="J1070" s="2" t="s">
        <v>1400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1410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3225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1410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3225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1369</v>
      </c>
      <c r="R1073" s="2" t="s">
        <v>1370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3225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3225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3295</v>
      </c>
      <c r="D1075" s="2" t="s">
        <v>1411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1412</v>
      </c>
      <c r="R1075" s="2" t="s">
        <v>1413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1414</v>
      </c>
      <c r="R1076" s="2" t="s">
        <v>1415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3225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3191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3225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3225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1416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3225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1416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3225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1417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2410</v>
      </c>
      <c r="J1083" s="2" t="s">
        <v>2411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3225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1417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2410</v>
      </c>
      <c r="J1084" s="2" t="s">
        <v>2411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3225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1418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3225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1418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3225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1419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3225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1419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3225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3506</v>
      </c>
      <c r="D1089" s="2" t="s">
        <v>1420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1421</v>
      </c>
      <c r="R1089" s="2" t="s">
        <v>1422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3506</v>
      </c>
      <c r="D1090" s="2" t="s">
        <v>1420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1423</v>
      </c>
      <c r="R1090" s="2" t="s">
        <v>1424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3506</v>
      </c>
      <c r="D1091" s="2" t="s">
        <v>1420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1425</v>
      </c>
      <c r="R1091" s="2" t="s">
        <v>1426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3506</v>
      </c>
      <c r="D1092" s="2" t="s">
        <v>1420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3506</v>
      </c>
      <c r="D1093" s="2" t="s">
        <v>1420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3295</v>
      </c>
      <c r="D1094" s="2" t="s">
        <v>1420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1427</v>
      </c>
      <c r="R1095" s="2" t="s">
        <v>1428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3225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3225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1429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1429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3225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3225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3225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1430</v>
      </c>
      <c r="R1103" s="2" t="s">
        <v>1431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3225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3225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1432</v>
      </c>
      <c r="R1106" s="2" t="s">
        <v>1433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1294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1295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3225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1294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1295</v>
      </c>
      <c r="L1110" s="2" t="s">
        <v>339</v>
      </c>
      <c r="M1110" s="2" t="s">
        <v>80</v>
      </c>
      <c r="O1110" s="2" t="s">
        <v>3198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3225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1294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1295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3225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1434</v>
      </c>
      <c r="P1112" s="2" t="s">
        <v>282</v>
      </c>
      <c r="Q1112" s="2" t="s">
        <v>1435</v>
      </c>
      <c r="R1112" s="2" t="s">
        <v>1436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3225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3225</v>
      </c>
      <c r="AA1113" s="2" t="s">
        <v>46</v>
      </c>
      <c r="AB1113" s="2" t="s">
        <v>60</v>
      </c>
      <c r="AC1113" s="2" t="s">
        <v>3329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3225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3225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1437</v>
      </c>
      <c r="E1118" s="2" t="s">
        <v>3416</v>
      </c>
      <c r="F1118" s="2" t="s">
        <v>3417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3377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1435</v>
      </c>
      <c r="R1119" s="2" t="s">
        <v>1436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3225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3405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3243</v>
      </c>
      <c r="J1121" s="2" t="s">
        <v>3244</v>
      </c>
      <c r="K1121" s="2">
        <v>96179412</v>
      </c>
      <c r="L1121" s="2" t="s">
        <v>461</v>
      </c>
      <c r="M1121" s="2" t="s">
        <v>40</v>
      </c>
      <c r="O1121" s="2" t="s">
        <v>3247</v>
      </c>
      <c r="P1121" s="2" t="s">
        <v>40</v>
      </c>
      <c r="Q1121" s="2" t="s">
        <v>1307</v>
      </c>
      <c r="R1121" s="2" t="s">
        <v>3248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3405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3243</v>
      </c>
      <c r="J1122" s="2" t="s">
        <v>3244</v>
      </c>
      <c r="K1122" s="2">
        <v>96179412</v>
      </c>
      <c r="L1122" s="2" t="s">
        <v>461</v>
      </c>
      <c r="M1122" s="2" t="s">
        <v>40</v>
      </c>
      <c r="O1122" s="2" t="s">
        <v>3247</v>
      </c>
      <c r="P1122" s="2" t="s">
        <v>40</v>
      </c>
      <c r="Q1122" s="2" t="s">
        <v>1307</v>
      </c>
      <c r="R1122" s="2" t="s">
        <v>3249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3312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3243</v>
      </c>
      <c r="J1123" s="2" t="s">
        <v>3244</v>
      </c>
      <c r="K1123" s="2">
        <v>96179412</v>
      </c>
      <c r="L1123" s="2" t="s">
        <v>461</v>
      </c>
      <c r="M1123" s="2" t="s">
        <v>40</v>
      </c>
      <c r="O1123" s="2" t="s">
        <v>3250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3322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3225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3322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3225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1438</v>
      </c>
      <c r="M1126" s="2" t="s">
        <v>40</v>
      </c>
      <c r="P1126" s="2" t="s">
        <v>114</v>
      </c>
      <c r="Q1126" s="2" t="s">
        <v>1439</v>
      </c>
      <c r="R1126" s="2" t="s">
        <v>1440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1438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3377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2293</v>
      </c>
      <c r="J1128" s="2" t="s">
        <v>2294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2293</v>
      </c>
      <c r="J1129" s="2" t="s">
        <v>2294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2293</v>
      </c>
      <c r="J1130" s="2" t="s">
        <v>2294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2293</v>
      </c>
      <c r="J1131" s="2" t="s">
        <v>2294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1311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1312</v>
      </c>
      <c r="L1132" s="2" t="s">
        <v>177</v>
      </c>
      <c r="M1132" s="2" t="s">
        <v>41</v>
      </c>
      <c r="O1132" s="2" t="s">
        <v>1441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3225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1311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1312</v>
      </c>
      <c r="L1133" s="2" t="s">
        <v>177</v>
      </c>
      <c r="M1133" s="2" t="s">
        <v>41</v>
      </c>
      <c r="O1133" s="2" t="s">
        <v>1441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3225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1442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3225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1435</v>
      </c>
      <c r="R1136" s="2" t="s">
        <v>1436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3225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1443</v>
      </c>
      <c r="R1137" s="2" t="s">
        <v>1444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3225</v>
      </c>
      <c r="AA1137" s="2" t="s">
        <v>71</v>
      </c>
      <c r="AB1137" s="2" t="s">
        <v>1599</v>
      </c>
      <c r="AC1137" s="2" t="s">
        <v>1599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1445</v>
      </c>
      <c r="R1138" s="2" t="s">
        <v>1446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3225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3173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3225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3225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3225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3225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3225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3225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1447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3225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1448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3225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1210</v>
      </c>
      <c r="R1148" s="2" t="s">
        <v>1211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3225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3225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3225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3225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3377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1449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1449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1449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1450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1451</v>
      </c>
      <c r="J1156" s="2" t="s">
        <v>1452</v>
      </c>
      <c r="K1156" s="2">
        <v>917563471</v>
      </c>
      <c r="L1156" s="2" t="s">
        <v>99</v>
      </c>
      <c r="M1156" s="2" t="s">
        <v>80</v>
      </c>
      <c r="O1156" s="2" t="s">
        <v>1453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3225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1450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1451</v>
      </c>
      <c r="J1157" s="2" t="s">
        <v>1452</v>
      </c>
      <c r="K1157" s="2">
        <v>917563471</v>
      </c>
      <c r="L1157" s="2" t="s">
        <v>99</v>
      </c>
      <c r="M1157" s="2" t="s">
        <v>80</v>
      </c>
      <c r="O1157" s="2" t="s">
        <v>1453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3225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1454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3225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1454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3225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1455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1455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1456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1456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3467</v>
      </c>
      <c r="D1164" s="2" t="s">
        <v>1457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3225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3467</v>
      </c>
      <c r="D1165" s="2" t="s">
        <v>1457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3225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1458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1459</v>
      </c>
      <c r="J1166" s="2" t="s">
        <v>1460</v>
      </c>
      <c r="K1166" s="2">
        <v>925788716</v>
      </c>
      <c r="L1166" s="2" t="s">
        <v>1461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3225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1458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1459</v>
      </c>
      <c r="J1167" s="2" t="s">
        <v>1460</v>
      </c>
      <c r="K1167" s="2">
        <v>925788716</v>
      </c>
      <c r="L1167" s="2" t="s">
        <v>1461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3225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1458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1459</v>
      </c>
      <c r="J1168" s="2" t="s">
        <v>1460</v>
      </c>
      <c r="K1168" s="2">
        <v>925788716</v>
      </c>
      <c r="L1168" s="2" t="s">
        <v>1461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3225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1458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1459</v>
      </c>
      <c r="J1169" s="2" t="s">
        <v>1460</v>
      </c>
      <c r="K1169" s="2">
        <v>925788716</v>
      </c>
      <c r="L1169" s="2" t="s">
        <v>1461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3225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1458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1459</v>
      </c>
      <c r="J1170" s="2" t="s">
        <v>1460</v>
      </c>
      <c r="K1170" s="2">
        <v>925788716</v>
      </c>
      <c r="L1170" s="2" t="s">
        <v>1461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3225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1458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1459</v>
      </c>
      <c r="J1171" s="2" t="s">
        <v>1460</v>
      </c>
      <c r="K1171" s="2">
        <v>925788716</v>
      </c>
      <c r="L1171" s="2" t="s">
        <v>1461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1462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1463</v>
      </c>
      <c r="J1172" s="2" t="s">
        <v>1464</v>
      </c>
      <c r="K1172" s="2">
        <v>962823313</v>
      </c>
      <c r="L1172" s="2" t="s">
        <v>600</v>
      </c>
      <c r="M1172" s="2" t="s">
        <v>41</v>
      </c>
      <c r="O1172" s="2" t="s">
        <v>1465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3225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1462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1463</v>
      </c>
      <c r="J1173" s="2" t="s">
        <v>1464</v>
      </c>
      <c r="K1173" s="2">
        <v>962823313</v>
      </c>
      <c r="L1173" s="2" t="s">
        <v>600</v>
      </c>
      <c r="M1173" s="2" t="s">
        <v>41</v>
      </c>
      <c r="O1173" s="2" t="s">
        <v>1465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3225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1462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1463</v>
      </c>
      <c r="J1174" s="2" t="s">
        <v>1464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3225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1462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1463</v>
      </c>
      <c r="J1175" s="2" t="s">
        <v>1464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3225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1462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1463</v>
      </c>
      <c r="J1176" s="2" t="s">
        <v>1464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3411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3397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3225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3397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3225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3467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3501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1466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1467</v>
      </c>
      <c r="J1181" s="2" t="s">
        <v>1468</v>
      </c>
      <c r="L1181" s="2" t="s">
        <v>360</v>
      </c>
      <c r="M1181" s="2" t="s">
        <v>40</v>
      </c>
      <c r="O1181" s="2" t="s">
        <v>1469</v>
      </c>
      <c r="P1181" s="2" t="s">
        <v>114</v>
      </c>
      <c r="Q1181" s="2" t="s">
        <v>1470</v>
      </c>
      <c r="R1181" s="2" t="s">
        <v>1471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1466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1467</v>
      </c>
      <c r="J1182" s="2" t="s">
        <v>1468</v>
      </c>
      <c r="L1182" s="2" t="s">
        <v>360</v>
      </c>
      <c r="M1182" s="2" t="s">
        <v>40</v>
      </c>
      <c r="O1182" s="2" t="s">
        <v>1469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1466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1467</v>
      </c>
      <c r="J1183" s="2" t="s">
        <v>1468</v>
      </c>
      <c r="L1183" s="2" t="s">
        <v>360</v>
      </c>
      <c r="M1183" s="2" t="s">
        <v>40</v>
      </c>
      <c r="O1183" s="2" t="s">
        <v>1469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1472</v>
      </c>
      <c r="K1184" s="2">
        <v>938183284</v>
      </c>
      <c r="L1184" s="2" t="s">
        <v>133</v>
      </c>
      <c r="M1184" s="2" t="s">
        <v>109</v>
      </c>
      <c r="O1184" s="2" t="s">
        <v>1473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3225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3225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3411</v>
      </c>
      <c r="D1186" s="2" t="s">
        <v>1474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3225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3411</v>
      </c>
      <c r="D1187" s="2" t="s">
        <v>1474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3225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1475</v>
      </c>
      <c r="E1188" s="2" t="s">
        <v>752</v>
      </c>
      <c r="F1188" s="2" t="s">
        <v>1476</v>
      </c>
      <c r="G1188" s="2">
        <v>506123758</v>
      </c>
      <c r="H1188" s="2" t="s">
        <v>109</v>
      </c>
      <c r="I1188" s="2" t="s">
        <v>1477</v>
      </c>
      <c r="J1188" s="2" t="s">
        <v>1478</v>
      </c>
      <c r="K1188" s="2">
        <v>936406952</v>
      </c>
      <c r="L1188" s="2" t="s">
        <v>461</v>
      </c>
      <c r="M1188" s="2" t="s">
        <v>40</v>
      </c>
      <c r="O1188" s="2" t="s">
        <v>1479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1475</v>
      </c>
      <c r="E1189" s="2" t="s">
        <v>752</v>
      </c>
      <c r="F1189" s="2" t="s">
        <v>1476</v>
      </c>
      <c r="G1189" s="2">
        <v>506123758</v>
      </c>
      <c r="H1189" s="2" t="s">
        <v>109</v>
      </c>
      <c r="I1189" s="2" t="s">
        <v>1477</v>
      </c>
      <c r="J1189" s="2" t="s">
        <v>1478</v>
      </c>
      <c r="K1189" s="2">
        <v>936406952</v>
      </c>
      <c r="L1189" s="2" t="s">
        <v>461</v>
      </c>
      <c r="M1189" s="2" t="s">
        <v>40</v>
      </c>
      <c r="O1189" s="2" t="s">
        <v>1479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1480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1481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3225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1482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3225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1481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3225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1481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3225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1483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1484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3225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1343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3225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1343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3225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3225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3225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3225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3225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3225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3225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1485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1485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3225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1177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1178</v>
      </c>
      <c r="J1207" s="2" t="s">
        <v>1179</v>
      </c>
      <c r="L1207" s="2" t="s">
        <v>461</v>
      </c>
      <c r="M1207" s="2" t="s">
        <v>41</v>
      </c>
      <c r="O1207" s="2" t="s">
        <v>1486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3225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1177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1178</v>
      </c>
      <c r="J1208" s="2" t="s">
        <v>1179</v>
      </c>
      <c r="L1208" s="2" t="s">
        <v>461</v>
      </c>
      <c r="M1208" s="2" t="s">
        <v>41</v>
      </c>
      <c r="O1208" s="2" t="s">
        <v>1486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3225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1177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1178</v>
      </c>
      <c r="J1209" s="2" t="s">
        <v>1179</v>
      </c>
      <c r="L1209" s="2" t="s">
        <v>461</v>
      </c>
      <c r="M1209" s="2" t="s">
        <v>41</v>
      </c>
      <c r="O1209" s="2" t="s">
        <v>1486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3225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1177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1178</v>
      </c>
      <c r="J1210" s="2" t="s">
        <v>1179</v>
      </c>
      <c r="L1210" s="2" t="s">
        <v>461</v>
      </c>
      <c r="M1210" s="2" t="s">
        <v>41</v>
      </c>
      <c r="O1210" s="2" t="s">
        <v>1486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3225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1177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1178</v>
      </c>
      <c r="J1211" s="2" t="s">
        <v>1179</v>
      </c>
      <c r="L1211" s="2" t="s">
        <v>461</v>
      </c>
      <c r="M1211" s="2" t="s">
        <v>41</v>
      </c>
      <c r="O1211" s="2" t="s">
        <v>1486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3225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1177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1178</v>
      </c>
      <c r="J1212" s="2" t="s">
        <v>1179</v>
      </c>
      <c r="L1212" s="2" t="s">
        <v>461</v>
      </c>
      <c r="M1212" s="2" t="s">
        <v>41</v>
      </c>
      <c r="O1212" s="2" t="s">
        <v>1486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3225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1177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1178</v>
      </c>
      <c r="J1213" s="2" t="s">
        <v>1179</v>
      </c>
      <c r="L1213" s="2" t="s">
        <v>461</v>
      </c>
      <c r="M1213" s="2" t="s">
        <v>41</v>
      </c>
      <c r="O1213" s="2" t="s">
        <v>1486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3225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1177</v>
      </c>
      <c r="E1214" s="2" t="s">
        <v>38</v>
      </c>
      <c r="G1214" s="2">
        <v>502089075</v>
      </c>
      <c r="H1214" s="2" t="s">
        <v>41</v>
      </c>
      <c r="I1214" s="2" t="s">
        <v>1178</v>
      </c>
      <c r="J1214" s="2" t="s">
        <v>1179</v>
      </c>
      <c r="L1214" s="2" t="s">
        <v>461</v>
      </c>
      <c r="M1214" s="2" t="s">
        <v>41</v>
      </c>
      <c r="O1214" s="2" t="s">
        <v>1487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3225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1177</v>
      </c>
      <c r="E1215" s="2" t="s">
        <v>38</v>
      </c>
      <c r="G1215" s="2">
        <v>502089075</v>
      </c>
      <c r="H1215" s="2" t="s">
        <v>41</v>
      </c>
      <c r="I1215" s="2" t="s">
        <v>1178</v>
      </c>
      <c r="J1215" s="2" t="s">
        <v>1179</v>
      </c>
      <c r="L1215" s="2" t="s">
        <v>461</v>
      </c>
      <c r="M1215" s="2" t="s">
        <v>41</v>
      </c>
      <c r="O1215" s="2" t="s">
        <v>1487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3225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3411</v>
      </c>
      <c r="D1216" s="2" t="s">
        <v>1488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1394</v>
      </c>
      <c r="R1216" s="2" t="s">
        <v>1395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3229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3421</v>
      </c>
      <c r="D1217" s="2" t="s">
        <v>3483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3397</v>
      </c>
      <c r="D1218" s="2" t="s">
        <v>3483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1489</v>
      </c>
      <c r="R1218" s="2" t="s">
        <v>1490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3421</v>
      </c>
      <c r="D1219" s="2" t="s">
        <v>3483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1491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1491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1492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1493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3225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1494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3225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1495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3225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3225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3225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3225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3225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3225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1496</v>
      </c>
      <c r="R1231" s="2" t="s">
        <v>1497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3225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3225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3225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3411</v>
      </c>
      <c r="D1234" s="2" t="s">
        <v>1349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1498</v>
      </c>
      <c r="R1234" s="2" t="s">
        <v>1499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3225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3225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3225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3225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3225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3225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1500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3377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1353</v>
      </c>
      <c r="P1243" s="2" t="s">
        <v>282</v>
      </c>
      <c r="Q1243" s="2" t="s">
        <v>1435</v>
      </c>
      <c r="R1243" s="2" t="s">
        <v>1436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3225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1501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1502</v>
      </c>
      <c r="J1244" s="2" t="s">
        <v>1503</v>
      </c>
      <c r="K1244" s="2">
        <v>961386655</v>
      </c>
      <c r="L1244" s="2" t="s">
        <v>133</v>
      </c>
      <c r="M1244" s="2" t="s">
        <v>40</v>
      </c>
      <c r="O1244" s="2" t="s">
        <v>1504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3225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1501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1502</v>
      </c>
      <c r="J1245" s="2" t="s">
        <v>1503</v>
      </c>
      <c r="K1245" s="2">
        <v>961386655</v>
      </c>
      <c r="L1245" s="2" t="s">
        <v>133</v>
      </c>
      <c r="M1245" s="2" t="s">
        <v>40</v>
      </c>
      <c r="O1245" s="2" t="s">
        <v>1504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3225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1501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1502</v>
      </c>
      <c r="J1246" s="2" t="s">
        <v>1503</v>
      </c>
      <c r="K1246" s="2">
        <v>961386655</v>
      </c>
      <c r="L1246" s="2" t="s">
        <v>133</v>
      </c>
      <c r="M1246" s="2" t="s">
        <v>40</v>
      </c>
      <c r="O1246" s="2" t="s">
        <v>1504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3225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1501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1502</v>
      </c>
      <c r="J1247" s="2" t="s">
        <v>1503</v>
      </c>
      <c r="K1247" s="2">
        <v>961386655</v>
      </c>
      <c r="L1247" s="2" t="s">
        <v>133</v>
      </c>
      <c r="M1247" s="2" t="s">
        <v>40</v>
      </c>
      <c r="O1247" s="2" t="s">
        <v>1504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3225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1501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1502</v>
      </c>
      <c r="J1248" s="2" t="s">
        <v>1503</v>
      </c>
      <c r="K1248" s="2">
        <v>961386655</v>
      </c>
      <c r="L1248" s="2" t="s">
        <v>133</v>
      </c>
      <c r="M1248" s="2" t="s">
        <v>40</v>
      </c>
      <c r="O1248" s="2" t="s">
        <v>1504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1501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1502</v>
      </c>
      <c r="J1249" s="2" t="s">
        <v>1503</v>
      </c>
      <c r="K1249" s="2">
        <v>961386655</v>
      </c>
      <c r="L1249" s="2" t="s">
        <v>133</v>
      </c>
      <c r="M1249" s="2" t="s">
        <v>40</v>
      </c>
      <c r="O1249" s="2" t="s">
        <v>1504</v>
      </c>
      <c r="P1249" s="2" t="s">
        <v>40</v>
      </c>
      <c r="Q1249" s="2" t="s">
        <v>1506</v>
      </c>
      <c r="R1249" s="2" t="s">
        <v>1507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1505</v>
      </c>
      <c r="AB1249" s="2" t="s">
        <v>1508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1354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1355</v>
      </c>
      <c r="L1250" s="2" t="s">
        <v>418</v>
      </c>
      <c r="M1250" s="2" t="s">
        <v>41</v>
      </c>
      <c r="P1250" s="2" t="s">
        <v>282</v>
      </c>
      <c r="Q1250" s="2" t="s">
        <v>1509</v>
      </c>
      <c r="R1250" s="2" t="s">
        <v>1510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3225</v>
      </c>
      <c r="AA1250" s="2" t="s">
        <v>71</v>
      </c>
      <c r="AB1250" s="2" t="s">
        <v>1599</v>
      </c>
      <c r="AC1250" s="2" t="s">
        <v>1599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1354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1355</v>
      </c>
      <c r="L1251" s="2" t="s">
        <v>418</v>
      </c>
      <c r="M1251" s="2" t="s">
        <v>41</v>
      </c>
      <c r="P1251" s="2" t="s">
        <v>282</v>
      </c>
      <c r="Q1251" s="2" t="s">
        <v>1511</v>
      </c>
      <c r="R1251" s="2" t="s">
        <v>1512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3225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1513</v>
      </c>
      <c r="R1252" s="2" t="s">
        <v>1514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1515</v>
      </c>
      <c r="P1255" s="2" t="s">
        <v>282</v>
      </c>
      <c r="Q1255" s="2" t="s">
        <v>1445</v>
      </c>
      <c r="R1255" s="2" t="s">
        <v>1446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3225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1515</v>
      </c>
      <c r="P1256" s="2" t="s">
        <v>68</v>
      </c>
      <c r="Q1256" s="2" t="s">
        <v>1516</v>
      </c>
      <c r="R1256" s="2" t="s">
        <v>1517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3229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1518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1519</v>
      </c>
      <c r="J1259" s="2" t="s">
        <v>1520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1518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1519</v>
      </c>
      <c r="J1260" s="2" t="s">
        <v>1520</v>
      </c>
      <c r="K1260" s="2">
        <v>962461409</v>
      </c>
      <c r="L1260" s="2" t="s">
        <v>344</v>
      </c>
      <c r="P1260" s="2" t="s">
        <v>114</v>
      </c>
      <c r="Q1260" s="2" t="s">
        <v>1521</v>
      </c>
      <c r="R1260" s="2" t="s">
        <v>1522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1518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1519</v>
      </c>
      <c r="J1261" s="2" t="s">
        <v>1520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1523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1524</v>
      </c>
      <c r="J1262" s="2" t="s">
        <v>1525</v>
      </c>
      <c r="K1262" s="2">
        <v>962461409</v>
      </c>
      <c r="L1262" s="2" t="s">
        <v>344</v>
      </c>
      <c r="M1262" s="2" t="s">
        <v>40</v>
      </c>
      <c r="O1262" s="2" t="s">
        <v>1526</v>
      </c>
      <c r="P1262" s="2" t="s">
        <v>282</v>
      </c>
      <c r="Q1262" s="2" t="s">
        <v>1527</v>
      </c>
      <c r="R1262" s="2" t="s">
        <v>1528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3225</v>
      </c>
      <c r="AA1262" s="2" t="s">
        <v>578</v>
      </c>
      <c r="AB1262" s="2" t="s">
        <v>119</v>
      </c>
      <c r="AC1262" s="2" t="s">
        <v>1326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1523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1524</v>
      </c>
      <c r="J1263" s="2" t="s">
        <v>1525</v>
      </c>
      <c r="K1263" s="2">
        <v>962461409</v>
      </c>
      <c r="L1263" s="2" t="s">
        <v>344</v>
      </c>
      <c r="M1263" s="2" t="s">
        <v>40</v>
      </c>
      <c r="O1263" s="2" t="s">
        <v>1526</v>
      </c>
      <c r="P1263" s="2" t="s">
        <v>282</v>
      </c>
      <c r="Q1263" s="2" t="s">
        <v>1529</v>
      </c>
      <c r="R1263" s="2" t="s">
        <v>1530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3225</v>
      </c>
      <c r="AA1263" s="2" t="s">
        <v>155</v>
      </c>
      <c r="AB1263" s="2" t="s">
        <v>3400</v>
      </c>
      <c r="AC1263" s="2" t="s">
        <v>1326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1523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1524</v>
      </c>
      <c r="J1264" s="2" t="s">
        <v>1525</v>
      </c>
      <c r="K1264" s="2">
        <v>962461409</v>
      </c>
      <c r="L1264" s="2" t="s">
        <v>344</v>
      </c>
      <c r="M1264" s="2" t="s">
        <v>40</v>
      </c>
      <c r="O1264" s="2" t="s">
        <v>1526</v>
      </c>
      <c r="P1264" s="2" t="s">
        <v>282</v>
      </c>
      <c r="Q1264" s="2" t="s">
        <v>1531</v>
      </c>
      <c r="R1264" s="2" t="s">
        <v>1532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3225</v>
      </c>
      <c r="AA1264" s="2" t="s">
        <v>155</v>
      </c>
      <c r="AB1264" s="2" t="s">
        <v>3400</v>
      </c>
      <c r="AC1264" s="2" t="s">
        <v>1326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1523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1524</v>
      </c>
      <c r="J1265" s="2" t="s">
        <v>1525</v>
      </c>
      <c r="K1265" s="2">
        <v>962461409</v>
      </c>
      <c r="L1265" s="2" t="s">
        <v>344</v>
      </c>
      <c r="M1265" s="2" t="s">
        <v>40</v>
      </c>
      <c r="O1265" s="2" t="s">
        <v>1526</v>
      </c>
      <c r="P1265" s="2" t="s">
        <v>282</v>
      </c>
      <c r="Q1265" s="2" t="s">
        <v>1533</v>
      </c>
      <c r="R1265" s="2" t="s">
        <v>1534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3225</v>
      </c>
      <c r="AA1265" s="2" t="s">
        <v>155</v>
      </c>
      <c r="AB1265" s="2" t="s">
        <v>3400</v>
      </c>
      <c r="AC1265" s="2" t="s">
        <v>1326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1523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1524</v>
      </c>
      <c r="J1266" s="2" t="s">
        <v>1525</v>
      </c>
      <c r="K1266" s="2">
        <v>962461409</v>
      </c>
      <c r="L1266" s="2" t="s">
        <v>344</v>
      </c>
      <c r="M1266" s="2" t="s">
        <v>40</v>
      </c>
      <c r="O1266" s="2" t="s">
        <v>1526</v>
      </c>
      <c r="P1266" s="2" t="s">
        <v>282</v>
      </c>
      <c r="Q1266" s="2" t="s">
        <v>1535</v>
      </c>
      <c r="R1266" s="2" t="s">
        <v>1536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3225</v>
      </c>
      <c r="AA1266" s="2" t="s">
        <v>155</v>
      </c>
      <c r="AB1266" s="2" t="s">
        <v>3400</v>
      </c>
      <c r="AC1266" s="2" t="s">
        <v>1326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1523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1524</v>
      </c>
      <c r="J1267" s="2" t="s">
        <v>1525</v>
      </c>
      <c r="K1267" s="2">
        <v>962461409</v>
      </c>
      <c r="L1267" s="2" t="s">
        <v>344</v>
      </c>
      <c r="M1267" s="2" t="s">
        <v>40</v>
      </c>
      <c r="O1267" s="2" t="s">
        <v>1526</v>
      </c>
      <c r="P1267" s="2" t="s">
        <v>282</v>
      </c>
      <c r="Q1267" s="2" t="s">
        <v>1537</v>
      </c>
      <c r="R1267" s="2" t="s">
        <v>1538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1329</v>
      </c>
      <c r="AC1267" s="2" t="s">
        <v>1326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1523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1524</v>
      </c>
      <c r="J1268" s="2" t="s">
        <v>1525</v>
      </c>
      <c r="K1268" s="2">
        <v>962461409</v>
      </c>
      <c r="L1268" s="2" t="s">
        <v>344</v>
      </c>
      <c r="M1268" s="2" t="s">
        <v>40</v>
      </c>
      <c r="O1268" s="2" t="s">
        <v>1526</v>
      </c>
      <c r="P1268" s="2" t="s">
        <v>282</v>
      </c>
      <c r="Q1268" s="2" t="s">
        <v>1539</v>
      </c>
      <c r="R1268" s="2" t="s">
        <v>1540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1329</v>
      </c>
      <c r="AC1268" s="2" t="s">
        <v>1326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1541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3421</v>
      </c>
      <c r="D1272" s="2" t="s">
        <v>1542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3421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1543</v>
      </c>
      <c r="R1273" s="2" t="s">
        <v>1544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3421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3421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3313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3377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3225</v>
      </c>
      <c r="AA1277" s="2" t="s">
        <v>46</v>
      </c>
      <c r="AB1277" s="2" t="s">
        <v>60</v>
      </c>
      <c r="AC1277" s="2" t="s">
        <v>3329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3225</v>
      </c>
      <c r="AA1278" s="2" t="s">
        <v>46</v>
      </c>
      <c r="AB1278" s="2" t="s">
        <v>60</v>
      </c>
      <c r="AC1278" s="2" t="s">
        <v>3329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1545</v>
      </c>
      <c r="P1279" s="2" t="s">
        <v>282</v>
      </c>
      <c r="Q1279" s="2" t="s">
        <v>1546</v>
      </c>
      <c r="R1279" s="2" t="s">
        <v>1547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3398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1545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3225</v>
      </c>
      <c r="AA1280" s="2" t="s">
        <v>46</v>
      </c>
      <c r="AB1280" s="2" t="s">
        <v>60</v>
      </c>
      <c r="AC1280" s="2" t="s">
        <v>3329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1545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3225</v>
      </c>
      <c r="AA1281" s="2" t="s">
        <v>46</v>
      </c>
      <c r="AB1281" s="2" t="s">
        <v>60</v>
      </c>
      <c r="AC1281" s="2" t="s">
        <v>3329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1548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3225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1548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3225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3377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1549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1550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1550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1549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3377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2537</v>
      </c>
      <c r="L1295" s="2" t="s">
        <v>99</v>
      </c>
      <c r="M1295" s="2" t="s">
        <v>80</v>
      </c>
      <c r="O1295" s="2" t="s">
        <v>1551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3225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2537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3225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3225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3225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1552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1553</v>
      </c>
      <c r="J1299" s="2" t="s">
        <v>1554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1552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1553</v>
      </c>
      <c r="J1300" s="2" t="s">
        <v>1554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1375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3225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1375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3225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1240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1240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1240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1241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1555</v>
      </c>
      <c r="J1306" s="2" t="s">
        <v>1556</v>
      </c>
      <c r="K1306" s="2">
        <v>919050729</v>
      </c>
      <c r="L1306" s="2" t="s">
        <v>201</v>
      </c>
      <c r="M1306" s="2" t="s">
        <v>80</v>
      </c>
      <c r="O1306" s="2" t="s">
        <v>1557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3225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1241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1555</v>
      </c>
      <c r="J1307" s="2" t="s">
        <v>1556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3225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1558</v>
      </c>
      <c r="P1308" s="2" t="s">
        <v>114</v>
      </c>
      <c r="Q1308" s="2" t="s">
        <v>1559</v>
      </c>
      <c r="R1308" s="2" t="s">
        <v>1560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1561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3225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1561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3225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1562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1562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1563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3225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1563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3225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3225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3225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1564</v>
      </c>
      <c r="P1321" s="2" t="s">
        <v>114</v>
      </c>
      <c r="Q1321" s="2" t="s">
        <v>1565</v>
      </c>
      <c r="R1321" s="2" t="s">
        <v>1566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1564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1564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1564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3396</v>
      </c>
      <c r="D1325" s="2" t="s">
        <v>1567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1568</v>
      </c>
      <c r="R1325" s="2" t="s">
        <v>1569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3225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3396</v>
      </c>
      <c r="D1326" s="2" t="s">
        <v>1567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1570</v>
      </c>
      <c r="R1326" s="2" t="s">
        <v>1571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3225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1567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3225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1546</v>
      </c>
      <c r="R1328" s="2" t="s">
        <v>1547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3225</v>
      </c>
      <c r="AA1329" s="2" t="s">
        <v>46</v>
      </c>
      <c r="AB1329" s="2" t="s">
        <v>60</v>
      </c>
      <c r="AC1329" s="2" t="s">
        <v>3329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3225</v>
      </c>
      <c r="AA1330" s="2" t="s">
        <v>46</v>
      </c>
      <c r="AB1330" s="2" t="s">
        <v>60</v>
      </c>
      <c r="AC1330" s="2" t="s">
        <v>3329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1572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1281</v>
      </c>
      <c r="R1331" s="2" t="s">
        <v>1282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1573</v>
      </c>
      <c r="AB1331" s="2" t="s">
        <v>388</v>
      </c>
      <c r="AC1331" s="2" t="s">
        <v>1326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1572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1283</v>
      </c>
      <c r="R1332" s="2" t="s">
        <v>1284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3378</v>
      </c>
      <c r="AC1332" s="2" t="s">
        <v>1326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1572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1573</v>
      </c>
      <c r="AB1333" s="2" t="s">
        <v>388</v>
      </c>
      <c r="AC1333" s="2" t="s">
        <v>1326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1572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1573</v>
      </c>
      <c r="AB1334" s="2" t="s">
        <v>388</v>
      </c>
      <c r="AC1334" s="2" t="s">
        <v>1326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1572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1573</v>
      </c>
      <c r="AB1335" s="2" t="s">
        <v>388</v>
      </c>
      <c r="AC1335" s="2" t="s">
        <v>1326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3396</v>
      </c>
      <c r="D1336" s="2" t="s">
        <v>1574</v>
      </c>
      <c r="E1336" s="2" t="s">
        <v>38</v>
      </c>
      <c r="G1336" s="2">
        <v>505123177</v>
      </c>
      <c r="H1336" s="2" t="s">
        <v>109</v>
      </c>
      <c r="I1336" s="2" t="s">
        <v>2518</v>
      </c>
      <c r="J1336" s="2" t="s">
        <v>2519</v>
      </c>
      <c r="L1336" s="2" t="s">
        <v>398</v>
      </c>
      <c r="M1336" s="2" t="s">
        <v>40</v>
      </c>
      <c r="P1336" s="2" t="s">
        <v>114</v>
      </c>
      <c r="Q1336" s="2" t="s">
        <v>1575</v>
      </c>
      <c r="R1336" s="2" t="s">
        <v>1576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3396</v>
      </c>
      <c r="D1337" s="2" t="s">
        <v>1574</v>
      </c>
      <c r="E1337" s="2" t="s">
        <v>38</v>
      </c>
      <c r="G1337" s="2">
        <v>505123177</v>
      </c>
      <c r="H1337" s="2" t="s">
        <v>109</v>
      </c>
      <c r="I1337" s="2" t="s">
        <v>2518</v>
      </c>
      <c r="J1337" s="2" t="s">
        <v>2519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3313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1577</v>
      </c>
      <c r="R1338" s="2" t="s">
        <v>1578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1579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3225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1579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3225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1579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1580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3225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1580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3377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3313</v>
      </c>
      <c r="D1347" s="2" t="s">
        <v>850</v>
      </c>
      <c r="E1347" s="2" t="s">
        <v>183</v>
      </c>
      <c r="F1347" s="2" t="s">
        <v>3528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3225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3313</v>
      </c>
      <c r="D1348" s="2" t="s">
        <v>850</v>
      </c>
      <c r="E1348" s="2" t="s">
        <v>183</v>
      </c>
      <c r="F1348" s="2" t="s">
        <v>3528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3313</v>
      </c>
      <c r="D1349" s="2" t="s">
        <v>850</v>
      </c>
      <c r="E1349" s="2" t="s">
        <v>183</v>
      </c>
      <c r="F1349" s="2" t="s">
        <v>3528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3225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1264</v>
      </c>
      <c r="R1350" s="2" t="s">
        <v>1265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1581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1581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3225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3132</v>
      </c>
      <c r="L1358" s="2" t="s">
        <v>177</v>
      </c>
      <c r="M1358" s="2" t="s">
        <v>41</v>
      </c>
      <c r="O1358" s="2" t="s">
        <v>3137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3225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3132</v>
      </c>
      <c r="L1359" s="2" t="s">
        <v>177</v>
      </c>
      <c r="M1359" s="2" t="s">
        <v>41</v>
      </c>
      <c r="O1359" s="2" t="s">
        <v>3136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3225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3225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3225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3225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3225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3225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3225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3225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1582</v>
      </c>
      <c r="M1368" s="2" t="s">
        <v>80</v>
      </c>
      <c r="P1368" s="2" t="s">
        <v>282</v>
      </c>
      <c r="Q1368" s="2" t="s">
        <v>1583</v>
      </c>
      <c r="R1368" s="2" t="s">
        <v>1584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3225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1582</v>
      </c>
      <c r="M1369" s="2" t="s">
        <v>80</v>
      </c>
      <c r="P1369" s="2" t="s">
        <v>282</v>
      </c>
      <c r="Q1369" s="2" t="s">
        <v>1585</v>
      </c>
      <c r="R1369" s="2" t="s">
        <v>1586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3225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1582</v>
      </c>
      <c r="M1370" s="2" t="s">
        <v>80</v>
      </c>
      <c r="P1370" s="2" t="s">
        <v>282</v>
      </c>
      <c r="Q1370" s="2" t="s">
        <v>1435</v>
      </c>
      <c r="R1370" s="2" t="s">
        <v>1436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3225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1582</v>
      </c>
      <c r="M1371" s="2" t="s">
        <v>80</v>
      </c>
      <c r="P1371" s="2" t="s">
        <v>282</v>
      </c>
      <c r="Q1371" s="2" t="s">
        <v>1587</v>
      </c>
      <c r="R1371" s="2" t="s">
        <v>1588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3225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1582</v>
      </c>
      <c r="E1372" s="2" t="s">
        <v>38</v>
      </c>
      <c r="F1372" s="2" t="s">
        <v>39</v>
      </c>
      <c r="L1372" s="2" t="s">
        <v>3000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3225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1582</v>
      </c>
      <c r="E1373" s="2" t="s">
        <v>38</v>
      </c>
      <c r="F1373" s="2" t="s">
        <v>39</v>
      </c>
      <c r="L1373" s="2" t="s">
        <v>3000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3225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1589</v>
      </c>
      <c r="E1374" s="2" t="s">
        <v>38</v>
      </c>
      <c r="F1374" s="2" t="s">
        <v>39</v>
      </c>
      <c r="L1374" s="2" t="s">
        <v>571</v>
      </c>
      <c r="M1374" s="2" t="s">
        <v>40</v>
      </c>
      <c r="P1374" s="2" t="s">
        <v>114</v>
      </c>
      <c r="Q1374" s="2" t="s">
        <v>1590</v>
      </c>
      <c r="R1374" s="2" t="s">
        <v>1591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1592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1593</v>
      </c>
      <c r="J1375" s="2" t="s">
        <v>1594</v>
      </c>
      <c r="L1375" s="2" t="s">
        <v>201</v>
      </c>
      <c r="M1375" s="2" t="s">
        <v>41</v>
      </c>
      <c r="O1375" s="2" t="s">
        <v>1595</v>
      </c>
      <c r="P1375" s="2" t="s">
        <v>282</v>
      </c>
      <c r="Q1375" s="2" t="s">
        <v>1546</v>
      </c>
      <c r="R1375" s="2" t="s">
        <v>1547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3398</v>
      </c>
    </row>
    <row r="1376" spans="1:38" x14ac:dyDescent="0.2">
      <c r="A1376" s="2">
        <v>2025</v>
      </c>
      <c r="B1376" s="2">
        <v>7</v>
      </c>
      <c r="D1376" s="2" t="s">
        <v>1592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1593</v>
      </c>
      <c r="J1376" s="2" t="s">
        <v>1594</v>
      </c>
      <c r="L1376" s="2" t="s">
        <v>201</v>
      </c>
      <c r="M1376" s="2" t="s">
        <v>41</v>
      </c>
      <c r="O1376" s="2" t="s">
        <v>1595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3225</v>
      </c>
      <c r="AA1376" s="2" t="s">
        <v>46</v>
      </c>
      <c r="AB1376" s="2" t="s">
        <v>60</v>
      </c>
      <c r="AC1376" s="2" t="s">
        <v>3329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1592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1593</v>
      </c>
      <c r="J1377" s="2" t="s">
        <v>1594</v>
      </c>
      <c r="L1377" s="2" t="s">
        <v>201</v>
      </c>
      <c r="M1377" s="2" t="s">
        <v>41</v>
      </c>
      <c r="O1377" s="2" t="s">
        <v>1595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3225</v>
      </c>
      <c r="AA1377" s="2" t="s">
        <v>46</v>
      </c>
      <c r="AB1377" s="2" t="s">
        <v>60</v>
      </c>
      <c r="AC1377" s="2" t="s">
        <v>3329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1596</v>
      </c>
      <c r="P1378" s="2" t="s">
        <v>72</v>
      </c>
      <c r="Q1378" s="2" t="s">
        <v>1597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3225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1596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3225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1598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1598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1509</v>
      </c>
      <c r="R1382" s="2" t="s">
        <v>1510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3225</v>
      </c>
      <c r="AA1382" s="2" t="s">
        <v>71</v>
      </c>
      <c r="AB1382" s="2" t="s">
        <v>1599</v>
      </c>
      <c r="AC1382" s="2" t="s">
        <v>1599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3225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3225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1600</v>
      </c>
      <c r="P1385" s="2" t="s">
        <v>187</v>
      </c>
      <c r="Q1385" s="2" t="s">
        <v>1601</v>
      </c>
      <c r="R1385" s="2" t="s">
        <v>1602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1603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1600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1600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3225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3225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1604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3225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3225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1418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3225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1418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3225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1605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1606</v>
      </c>
      <c r="P1396" s="2" t="s">
        <v>1607</v>
      </c>
      <c r="Q1396" s="2" t="s">
        <v>1608</v>
      </c>
      <c r="R1396" s="2" t="s">
        <v>1609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1607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1610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3225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1606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1606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1610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3225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1606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3377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1611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3225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3225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1612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1613</v>
      </c>
      <c r="J1404" s="2" t="s">
        <v>1614</v>
      </c>
      <c r="K1404" s="2">
        <v>917259016</v>
      </c>
      <c r="L1404" s="2" t="s">
        <v>99</v>
      </c>
      <c r="M1404" s="2" t="s">
        <v>41</v>
      </c>
      <c r="O1404" s="2" t="s">
        <v>1615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3225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1612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1613</v>
      </c>
      <c r="J1405" s="2" t="s">
        <v>1614</v>
      </c>
      <c r="K1405" s="2">
        <v>917259016</v>
      </c>
      <c r="L1405" s="2" t="s">
        <v>99</v>
      </c>
      <c r="M1405" s="2" t="s">
        <v>41</v>
      </c>
      <c r="O1405" s="2" t="s">
        <v>1615</v>
      </c>
      <c r="P1405" s="2" t="s">
        <v>72</v>
      </c>
      <c r="Q1405" s="2" t="s">
        <v>1616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3225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1612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1613</v>
      </c>
      <c r="J1406" s="2" t="s">
        <v>1614</v>
      </c>
      <c r="K1406" s="2">
        <v>917259016</v>
      </c>
      <c r="L1406" s="2" t="s">
        <v>99</v>
      </c>
      <c r="M1406" s="2" t="s">
        <v>41</v>
      </c>
      <c r="O1406" s="2" t="s">
        <v>1615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3225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1617</v>
      </c>
      <c r="P1407" s="2" t="s">
        <v>68</v>
      </c>
      <c r="Q1407" s="2" t="s">
        <v>1618</v>
      </c>
      <c r="R1407" s="2" t="s">
        <v>1619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3229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1620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1509</v>
      </c>
      <c r="R1409" s="2" t="s">
        <v>1510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3225</v>
      </c>
      <c r="AA1409" s="2" t="s">
        <v>71</v>
      </c>
      <c r="AB1409" s="2" t="s">
        <v>1599</v>
      </c>
      <c r="AC1409" s="2" t="s">
        <v>1599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1362</v>
      </c>
      <c r="R1410" s="2" t="s">
        <v>1363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3225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3225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3225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3225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1621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1622</v>
      </c>
      <c r="J1414" s="2" t="s">
        <v>1623</v>
      </c>
      <c r="L1414" s="2" t="s">
        <v>293</v>
      </c>
      <c r="M1414" s="2" t="s">
        <v>290</v>
      </c>
      <c r="O1414" s="2" t="s">
        <v>1624</v>
      </c>
      <c r="P1414" s="2" t="s">
        <v>282</v>
      </c>
      <c r="Q1414" s="2" t="s">
        <v>1625</v>
      </c>
      <c r="R1414" s="2" t="s">
        <v>1626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3225</v>
      </c>
      <c r="AA1414" s="2" t="s">
        <v>71</v>
      </c>
      <c r="AB1414" s="2" t="s">
        <v>1599</v>
      </c>
      <c r="AC1414" s="2" t="s">
        <v>1599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1621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1622</v>
      </c>
      <c r="J1415" s="2" t="s">
        <v>1623</v>
      </c>
      <c r="L1415" s="2" t="s">
        <v>293</v>
      </c>
      <c r="M1415" s="2" t="s">
        <v>3490</v>
      </c>
      <c r="O1415" s="2" t="s">
        <v>1627</v>
      </c>
      <c r="P1415" s="2" t="s">
        <v>282</v>
      </c>
      <c r="Q1415" s="2" t="s">
        <v>1628</v>
      </c>
      <c r="R1415" s="2" t="s">
        <v>1629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3225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1621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1622</v>
      </c>
      <c r="J1416" s="2" t="s">
        <v>1623</v>
      </c>
      <c r="L1416" s="2" t="s">
        <v>293</v>
      </c>
      <c r="M1416" s="2" t="s">
        <v>3490</v>
      </c>
      <c r="O1416" s="2" t="s">
        <v>1627</v>
      </c>
      <c r="P1416" s="2" t="s">
        <v>282</v>
      </c>
      <c r="Q1416" s="2" t="s">
        <v>1630</v>
      </c>
      <c r="R1416" s="2" t="s">
        <v>1631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3225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1274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1275</v>
      </c>
      <c r="J1417" s="2" t="s">
        <v>1276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1274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1275</v>
      </c>
      <c r="J1418" s="2" t="s">
        <v>1276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3225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1289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1632</v>
      </c>
      <c r="R1421" s="2" t="s">
        <v>1633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3225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3225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3225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3225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3225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3225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3225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3225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3225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3225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3225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3377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3397</v>
      </c>
      <c r="D1436" s="2" t="s">
        <v>1634</v>
      </c>
      <c r="E1436" s="2" t="s">
        <v>2445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1635</v>
      </c>
      <c r="R1436" s="2" t="s">
        <v>1636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3225</v>
      </c>
      <c r="AA1436" s="2" t="s">
        <v>71</v>
      </c>
      <c r="AB1436" s="2" t="s">
        <v>1599</v>
      </c>
      <c r="AC1436" s="2" t="s">
        <v>1599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1637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3298</v>
      </c>
      <c r="O1438" s="2" t="s">
        <v>1638</v>
      </c>
      <c r="P1438" s="2" t="s">
        <v>282</v>
      </c>
      <c r="Q1438" s="2" t="s">
        <v>1639</v>
      </c>
      <c r="R1438" s="2" t="s">
        <v>1640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3225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3298</v>
      </c>
      <c r="O1439" s="2" t="s">
        <v>1641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3225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1294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1295</v>
      </c>
      <c r="L1440" s="2" t="s">
        <v>339</v>
      </c>
      <c r="P1440" s="2" t="s">
        <v>72</v>
      </c>
      <c r="Q1440" s="2" t="s">
        <v>1447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3225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1294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1295</v>
      </c>
      <c r="L1441" s="2" t="s">
        <v>339</v>
      </c>
      <c r="P1441" s="2" t="s">
        <v>72</v>
      </c>
      <c r="Q1441" s="2" t="s">
        <v>1448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3225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1294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1295</v>
      </c>
      <c r="L1442" s="2" t="s">
        <v>339</v>
      </c>
      <c r="P1442" s="2" t="s">
        <v>72</v>
      </c>
      <c r="Q1442" s="2" t="s">
        <v>1642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3225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1294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1295</v>
      </c>
      <c r="L1443" s="2" t="s">
        <v>339</v>
      </c>
      <c r="M1443" s="2" t="s">
        <v>80</v>
      </c>
      <c r="P1443" s="2" t="s">
        <v>1038</v>
      </c>
      <c r="Q1443" s="2" t="s">
        <v>1643</v>
      </c>
      <c r="R1443" s="2" t="s">
        <v>1644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3225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1294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1295</v>
      </c>
      <c r="L1444" s="2" t="s">
        <v>339</v>
      </c>
      <c r="M1444" s="2" t="s">
        <v>80</v>
      </c>
      <c r="P1444" s="2" t="s">
        <v>1038</v>
      </c>
      <c r="Q1444" s="2" t="s">
        <v>1645</v>
      </c>
      <c r="R1444" s="2" t="s">
        <v>1646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3225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1294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1295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1294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1295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3225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3225</v>
      </c>
      <c r="AA1447" s="2" t="s">
        <v>46</v>
      </c>
      <c r="AB1447" s="2" t="s">
        <v>60</v>
      </c>
      <c r="AC1447" s="2" t="s">
        <v>3329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3225</v>
      </c>
      <c r="AA1448" s="2" t="s">
        <v>46</v>
      </c>
      <c r="AB1448" s="2" t="s">
        <v>60</v>
      </c>
      <c r="AC1448" s="2" t="s">
        <v>3329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3225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1647</v>
      </c>
      <c r="P1450" s="2" t="s">
        <v>114</v>
      </c>
      <c r="Q1450" s="2" t="s">
        <v>1648</v>
      </c>
      <c r="R1450" s="2" t="s">
        <v>1649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1650</v>
      </c>
      <c r="E1453" s="2" t="s">
        <v>38</v>
      </c>
      <c r="F1453" s="2" t="s">
        <v>39</v>
      </c>
      <c r="H1453" s="2" t="s">
        <v>41</v>
      </c>
      <c r="I1453" s="2" t="s">
        <v>1651</v>
      </c>
      <c r="J1453" s="2" t="s">
        <v>1652</v>
      </c>
      <c r="L1453" s="2" t="s">
        <v>112</v>
      </c>
      <c r="M1453" s="2" t="s">
        <v>40</v>
      </c>
      <c r="O1453" s="2" t="s">
        <v>1653</v>
      </c>
      <c r="P1453" s="2" t="s">
        <v>114</v>
      </c>
      <c r="Q1453" s="2" t="s">
        <v>1654</v>
      </c>
      <c r="R1453" s="2" t="s">
        <v>1655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1650</v>
      </c>
      <c r="E1454" s="2" t="s">
        <v>38</v>
      </c>
      <c r="F1454" s="2" t="s">
        <v>39</v>
      </c>
      <c r="H1454" s="2" t="s">
        <v>41</v>
      </c>
      <c r="I1454" s="2" t="s">
        <v>1651</v>
      </c>
      <c r="J1454" s="2" t="s">
        <v>1652</v>
      </c>
      <c r="L1454" s="2" t="s">
        <v>112</v>
      </c>
      <c r="M1454" s="2" t="s">
        <v>40</v>
      </c>
      <c r="O1454" s="2" t="s">
        <v>1653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1650</v>
      </c>
      <c r="E1455" s="2" t="s">
        <v>38</v>
      </c>
      <c r="F1455" s="2" t="s">
        <v>39</v>
      </c>
      <c r="H1455" s="2" t="s">
        <v>41</v>
      </c>
      <c r="I1455" s="2" t="s">
        <v>1651</v>
      </c>
      <c r="J1455" s="2" t="s">
        <v>1652</v>
      </c>
      <c r="L1455" s="2" t="s">
        <v>112</v>
      </c>
      <c r="M1455" s="2" t="s">
        <v>40</v>
      </c>
      <c r="O1455" s="2" t="s">
        <v>1653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1301</v>
      </c>
      <c r="P1456" s="2" t="s">
        <v>1193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1198</v>
      </c>
      <c r="AB1456" s="2" t="s">
        <v>119</v>
      </c>
      <c r="AC1456" s="2" t="s">
        <v>1193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1656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1509</v>
      </c>
      <c r="R1457" s="2" t="s">
        <v>1510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3225</v>
      </c>
      <c r="AA1457" s="2" t="s">
        <v>71</v>
      </c>
      <c r="AB1457" s="2" t="s">
        <v>1599</v>
      </c>
      <c r="AC1457" s="2" t="s">
        <v>1599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1657</v>
      </c>
      <c r="M1458" s="2" t="s">
        <v>109</v>
      </c>
      <c r="P1458" s="2" t="s">
        <v>282</v>
      </c>
      <c r="Q1458" s="2" t="s">
        <v>1587</v>
      </c>
      <c r="R1458" s="2" t="s">
        <v>1588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3225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1657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1658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1658</v>
      </c>
      <c r="P1461" s="2" t="s">
        <v>114</v>
      </c>
      <c r="Q1461" s="2" t="s">
        <v>1331</v>
      </c>
      <c r="R1461" s="2" t="s">
        <v>1332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1659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3377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3225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3421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3243</v>
      </c>
      <c r="J1464" s="2" t="s">
        <v>3244</v>
      </c>
      <c r="K1464" s="2">
        <v>96179412</v>
      </c>
      <c r="L1464" s="2" t="s">
        <v>461</v>
      </c>
      <c r="M1464" s="2" t="s">
        <v>40</v>
      </c>
      <c r="O1464" s="2" t="s">
        <v>3251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3421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3243</v>
      </c>
      <c r="J1465" s="2" t="s">
        <v>3244</v>
      </c>
      <c r="K1465" s="2">
        <v>96179412</v>
      </c>
      <c r="L1465" s="2" t="s">
        <v>461</v>
      </c>
      <c r="M1465" s="2" t="s">
        <v>40</v>
      </c>
      <c r="O1465" s="2" t="s">
        <v>3251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3421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3243</v>
      </c>
      <c r="J1466" s="2" t="s">
        <v>3244</v>
      </c>
      <c r="K1466" s="2">
        <v>96179412</v>
      </c>
      <c r="L1466" s="2" t="s">
        <v>461</v>
      </c>
      <c r="M1466" s="2" t="s">
        <v>40</v>
      </c>
      <c r="O1466" s="2" t="s">
        <v>3251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3421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3225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3421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3225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1660</v>
      </c>
      <c r="P1469" s="2" t="s">
        <v>282</v>
      </c>
      <c r="Q1469" s="2" t="s">
        <v>1661</v>
      </c>
      <c r="R1469" s="2" t="s">
        <v>1662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2640</v>
      </c>
      <c r="AC1469" s="2" t="s">
        <v>1326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1660</v>
      </c>
      <c r="P1470" s="2" t="s">
        <v>282</v>
      </c>
      <c r="Q1470" s="2" t="s">
        <v>1663</v>
      </c>
      <c r="R1470" s="2" t="s">
        <v>1664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2640</v>
      </c>
      <c r="AC1470" s="2" t="s">
        <v>1326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3421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1622</v>
      </c>
      <c r="J1472" s="2" t="s">
        <v>3168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1622</v>
      </c>
      <c r="J1473" s="2" t="s">
        <v>3168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1435</v>
      </c>
      <c r="R1474" s="2" t="s">
        <v>1436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3225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3225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3225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3225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3225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1665</v>
      </c>
      <c r="R1479" s="2" t="s">
        <v>1666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3225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1667</v>
      </c>
      <c r="R1480" s="2" t="s">
        <v>1668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3225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1669</v>
      </c>
      <c r="R1481" s="2" t="s">
        <v>1670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3225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3225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3390</v>
      </c>
      <c r="D1484" s="2" t="s">
        <v>1671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3225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3390</v>
      </c>
      <c r="D1485" s="2" t="s">
        <v>1671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3225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3390</v>
      </c>
      <c r="D1486" s="2" t="s">
        <v>1671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3225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3390</v>
      </c>
      <c r="D1487" s="2" t="s">
        <v>1671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3225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1456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1456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1474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3225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1474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3225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1474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3225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1672</v>
      </c>
      <c r="P1493" s="2" t="s">
        <v>114</v>
      </c>
      <c r="Q1493" s="2" t="s">
        <v>1249</v>
      </c>
      <c r="R1493" s="2" t="s">
        <v>1250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1672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1673</v>
      </c>
      <c r="P1495" s="2" t="s">
        <v>114</v>
      </c>
      <c r="Q1495" s="2" t="s">
        <v>1382</v>
      </c>
      <c r="R1495" s="2" t="s">
        <v>1383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1674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1674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3414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1573</v>
      </c>
      <c r="AB1498" s="2" t="s">
        <v>388</v>
      </c>
      <c r="AC1498" s="2" t="s">
        <v>1326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1330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3377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1483</v>
      </c>
      <c r="P1500" s="2" t="s">
        <v>1193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2745</v>
      </c>
      <c r="AB1500" s="2" t="s">
        <v>2746</v>
      </c>
      <c r="AC1500" s="2" t="s">
        <v>1193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1483</v>
      </c>
      <c r="P1501" s="2" t="s">
        <v>1193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1198</v>
      </c>
      <c r="AB1501" s="2" t="s">
        <v>119</v>
      </c>
      <c r="AC1501" s="2" t="s">
        <v>1193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3414</v>
      </c>
      <c r="D1502" s="2" t="s">
        <v>3413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3414</v>
      </c>
      <c r="D1503" s="2" t="s">
        <v>3413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3414</v>
      </c>
      <c r="D1504" s="2" t="s">
        <v>3413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2507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3414</v>
      </c>
      <c r="D1505" s="2" t="s">
        <v>3413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3414</v>
      </c>
      <c r="D1506" s="2" t="s">
        <v>3413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1675</v>
      </c>
      <c r="R1506" s="2" t="s">
        <v>1676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1677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1678</v>
      </c>
      <c r="P1508" s="2" t="s">
        <v>282</v>
      </c>
      <c r="Q1508" s="2" t="s">
        <v>1587</v>
      </c>
      <c r="R1508" s="2" t="s">
        <v>1588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3225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3321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1679</v>
      </c>
      <c r="R1510" s="2" t="s">
        <v>1680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1681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3225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1681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3225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1682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3225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1682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3225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1683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1683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1683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3377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1684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3225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1684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3225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3414</v>
      </c>
      <c r="D1523" s="2" t="s">
        <v>1349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1685</v>
      </c>
      <c r="R1523" s="2" t="s">
        <v>1686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3225</v>
      </c>
      <c r="AA1523" s="2" t="s">
        <v>71</v>
      </c>
      <c r="AB1523" s="2" t="s">
        <v>1599</v>
      </c>
      <c r="AC1523" s="2" t="s">
        <v>1599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1687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3225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1687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3225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1688</v>
      </c>
      <c r="R1526" s="2" t="s">
        <v>1689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A1526" s="2" t="s">
        <v>118</v>
      </c>
      <c r="AB1526" s="2" t="s">
        <v>119</v>
      </c>
      <c r="AC1526" s="2" t="s">
        <v>114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3321</v>
      </c>
      <c r="D1529" s="2" t="s">
        <v>1354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1355</v>
      </c>
      <c r="L1529" s="2" t="s">
        <v>418</v>
      </c>
      <c r="M1529" s="2" t="s">
        <v>41</v>
      </c>
      <c r="P1529" s="2" t="s">
        <v>282</v>
      </c>
      <c r="Q1529" s="2" t="s">
        <v>1690</v>
      </c>
      <c r="R1529" s="2" t="s">
        <v>1691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3225</v>
      </c>
      <c r="AA1529" s="2" t="s">
        <v>1573</v>
      </c>
      <c r="AB1529" s="2" t="s">
        <v>388</v>
      </c>
      <c r="AC1529" s="2" t="s">
        <v>1326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1692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1693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1693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1694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1695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3225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1695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3225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3390</v>
      </c>
      <c r="D1539" s="2" t="s">
        <v>3404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1696</v>
      </c>
      <c r="P1539" s="2" t="s">
        <v>114</v>
      </c>
      <c r="Q1539" s="2" t="s">
        <v>1697</v>
      </c>
      <c r="R1539" s="2" t="s">
        <v>1698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3390</v>
      </c>
      <c r="D1540" s="2" t="s">
        <v>3404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1696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3390</v>
      </c>
      <c r="D1541" s="2" t="s">
        <v>3404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1696</v>
      </c>
      <c r="P1541" s="2" t="s">
        <v>282</v>
      </c>
      <c r="Q1541" s="2" t="s">
        <v>1699</v>
      </c>
      <c r="R1541" s="2" t="s">
        <v>1700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3225</v>
      </c>
      <c r="AA1541" s="2" t="s">
        <v>71</v>
      </c>
      <c r="AB1541" s="2" t="s">
        <v>1599</v>
      </c>
      <c r="AC1541" s="2" t="s">
        <v>1599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3390</v>
      </c>
      <c r="D1542" s="2" t="s">
        <v>3404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1696</v>
      </c>
      <c r="P1542" s="2" t="s">
        <v>282</v>
      </c>
      <c r="Q1542" s="2" t="s">
        <v>1701</v>
      </c>
      <c r="R1542" s="2" t="s">
        <v>1702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3225</v>
      </c>
      <c r="AA1542" s="2" t="s">
        <v>71</v>
      </c>
      <c r="AB1542" s="2" t="s">
        <v>1599</v>
      </c>
      <c r="AC1542" s="2" t="s">
        <v>1599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3390</v>
      </c>
      <c r="D1543" s="2" t="s">
        <v>3404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1696</v>
      </c>
      <c r="P1543" s="2" t="s">
        <v>101</v>
      </c>
      <c r="Q1543" s="2" t="s">
        <v>1703</v>
      </c>
      <c r="R1543" s="2" t="s">
        <v>1704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3390</v>
      </c>
      <c r="D1544" s="2" t="s">
        <v>3404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1696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2537</v>
      </c>
      <c r="L1545" s="2" t="s">
        <v>99</v>
      </c>
      <c r="M1545" s="2" t="s">
        <v>80</v>
      </c>
      <c r="P1545" s="2" t="s">
        <v>282</v>
      </c>
      <c r="Q1545" s="2" t="s">
        <v>1236</v>
      </c>
      <c r="R1545" s="2" t="s">
        <v>1237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3225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1552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1553</v>
      </c>
      <c r="J1546" s="2" t="s">
        <v>1554</v>
      </c>
      <c r="L1546" s="2" t="s">
        <v>99</v>
      </c>
      <c r="M1546" s="2" t="s">
        <v>40</v>
      </c>
      <c r="P1546" s="2" t="s">
        <v>114</v>
      </c>
      <c r="Q1546" s="2" t="s">
        <v>1705</v>
      </c>
      <c r="R1546" s="2" t="s">
        <v>1706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1552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1553</v>
      </c>
      <c r="J1547" s="2" t="s">
        <v>1554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3225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1552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1553</v>
      </c>
      <c r="J1548" s="2" t="s">
        <v>1554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1552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1553</v>
      </c>
      <c r="J1549" s="2" t="s">
        <v>1554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3414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1376</v>
      </c>
      <c r="M1551" s="2" t="s">
        <v>80</v>
      </c>
      <c r="O1551" s="2" t="s">
        <v>3199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3225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1376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3225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3225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3225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1564</v>
      </c>
      <c r="P1561" s="2" t="s">
        <v>282</v>
      </c>
      <c r="Q1561" s="2" t="s">
        <v>1435</v>
      </c>
      <c r="R1561" s="2" t="s">
        <v>1436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3225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1564</v>
      </c>
      <c r="P1562" s="2" t="s">
        <v>282</v>
      </c>
      <c r="Q1562" s="2" t="s">
        <v>1587</v>
      </c>
      <c r="R1562" s="2" t="s">
        <v>1588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3225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1707</v>
      </c>
      <c r="J1563" s="2" t="s">
        <v>1708</v>
      </c>
      <c r="L1563" s="2" t="s">
        <v>339</v>
      </c>
      <c r="M1563" s="2" t="s">
        <v>40</v>
      </c>
      <c r="O1563" s="2" t="s">
        <v>1709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3388</v>
      </c>
      <c r="D1567" s="15" t="s">
        <v>3334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1247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3225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3388</v>
      </c>
      <c r="D1568" s="15" t="s">
        <v>3334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3225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1193</v>
      </c>
      <c r="Q1573" s="2" t="s">
        <v>1710</v>
      </c>
      <c r="R1573" s="2" t="s">
        <v>1711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1198</v>
      </c>
      <c r="AB1573" s="2" t="s">
        <v>119</v>
      </c>
      <c r="AC1573" s="2" t="s">
        <v>1193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1193</v>
      </c>
      <c r="Q1574" s="2" t="s">
        <v>1196</v>
      </c>
      <c r="R1574" s="2" t="s">
        <v>1197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1198</v>
      </c>
      <c r="AB1574" s="2" t="s">
        <v>119</v>
      </c>
      <c r="AC1574" s="2" t="s">
        <v>1193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1712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3225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1713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1713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1435</v>
      </c>
      <c r="R1580" s="2" t="s">
        <v>1436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3225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1714</v>
      </c>
      <c r="P1582" s="2" t="s">
        <v>114</v>
      </c>
      <c r="Q1582" s="2" t="s">
        <v>1249</v>
      </c>
      <c r="R1582" s="2" t="s">
        <v>1250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3321</v>
      </c>
      <c r="D1583" s="2" t="s">
        <v>850</v>
      </c>
      <c r="E1583" s="2" t="s">
        <v>183</v>
      </c>
      <c r="F1583" s="2" t="s">
        <v>3528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3321</v>
      </c>
      <c r="D1584" s="2" t="s">
        <v>850</v>
      </c>
      <c r="E1584" s="2" t="s">
        <v>183</v>
      </c>
      <c r="F1584" s="2" t="s">
        <v>3528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3321</v>
      </c>
      <c r="D1585" s="2" t="s">
        <v>850</v>
      </c>
      <c r="E1585" s="2" t="s">
        <v>183</v>
      </c>
      <c r="F1585" s="2" t="s">
        <v>3528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1715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1716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3225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1716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3225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3132</v>
      </c>
      <c r="L1589" s="2" t="s">
        <v>177</v>
      </c>
      <c r="M1589" s="2" t="s">
        <v>41</v>
      </c>
      <c r="O1589" s="2" t="s">
        <v>3135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3225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1589</v>
      </c>
      <c r="E1592" s="2" t="s">
        <v>38</v>
      </c>
      <c r="F1592" s="2" t="s">
        <v>39</v>
      </c>
      <c r="L1592" s="2" t="s">
        <v>571</v>
      </c>
      <c r="M1592" s="2" t="s">
        <v>40</v>
      </c>
      <c r="P1592" s="2" t="s">
        <v>114</v>
      </c>
      <c r="Q1592" s="2" t="s">
        <v>1559</v>
      </c>
      <c r="R1592" s="2" t="s">
        <v>1560</v>
      </c>
      <c r="S1592" s="2">
        <v>1</v>
      </c>
      <c r="T1592" s="2">
        <v>57.86</v>
      </c>
      <c r="U1592" s="2">
        <v>13.3078</v>
      </c>
      <c r="V1592" s="2">
        <v>71.1678</v>
      </c>
      <c r="W1592" s="2">
        <v>26.77</v>
      </c>
      <c r="X1592" s="5">
        <f t="shared" si="241"/>
        <v>0.53733148980297274</v>
      </c>
      <c r="Z1592" s="2" t="s">
        <v>117</v>
      </c>
      <c r="AA1592" s="2" t="s">
        <v>118</v>
      </c>
      <c r="AB1592" s="2" t="s">
        <v>119</v>
      </c>
      <c r="AC1592" s="2" t="s">
        <v>114</v>
      </c>
      <c r="AF1592" s="2">
        <f t="shared" si="231"/>
        <v>0</v>
      </c>
      <c r="AJ1592" s="2">
        <f t="shared" si="232"/>
        <v>0</v>
      </c>
      <c r="AK1592" s="2">
        <f t="shared" si="239"/>
        <v>31.09</v>
      </c>
      <c r="AL1592" s="5">
        <f t="shared" si="242"/>
        <v>0.53733148980297274</v>
      </c>
    </row>
    <row r="1593" spans="1:38" x14ac:dyDescent="0.2">
      <c r="A1593" s="2">
        <v>2025</v>
      </c>
      <c r="B1593" s="2">
        <v>6</v>
      </c>
      <c r="D1593" s="2" t="s">
        <v>1589</v>
      </c>
      <c r="E1593" s="2" t="s">
        <v>38</v>
      </c>
      <c r="F1593" s="2" t="s">
        <v>39</v>
      </c>
      <c r="L1593" s="2" t="s">
        <v>571</v>
      </c>
      <c r="M1593" s="2" t="s">
        <v>40</v>
      </c>
      <c r="P1593" s="2" t="s">
        <v>114</v>
      </c>
      <c r="Q1593" s="2" t="s">
        <v>1590</v>
      </c>
      <c r="R1593" s="2" t="s">
        <v>1591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W1593" s="2">
        <v>21.32</v>
      </c>
      <c r="X1593" s="5">
        <f t="shared" si="241"/>
        <v>0.67320662170447576</v>
      </c>
      <c r="Z1593" s="2" t="s">
        <v>117</v>
      </c>
      <c r="AA1593" s="2" t="s">
        <v>118</v>
      </c>
      <c r="AB1593" s="2" t="s">
        <v>119</v>
      </c>
      <c r="AC1593" s="2" t="s">
        <v>114</v>
      </c>
      <c r="AF1593" s="2">
        <f t="shared" si="231"/>
        <v>0</v>
      </c>
      <c r="AJ1593" s="2">
        <f t="shared" si="232"/>
        <v>0</v>
      </c>
      <c r="AK1593" s="2">
        <f t="shared" si="239"/>
        <v>43.919999999999995</v>
      </c>
      <c r="AL1593" s="5">
        <f t="shared" si="242"/>
        <v>0.67320662170447576</v>
      </c>
    </row>
    <row r="1594" spans="1:38" x14ac:dyDescent="0.2">
      <c r="A1594" s="2">
        <v>2025</v>
      </c>
      <c r="B1594" s="2">
        <v>6</v>
      </c>
      <c r="D1594" s="2" t="s">
        <v>1589</v>
      </c>
      <c r="E1594" s="2" t="s">
        <v>38</v>
      </c>
      <c r="F1594" s="2" t="s">
        <v>39</v>
      </c>
      <c r="L1594" s="2" t="s">
        <v>571</v>
      </c>
      <c r="M1594" s="2" t="s">
        <v>40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3388</v>
      </c>
      <c r="D1595" s="2" t="s">
        <v>1717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1435</v>
      </c>
      <c r="R1595" s="2" t="s">
        <v>1436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3225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3390</v>
      </c>
      <c r="D1596" s="2" t="s">
        <v>1717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1443</v>
      </c>
      <c r="R1596" s="2" t="s">
        <v>1444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3225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1718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3232</v>
      </c>
      <c r="J1597" s="2" t="s">
        <v>3233</v>
      </c>
      <c r="L1597" s="2" t="s">
        <v>571</v>
      </c>
      <c r="M1597" s="2" t="s">
        <v>80</v>
      </c>
      <c r="O1597" s="2" t="s">
        <v>3234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3225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1718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3232</v>
      </c>
      <c r="J1598" s="2" t="s">
        <v>3233</v>
      </c>
      <c r="L1598" s="2" t="s">
        <v>571</v>
      </c>
      <c r="M1598" s="2" t="s">
        <v>80</v>
      </c>
      <c r="O1598" s="2" t="s">
        <v>3234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3225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1509</v>
      </c>
      <c r="R1599" s="2" t="s">
        <v>1510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3225</v>
      </c>
      <c r="AA1599" s="2" t="s">
        <v>71</v>
      </c>
      <c r="AB1599" s="2" t="s">
        <v>1599</v>
      </c>
      <c r="AC1599" s="2" t="s">
        <v>1599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3225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3225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3225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3225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1719</v>
      </c>
      <c r="E1605" s="2" t="s">
        <v>108</v>
      </c>
      <c r="F1605" s="2" t="s">
        <v>717</v>
      </c>
      <c r="P1605" s="2" t="s">
        <v>187</v>
      </c>
      <c r="Q1605" s="2" t="s">
        <v>1720</v>
      </c>
      <c r="R1605" s="2" t="s">
        <v>1721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1607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1719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3377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1417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2410</v>
      </c>
      <c r="J1607" s="2" t="s">
        <v>2411</v>
      </c>
      <c r="L1607" s="2" t="s">
        <v>201</v>
      </c>
      <c r="M1607" s="2" t="s">
        <v>80</v>
      </c>
      <c r="P1607" s="2" t="s">
        <v>1038</v>
      </c>
      <c r="Q1607" s="2" t="s">
        <v>1722</v>
      </c>
      <c r="R1607" s="2" t="s">
        <v>1723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3225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1417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2410</v>
      </c>
      <c r="J1608" s="2" t="s">
        <v>2411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3225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1724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3225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1725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3225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1726</v>
      </c>
      <c r="P1611" s="2" t="s">
        <v>1038</v>
      </c>
      <c r="Q1611" s="2" t="s">
        <v>1727</v>
      </c>
      <c r="R1611" s="2" t="s">
        <v>1728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3225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1726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3225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1620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3225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1620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3225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1620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1729</v>
      </c>
      <c r="R1615" s="2" t="s">
        <v>1730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3225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1620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1731</v>
      </c>
      <c r="R1616" s="2" t="s">
        <v>1732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3225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1733</v>
      </c>
      <c r="P1617" s="2" t="s">
        <v>114</v>
      </c>
      <c r="Q1617" s="2" t="s">
        <v>1734</v>
      </c>
      <c r="R1617" s="2" t="s">
        <v>1735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1733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1736</v>
      </c>
      <c r="P1619" s="2" t="s">
        <v>114</v>
      </c>
      <c r="Q1619" s="2" t="s">
        <v>1737</v>
      </c>
      <c r="R1619" s="2" t="s">
        <v>1738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3225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3225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1739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1740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1739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1740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1656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1509</v>
      </c>
      <c r="R1630" s="2" t="s">
        <v>1510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3225</v>
      </c>
      <c r="AA1630" s="2" t="s">
        <v>71</v>
      </c>
      <c r="AB1630" s="2" t="s">
        <v>1599</v>
      </c>
      <c r="AC1630" s="2" t="s">
        <v>1599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1657</v>
      </c>
      <c r="P1631" s="2" t="s">
        <v>282</v>
      </c>
      <c r="Q1631" s="2" t="s">
        <v>1435</v>
      </c>
      <c r="R1631" s="2" t="s">
        <v>1436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3225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1741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2293</v>
      </c>
      <c r="J1633" s="2" t="s">
        <v>2294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2293</v>
      </c>
      <c r="J1634" s="2" t="s">
        <v>2294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1742</v>
      </c>
      <c r="P1635" s="2" t="s">
        <v>282</v>
      </c>
      <c r="Q1635" s="2" t="s">
        <v>1743</v>
      </c>
      <c r="R1635" s="2" t="s">
        <v>1744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3225</v>
      </c>
      <c r="AA1635" s="2" t="s">
        <v>71</v>
      </c>
      <c r="AB1635" s="2" t="s">
        <v>1599</v>
      </c>
      <c r="AC1635" s="2" t="s">
        <v>1599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1742</v>
      </c>
      <c r="P1636" s="2" t="s">
        <v>68</v>
      </c>
      <c r="Q1636" s="2" t="s">
        <v>1745</v>
      </c>
      <c r="R1636" s="2" t="s">
        <v>1746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3225</v>
      </c>
      <c r="AA1636" s="2" t="s">
        <v>71</v>
      </c>
      <c r="AB1636" s="2" t="s">
        <v>68</v>
      </c>
      <c r="AC1636" s="2" t="s">
        <v>3229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3225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3225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3225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1747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1748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1748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3225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3225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3315</v>
      </c>
      <c r="D1645" s="2" t="s">
        <v>1749</v>
      </c>
      <c r="E1645" s="2" t="s">
        <v>38</v>
      </c>
      <c r="F1645" s="2" t="s">
        <v>39</v>
      </c>
      <c r="I1645" s="2" t="s">
        <v>3385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3225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3315</v>
      </c>
      <c r="D1646" s="2" t="s">
        <v>1749</v>
      </c>
      <c r="E1646" s="2" t="s">
        <v>38</v>
      </c>
      <c r="F1646" s="2" t="s">
        <v>39</v>
      </c>
      <c r="I1646" s="2" t="s">
        <v>3385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3225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1750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1750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3315</v>
      </c>
      <c r="D1649" s="2" t="s">
        <v>1162</v>
      </c>
      <c r="E1649" s="2" t="s">
        <v>752</v>
      </c>
      <c r="F1649" s="2" t="s">
        <v>1216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1447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3225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3315</v>
      </c>
      <c r="D1650" s="2" t="s">
        <v>1162</v>
      </c>
      <c r="E1650" s="2" t="s">
        <v>752</v>
      </c>
      <c r="F1650" s="2" t="s">
        <v>1216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3225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1751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3225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1752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3225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1753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1753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1753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3113</v>
      </c>
      <c r="J1656" s="2" t="s">
        <v>3114</v>
      </c>
      <c r="L1656" s="2" t="s">
        <v>112</v>
      </c>
      <c r="M1656" s="2" t="s">
        <v>40</v>
      </c>
      <c r="O1656" s="2" t="s">
        <v>3116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2507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1177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1178</v>
      </c>
      <c r="J1657" s="2" t="s">
        <v>1179</v>
      </c>
      <c r="L1657" s="2" t="s">
        <v>461</v>
      </c>
      <c r="M1657" s="2" t="s">
        <v>41</v>
      </c>
      <c r="O1657" s="2" t="s">
        <v>1754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3225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1177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1178</v>
      </c>
      <c r="J1658" s="2" t="s">
        <v>1179</v>
      </c>
      <c r="L1658" s="2" t="s">
        <v>461</v>
      </c>
      <c r="M1658" s="2" t="s">
        <v>41</v>
      </c>
      <c r="O1658" s="2" t="s">
        <v>1755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3225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1177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1178</v>
      </c>
      <c r="J1659" s="2" t="s">
        <v>1179</v>
      </c>
      <c r="L1659" s="2" t="s">
        <v>461</v>
      </c>
      <c r="M1659" s="2" t="s">
        <v>41</v>
      </c>
      <c r="O1659" s="2" t="s">
        <v>1755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3225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1177</v>
      </c>
      <c r="E1660" s="2" t="s">
        <v>38</v>
      </c>
      <c r="G1660" s="2">
        <v>502089075</v>
      </c>
      <c r="H1660" s="2" t="s">
        <v>41</v>
      </c>
      <c r="I1660" s="2" t="s">
        <v>1178</v>
      </c>
      <c r="J1660" s="2" t="s">
        <v>1179</v>
      </c>
      <c r="L1660" s="2" t="s">
        <v>461</v>
      </c>
      <c r="M1660" s="2" t="s">
        <v>41</v>
      </c>
      <c r="O1660" s="2" t="s">
        <v>1754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1756</v>
      </c>
      <c r="P1661" s="2" t="s">
        <v>72</v>
      </c>
      <c r="Q1661" s="2" t="s">
        <v>1757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3225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1756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1756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3225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1758</v>
      </c>
      <c r="P1664" s="2" t="s">
        <v>114</v>
      </c>
      <c r="Q1664" s="2" t="s">
        <v>1759</v>
      </c>
      <c r="R1664" s="2" t="s">
        <v>1760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1758</v>
      </c>
      <c r="P1665" s="2" t="s">
        <v>114</v>
      </c>
      <c r="Q1665" s="2" t="s">
        <v>1761</v>
      </c>
      <c r="R1665" s="2" t="s">
        <v>1762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1763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1763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3225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3225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3488</v>
      </c>
      <c r="D1672" s="2" t="s">
        <v>1764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1603</v>
      </c>
      <c r="Q1672" s="2" t="s">
        <v>1765</v>
      </c>
      <c r="R1672" s="2" t="s">
        <v>1766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1603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3488</v>
      </c>
      <c r="D1673" s="2" t="s">
        <v>1764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3488</v>
      </c>
      <c r="D1674" s="2" t="s">
        <v>1764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1767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3225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1767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3225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1768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1768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1354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1355</v>
      </c>
      <c r="L1679" s="2" t="s">
        <v>418</v>
      </c>
      <c r="M1679" s="2" t="s">
        <v>41</v>
      </c>
      <c r="P1679" s="2" t="s">
        <v>282</v>
      </c>
      <c r="Q1679" s="2" t="s">
        <v>1769</v>
      </c>
      <c r="R1679" s="2" t="s">
        <v>1770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3225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1771</v>
      </c>
      <c r="R1680" s="2" t="s">
        <v>1772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3377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1773</v>
      </c>
      <c r="P1684" s="2" t="s">
        <v>101</v>
      </c>
      <c r="Q1684" s="2" t="s">
        <v>1774</v>
      </c>
      <c r="R1684" s="2" t="s">
        <v>1775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1776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1776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1777</v>
      </c>
      <c r="P1687" s="2" t="s">
        <v>282</v>
      </c>
      <c r="Q1687" s="2" t="s">
        <v>1778</v>
      </c>
      <c r="R1687" s="2" t="s">
        <v>1779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1326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1777</v>
      </c>
      <c r="P1688" s="2" t="s">
        <v>282</v>
      </c>
      <c r="Q1688" s="2" t="s">
        <v>1780</v>
      </c>
      <c r="R1688" s="2" t="s">
        <v>1781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3225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1777</v>
      </c>
      <c r="P1689" s="2" t="s">
        <v>282</v>
      </c>
      <c r="Q1689" s="2" t="s">
        <v>1782</v>
      </c>
      <c r="R1689" s="2" t="s">
        <v>1781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3225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1777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3488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1783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3225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3488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3225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3407</v>
      </c>
      <c r="D1693" s="2" t="s">
        <v>1784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3228</v>
      </c>
      <c r="Q1693" s="2" t="s">
        <v>1785</v>
      </c>
      <c r="R1693" s="2" t="s">
        <v>1786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3228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3488</v>
      </c>
      <c r="D1694" s="2" t="s">
        <v>1787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3377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1788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1788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3225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3225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3407</v>
      </c>
      <c r="D1702" s="2" t="s">
        <v>3406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1789</v>
      </c>
      <c r="P1702" s="2" t="s">
        <v>114</v>
      </c>
      <c r="Q1702" s="2" t="s">
        <v>1790</v>
      </c>
      <c r="R1702" s="2" t="s">
        <v>1791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3225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2537</v>
      </c>
      <c r="L1704" s="2" t="s">
        <v>99</v>
      </c>
      <c r="M1704" s="2" t="s">
        <v>80</v>
      </c>
      <c r="P1704" s="2" t="s">
        <v>282</v>
      </c>
      <c r="Q1704" s="2" t="s">
        <v>1236</v>
      </c>
      <c r="R1704" s="2" t="s">
        <v>1237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3225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2537</v>
      </c>
      <c r="L1705" s="2" t="s">
        <v>99</v>
      </c>
      <c r="M1705" s="2" t="s">
        <v>80</v>
      </c>
      <c r="P1705" s="2" t="s">
        <v>282</v>
      </c>
      <c r="Q1705" s="2" t="s">
        <v>1531</v>
      </c>
      <c r="R1705" s="2" t="s">
        <v>1532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3225</v>
      </c>
      <c r="AA1705" s="2" t="s">
        <v>155</v>
      </c>
      <c r="AB1705" s="2" t="s">
        <v>3400</v>
      </c>
      <c r="AC1705" s="2" t="s">
        <v>1326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2537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3225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3225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3225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3225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3225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3225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3225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3225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3225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3225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1552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1553</v>
      </c>
      <c r="J1716" s="2" t="s">
        <v>1554</v>
      </c>
      <c r="L1716" s="2" t="s">
        <v>99</v>
      </c>
      <c r="M1716" s="2" t="s">
        <v>41</v>
      </c>
      <c r="P1716" s="2" t="s">
        <v>282</v>
      </c>
      <c r="Q1716" s="2" t="s">
        <v>1546</v>
      </c>
      <c r="R1716" s="2" t="s">
        <v>1547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3398</v>
      </c>
    </row>
    <row r="1717" spans="1:38" x14ac:dyDescent="0.2">
      <c r="A1717" s="2">
        <v>2025</v>
      </c>
      <c r="B1717" s="2">
        <v>8</v>
      </c>
      <c r="D1717" s="2" t="s">
        <v>1552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1553</v>
      </c>
      <c r="J1717" s="2" t="s">
        <v>1554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3225</v>
      </c>
      <c r="AA1717" s="2" t="s">
        <v>46</v>
      </c>
      <c r="AB1717" s="2" t="s">
        <v>60</v>
      </c>
      <c r="AC1717" s="2" t="s">
        <v>3329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1552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1553</v>
      </c>
      <c r="J1718" s="2" t="s">
        <v>1554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3225</v>
      </c>
      <c r="AA1718" s="2" t="s">
        <v>46</v>
      </c>
      <c r="AB1718" s="2" t="s">
        <v>60</v>
      </c>
      <c r="AC1718" s="2" t="s">
        <v>3329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1552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1553</v>
      </c>
      <c r="J1719" s="2" t="s">
        <v>1554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3225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1552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1553</v>
      </c>
      <c r="J1720" s="2" t="s">
        <v>1554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3225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1552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1553</v>
      </c>
      <c r="J1721" s="2" t="s">
        <v>1554</v>
      </c>
      <c r="L1721" s="2" t="s">
        <v>99</v>
      </c>
      <c r="M1721" s="2" t="s">
        <v>41</v>
      </c>
      <c r="P1721" s="2" t="s">
        <v>84</v>
      </c>
      <c r="Q1721" s="2" t="s">
        <v>1792</v>
      </c>
      <c r="R1721" s="2" t="s">
        <v>1793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3225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1552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1553</v>
      </c>
      <c r="J1722" s="2" t="s">
        <v>1554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3225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1552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1553</v>
      </c>
      <c r="J1723" s="2" t="s">
        <v>1554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3225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1794</v>
      </c>
      <c r="P1724" s="2" t="s">
        <v>3228</v>
      </c>
      <c r="Q1724" s="2" t="s">
        <v>1785</v>
      </c>
      <c r="R1724" s="2" t="s">
        <v>1786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3228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3225</v>
      </c>
      <c r="AA1725" s="2" t="s">
        <v>46</v>
      </c>
      <c r="AB1725" s="2" t="s">
        <v>60</v>
      </c>
      <c r="AC1725" s="2" t="s">
        <v>3329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1239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3218</v>
      </c>
      <c r="J1726" s="2" t="s">
        <v>3219</v>
      </c>
      <c r="L1726" s="2" t="s">
        <v>339</v>
      </c>
      <c r="M1726" s="2" t="s">
        <v>80</v>
      </c>
      <c r="O1726" s="2" t="s">
        <v>3221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3225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1239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3218</v>
      </c>
      <c r="J1727" s="2" t="s">
        <v>3219</v>
      </c>
      <c r="L1727" s="2" t="s">
        <v>339</v>
      </c>
      <c r="M1727" s="2" t="s">
        <v>80</v>
      </c>
      <c r="O1727" s="2" t="s">
        <v>3221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3225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1795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3225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1795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3225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1795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3225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3315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1796</v>
      </c>
      <c r="R1731" s="2" t="s">
        <v>1797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3225</v>
      </c>
      <c r="AA1731" s="2" t="s">
        <v>46</v>
      </c>
      <c r="AB1731" s="2" t="s">
        <v>60</v>
      </c>
      <c r="AC1731" s="2" t="s">
        <v>3402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1562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1562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3488</v>
      </c>
      <c r="D1734" s="2" t="s">
        <v>1387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3488</v>
      </c>
      <c r="D1735" s="2" t="s">
        <v>1387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3488</v>
      </c>
      <c r="D1736" s="2" t="s">
        <v>1387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1798</v>
      </c>
      <c r="R1736" s="2" t="s">
        <v>1799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3486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3488</v>
      </c>
      <c r="D1737" s="2" t="s">
        <v>1387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1800</v>
      </c>
      <c r="R1737" s="2" t="s">
        <v>1801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1802</v>
      </c>
      <c r="P1738" s="2" t="s">
        <v>114</v>
      </c>
      <c r="Q1738" s="2" t="s">
        <v>1803</v>
      </c>
      <c r="R1738" s="2" t="s">
        <v>1804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1805</v>
      </c>
      <c r="P1739" s="2" t="s">
        <v>282</v>
      </c>
      <c r="Q1739" s="2" t="s">
        <v>1806</v>
      </c>
      <c r="R1739" s="2" t="s">
        <v>1807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3225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1805</v>
      </c>
      <c r="P1740" s="2" t="s">
        <v>282</v>
      </c>
      <c r="Q1740" s="2" t="s">
        <v>1443</v>
      </c>
      <c r="R1740" s="2" t="s">
        <v>1444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3225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3315</v>
      </c>
      <c r="D1741" s="2" t="s">
        <v>3314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3225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3225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1808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3225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1808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3225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1255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2564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3225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1255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2564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3225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3407</v>
      </c>
      <c r="D1749" s="2" t="s">
        <v>850</v>
      </c>
      <c r="E1749" s="2" t="s">
        <v>183</v>
      </c>
      <c r="F1749" s="2" t="s">
        <v>3528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3225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3407</v>
      </c>
      <c r="D1750" s="2" t="s">
        <v>850</v>
      </c>
      <c r="E1750" s="2" t="s">
        <v>183</v>
      </c>
      <c r="F1750" s="2" t="s">
        <v>3528</v>
      </c>
      <c r="L1750" s="2" t="s">
        <v>293</v>
      </c>
      <c r="M1750" s="2" t="s">
        <v>40</v>
      </c>
      <c r="P1750" s="2" t="s">
        <v>187</v>
      </c>
      <c r="Q1750" s="2" t="s">
        <v>1307</v>
      </c>
      <c r="R1750" s="2" t="s">
        <v>1308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1309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3407</v>
      </c>
      <c r="D1751" s="2" t="s">
        <v>850</v>
      </c>
      <c r="E1751" s="2" t="s">
        <v>183</v>
      </c>
      <c r="F1751" s="2" t="s">
        <v>3528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3225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1809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3225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1810</v>
      </c>
      <c r="R1753" s="2" t="s">
        <v>1811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3225</v>
      </c>
      <c r="AA1753" s="2" t="s">
        <v>71</v>
      </c>
      <c r="AB1753" s="2" t="s">
        <v>1599</v>
      </c>
      <c r="AC1753" s="2" t="s">
        <v>1599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1812</v>
      </c>
      <c r="R1754" s="2" t="s">
        <v>1813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3225</v>
      </c>
      <c r="AA1754" s="2" t="s">
        <v>71</v>
      </c>
      <c r="AB1754" s="2" t="s">
        <v>1599</v>
      </c>
      <c r="AC1754" s="2" t="s">
        <v>1599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1814</v>
      </c>
      <c r="R1755" s="2" t="s">
        <v>1815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3225</v>
      </c>
      <c r="AA1755" s="2" t="s">
        <v>71</v>
      </c>
      <c r="AB1755" s="2" t="s">
        <v>1599</v>
      </c>
      <c r="AC1755" s="2" t="s">
        <v>1599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1816</v>
      </c>
      <c r="R1756" s="2" t="s">
        <v>1817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3225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1818</v>
      </c>
      <c r="R1757" s="2" t="s">
        <v>1819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3225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3225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3225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3225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1820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1820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3225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3468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3225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3225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1589</v>
      </c>
      <c r="E1766" s="2" t="s">
        <v>38</v>
      </c>
      <c r="F1766" s="2" t="s">
        <v>39</v>
      </c>
      <c r="L1766" s="2" t="s">
        <v>571</v>
      </c>
      <c r="M1766" s="2" t="s">
        <v>40</v>
      </c>
      <c r="P1766" s="2" t="s">
        <v>114</v>
      </c>
      <c r="Q1766" s="2" t="s">
        <v>1590</v>
      </c>
      <c r="R1766" s="2" t="s">
        <v>1591</v>
      </c>
      <c r="S1766" s="2">
        <v>1</v>
      </c>
      <c r="T1766" s="2">
        <v>46.59</v>
      </c>
      <c r="U1766" s="2">
        <v>10.7157</v>
      </c>
      <c r="V1766" s="2">
        <v>57.305700000000002</v>
      </c>
      <c r="W1766" s="2">
        <v>21.32</v>
      </c>
      <c r="X1766" s="5">
        <f t="shared" ref="X1766:X1787" si="269">(T1766-W1766)/T1766</f>
        <v>0.54239107104528872</v>
      </c>
      <c r="Z1766" s="2" t="s">
        <v>117</v>
      </c>
      <c r="AA1766" s="2" t="s">
        <v>118</v>
      </c>
      <c r="AB1766" s="2" t="s">
        <v>119</v>
      </c>
      <c r="AC1766" s="2" t="s">
        <v>114</v>
      </c>
      <c r="AF1766" s="2">
        <f t="shared" si="261"/>
        <v>0</v>
      </c>
      <c r="AJ1766" s="2">
        <f t="shared" si="262"/>
        <v>0</v>
      </c>
      <c r="AK1766" s="2">
        <f t="shared" si="268"/>
        <v>25.270000000000003</v>
      </c>
      <c r="AL1766" s="5">
        <f t="shared" si="267"/>
        <v>0.54239107104528872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1821</v>
      </c>
      <c r="R1767" s="2" t="s">
        <v>1822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3225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3225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3225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1553</v>
      </c>
      <c r="J1770" s="2" t="s">
        <v>1823</v>
      </c>
      <c r="L1770" s="2" t="s">
        <v>177</v>
      </c>
      <c r="P1770" s="2" t="s">
        <v>282</v>
      </c>
      <c r="Q1770" s="2" t="s">
        <v>1327</v>
      </c>
      <c r="R1770" s="2" t="s">
        <v>1328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1329</v>
      </c>
      <c r="AC1770" s="2" t="s">
        <v>1326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1553</v>
      </c>
      <c r="J1771" s="2" t="s">
        <v>1823</v>
      </c>
      <c r="L1771" s="2" t="s">
        <v>177</v>
      </c>
      <c r="M1771" s="2" t="s">
        <v>41</v>
      </c>
      <c r="O1771" s="2" t="s">
        <v>1824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3225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1553</v>
      </c>
      <c r="J1772" s="2" t="s">
        <v>1823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3225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1553</v>
      </c>
      <c r="J1773" s="2" t="s">
        <v>1823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3225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3225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3204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3225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3192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3225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3225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1825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1826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3230</v>
      </c>
      <c r="L1779" s="2" t="s">
        <v>461</v>
      </c>
      <c r="M1779" s="2" t="s">
        <v>41</v>
      </c>
      <c r="O1779" s="2" t="s">
        <v>3231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3171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1620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3225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3468</v>
      </c>
      <c r="D1781" s="2" t="s">
        <v>1620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3225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1827</v>
      </c>
      <c r="R1783" s="2" t="s">
        <v>1828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3225</v>
      </c>
      <c r="AA1783" s="2" t="s">
        <v>71</v>
      </c>
      <c r="AB1783" s="2" t="s">
        <v>1599</v>
      </c>
      <c r="AC1783" s="2" t="s">
        <v>1599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1829</v>
      </c>
      <c r="R1784" s="2" t="s">
        <v>1830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3225</v>
      </c>
      <c r="AA1784" s="2" t="s">
        <v>71</v>
      </c>
      <c r="AB1784" s="2" t="s">
        <v>1599</v>
      </c>
      <c r="AC1784" s="2" t="s">
        <v>1599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3225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3225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3225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1831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3225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1831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3225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1831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3225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1831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3225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1831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3225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3315</v>
      </c>
      <c r="D1793" s="2" t="s">
        <v>1634</v>
      </c>
      <c r="E1793" s="2" t="s">
        <v>2445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1635</v>
      </c>
      <c r="R1793" s="2" t="s">
        <v>1636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3225</v>
      </c>
      <c r="AA1793" s="2" t="s">
        <v>71</v>
      </c>
      <c r="AB1793" s="2" t="s">
        <v>1599</v>
      </c>
      <c r="AC1793" s="2" t="s">
        <v>1599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3151</v>
      </c>
      <c r="M1794" s="2" t="s">
        <v>41</v>
      </c>
      <c r="O1794" s="2" t="s">
        <v>3150</v>
      </c>
      <c r="P1794" s="2" t="s">
        <v>1038</v>
      </c>
      <c r="Q1794" s="2" t="s">
        <v>1832</v>
      </c>
      <c r="R1794" s="2" t="s">
        <v>1833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3225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3225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1294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1295</v>
      </c>
      <c r="L1796" s="2" t="s">
        <v>339</v>
      </c>
      <c r="M1796" s="2" t="s">
        <v>80</v>
      </c>
      <c r="P1796" s="2" t="s">
        <v>40</v>
      </c>
      <c r="Q1796" s="2" t="s">
        <v>1834</v>
      </c>
      <c r="R1796" s="2" t="s">
        <v>1835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3225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1294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1295</v>
      </c>
      <c r="L1797" s="2" t="s">
        <v>339</v>
      </c>
      <c r="M1797" s="2" t="s">
        <v>290</v>
      </c>
      <c r="O1797" s="2" t="s">
        <v>3203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3225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1294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1295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3225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1836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3225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3225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3225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3225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1837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1837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1838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3225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1650</v>
      </c>
      <c r="E1806" s="2" t="s">
        <v>38</v>
      </c>
      <c r="F1806" s="2" t="s">
        <v>39</v>
      </c>
      <c r="H1806" s="2" t="s">
        <v>41</v>
      </c>
      <c r="I1806" s="2" t="s">
        <v>1651</v>
      </c>
      <c r="J1806" s="2" t="s">
        <v>1652</v>
      </c>
      <c r="L1806" s="2" t="s">
        <v>112</v>
      </c>
      <c r="M1806" s="2" t="s">
        <v>40</v>
      </c>
      <c r="O1806" s="2" t="s">
        <v>1839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1650</v>
      </c>
      <c r="E1807" s="2" t="s">
        <v>38</v>
      </c>
      <c r="F1807" s="2" t="s">
        <v>39</v>
      </c>
      <c r="H1807" s="2" t="s">
        <v>41</v>
      </c>
      <c r="I1807" s="2" t="s">
        <v>1651</v>
      </c>
      <c r="J1807" s="2" t="s">
        <v>1652</v>
      </c>
      <c r="L1807" s="2" t="s">
        <v>112</v>
      </c>
      <c r="M1807" s="2" t="s">
        <v>40</v>
      </c>
      <c r="O1807" s="2" t="s">
        <v>1839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1650</v>
      </c>
      <c r="E1808" s="2" t="s">
        <v>38</v>
      </c>
      <c r="F1808" s="2" t="s">
        <v>39</v>
      </c>
      <c r="H1808" s="2" t="s">
        <v>41</v>
      </c>
      <c r="I1808" s="2" t="s">
        <v>1651</v>
      </c>
      <c r="J1808" s="2" t="s">
        <v>1652</v>
      </c>
      <c r="L1808" s="2" t="s">
        <v>112</v>
      </c>
      <c r="M1808" s="2" t="s">
        <v>40</v>
      </c>
      <c r="O1808" s="2" t="s">
        <v>1839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1658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1658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1840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3225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1841</v>
      </c>
      <c r="P1812" s="2" t="s">
        <v>282</v>
      </c>
      <c r="Q1812" s="2" t="s">
        <v>1842</v>
      </c>
      <c r="R1812" s="2" t="s">
        <v>1843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3225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1311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1312</v>
      </c>
      <c r="L1813" s="2" t="s">
        <v>177</v>
      </c>
      <c r="M1813" s="2" t="s">
        <v>41</v>
      </c>
      <c r="O1813" s="2" t="s">
        <v>1844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3225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1311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1312</v>
      </c>
      <c r="L1814" s="2" t="s">
        <v>177</v>
      </c>
      <c r="M1814" s="2" t="s">
        <v>41</v>
      </c>
      <c r="O1814" s="2" t="s">
        <v>1844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3225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1311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1312</v>
      </c>
      <c r="L1815" s="2" t="s">
        <v>177</v>
      </c>
      <c r="M1815" s="2" t="s">
        <v>41</v>
      </c>
      <c r="O1815" s="2" t="s">
        <v>1844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3225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3408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3225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1845</v>
      </c>
      <c r="R1817" s="2" t="s">
        <v>1846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3225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1587</v>
      </c>
      <c r="R1818" s="2" t="s">
        <v>1588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3225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1847</v>
      </c>
      <c r="R1819" s="2" t="s">
        <v>1848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3225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1849</v>
      </c>
      <c r="R1820" s="2" t="s">
        <v>1850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3225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1443</v>
      </c>
      <c r="R1821" s="2" t="s">
        <v>1444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3225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3225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1851</v>
      </c>
      <c r="L1823" s="2" t="s">
        <v>99</v>
      </c>
      <c r="M1823" s="2" t="s">
        <v>80</v>
      </c>
      <c r="O1823" s="2" t="s">
        <v>1852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3225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3225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3225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3225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3225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1853</v>
      </c>
      <c r="R1828" s="2" t="s">
        <v>1854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3225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1855</v>
      </c>
      <c r="R1829" s="2" t="s">
        <v>1856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3225</v>
      </c>
      <c r="AA1829" s="2" t="s">
        <v>1041</v>
      </c>
      <c r="AB1829" s="2" t="s">
        <v>1317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3225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1857</v>
      </c>
      <c r="E1831" s="2" t="s">
        <v>108</v>
      </c>
      <c r="G1831" s="2">
        <v>515549134</v>
      </c>
      <c r="H1831" s="2" t="s">
        <v>41</v>
      </c>
      <c r="I1831" s="2" t="s">
        <v>1858</v>
      </c>
      <c r="J1831" s="2" t="s">
        <v>1859</v>
      </c>
      <c r="L1831" s="2" t="s">
        <v>177</v>
      </c>
      <c r="M1831" s="2" t="s">
        <v>41</v>
      </c>
      <c r="O1831" s="2" t="s">
        <v>1860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3225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1857</v>
      </c>
      <c r="E1832" s="2" t="s">
        <v>108</v>
      </c>
      <c r="G1832" s="2">
        <v>515549134</v>
      </c>
      <c r="H1832" s="2" t="s">
        <v>41</v>
      </c>
      <c r="I1832" s="2" t="s">
        <v>1858</v>
      </c>
      <c r="J1832" s="2" t="s">
        <v>1859</v>
      </c>
      <c r="L1832" s="2" t="s">
        <v>177</v>
      </c>
      <c r="M1832" s="2" t="s">
        <v>41</v>
      </c>
      <c r="O1832" s="2" t="s">
        <v>1860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3225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1857</v>
      </c>
      <c r="E1833" s="2" t="s">
        <v>108</v>
      </c>
      <c r="G1833" s="2">
        <v>515549134</v>
      </c>
      <c r="H1833" s="2" t="s">
        <v>41</v>
      </c>
      <c r="I1833" s="2" t="s">
        <v>1858</v>
      </c>
      <c r="J1833" s="2" t="s">
        <v>1859</v>
      </c>
      <c r="L1833" s="2" t="s">
        <v>177</v>
      </c>
      <c r="M1833" s="2" t="s">
        <v>41</v>
      </c>
      <c r="O1833" s="2" t="s">
        <v>1860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3225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1857</v>
      </c>
      <c r="E1834" s="2" t="s">
        <v>108</v>
      </c>
      <c r="G1834" s="2">
        <v>515549134</v>
      </c>
      <c r="H1834" s="2" t="s">
        <v>41</v>
      </c>
      <c r="I1834" s="2" t="s">
        <v>1858</v>
      </c>
      <c r="J1834" s="2" t="s">
        <v>1859</v>
      </c>
      <c r="L1834" s="2" t="s">
        <v>177</v>
      </c>
      <c r="M1834" s="2" t="s">
        <v>41</v>
      </c>
      <c r="O1834" s="2" t="s">
        <v>1860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3225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1857</v>
      </c>
      <c r="E1835" s="2" t="s">
        <v>108</v>
      </c>
      <c r="G1835" s="2">
        <v>515549134</v>
      </c>
      <c r="H1835" s="2" t="s">
        <v>41</v>
      </c>
      <c r="I1835" s="2" t="s">
        <v>1858</v>
      </c>
      <c r="J1835" s="2" t="s">
        <v>1859</v>
      </c>
      <c r="L1835" s="2" t="s">
        <v>177</v>
      </c>
      <c r="M1835" s="2" t="s">
        <v>41</v>
      </c>
      <c r="O1835" s="2" t="s">
        <v>1860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3225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3410</v>
      </c>
      <c r="D1836" s="2" t="s">
        <v>1449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1861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3225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1861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3225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3408</v>
      </c>
      <c r="D1839" s="2" t="s">
        <v>1457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1546</v>
      </c>
      <c r="R1839" s="2" t="s">
        <v>1547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3408</v>
      </c>
      <c r="D1840" s="2" t="s">
        <v>1457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3225</v>
      </c>
      <c r="AA1840" s="2" t="s">
        <v>46</v>
      </c>
      <c r="AB1840" s="2" t="s">
        <v>60</v>
      </c>
      <c r="AC1840" s="2" t="s">
        <v>3329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3408</v>
      </c>
      <c r="D1841" s="2" t="s">
        <v>1457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3225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3408</v>
      </c>
      <c r="D1842" s="2" t="s">
        <v>1457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3225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3225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3225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3225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3225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1862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1862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1862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1863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3225</v>
      </c>
      <c r="AA1850" s="2" t="s">
        <v>71</v>
      </c>
      <c r="AB1850" s="2" t="s">
        <v>68</v>
      </c>
      <c r="AC1850" s="2" t="s">
        <v>3229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1863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1864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1865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1865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1864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3410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3225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3410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3225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3410</v>
      </c>
      <c r="D1858" s="2" t="s">
        <v>311</v>
      </c>
      <c r="E1858" s="2" t="s">
        <v>2445</v>
      </c>
      <c r="F1858" s="2" t="s">
        <v>39</v>
      </c>
      <c r="G1858" s="2">
        <v>505814030</v>
      </c>
      <c r="H1858" s="2" t="s">
        <v>290</v>
      </c>
      <c r="I1858" s="2" t="s">
        <v>2446</v>
      </c>
      <c r="J1858" s="2" t="s">
        <v>2447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3225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3410</v>
      </c>
      <c r="D1859" s="2" t="s">
        <v>311</v>
      </c>
      <c r="E1859" s="2" t="s">
        <v>2445</v>
      </c>
      <c r="F1859" s="2" t="s">
        <v>39</v>
      </c>
      <c r="G1859" s="2">
        <v>505814030</v>
      </c>
      <c r="H1859" s="2" t="s">
        <v>290</v>
      </c>
      <c r="I1859" s="2" t="s">
        <v>2446</v>
      </c>
      <c r="J1859" s="2" t="s">
        <v>2447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3225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1485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3377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3485</v>
      </c>
      <c r="D1862" s="2" t="s">
        <v>3483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1577</v>
      </c>
      <c r="R1862" s="2" t="s">
        <v>1578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3485</v>
      </c>
      <c r="D1863" s="2" t="s">
        <v>3483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1307</v>
      </c>
      <c r="R1863" s="2" t="s">
        <v>1308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1866</v>
      </c>
      <c r="P1864" s="2" t="s">
        <v>114</v>
      </c>
      <c r="Q1864" s="2" t="s">
        <v>1867</v>
      </c>
      <c r="R1864" s="2" t="s">
        <v>1868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1866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1866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1866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1869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3225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1869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3225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1870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3225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1871</v>
      </c>
      <c r="P1871" s="2" t="s">
        <v>72</v>
      </c>
      <c r="Q1871" s="2" t="s">
        <v>1448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3225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1872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3225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1870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3225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1873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1873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3225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3225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3225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3225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3401</v>
      </c>
      <c r="D1880" s="2" t="s">
        <v>1349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1874</v>
      </c>
      <c r="R1880" s="2" t="s">
        <v>1875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3401</v>
      </c>
      <c r="D1881" s="2" t="s">
        <v>1349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3485</v>
      </c>
      <c r="D1882" s="2" t="s">
        <v>1349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3401</v>
      </c>
      <c r="D1883" s="2" t="s">
        <v>1349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3401</v>
      </c>
      <c r="D1884" s="2" t="s">
        <v>1349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3401</v>
      </c>
      <c r="D1885" s="2" t="s">
        <v>1349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1876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1501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1502</v>
      </c>
      <c r="J1887" s="2" t="s">
        <v>1503</v>
      </c>
      <c r="K1887" s="2">
        <v>961386655</v>
      </c>
      <c r="L1887" s="2" t="s">
        <v>133</v>
      </c>
      <c r="M1887" s="2" t="s">
        <v>40</v>
      </c>
      <c r="O1887" s="2" t="s">
        <v>1877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3225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1878</v>
      </c>
      <c r="R1888" s="2" t="s">
        <v>1879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3225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1880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3225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1880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3225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1880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3225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1880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3225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1880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3225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1880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3225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3401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3225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1773</v>
      </c>
      <c r="P1896" s="2" t="s">
        <v>3228</v>
      </c>
      <c r="Q1896" s="2" t="s">
        <v>1881</v>
      </c>
      <c r="R1896" s="2" t="s">
        <v>1882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3228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3225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3225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1883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1883</v>
      </c>
      <c r="P1900" s="2" t="s">
        <v>114</v>
      </c>
      <c r="Q1900" s="2" t="s">
        <v>1884</v>
      </c>
      <c r="R1900" s="2" t="s">
        <v>1885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3401</v>
      </c>
      <c r="D1901" s="2" t="s">
        <v>1886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1887</v>
      </c>
      <c r="R1901" s="2" t="s">
        <v>1888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3401</v>
      </c>
      <c r="D1902" s="2" t="s">
        <v>1886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3401</v>
      </c>
      <c r="D1903" s="2" t="s">
        <v>1886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1344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3225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3225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3225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3225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3410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3225</v>
      </c>
      <c r="AA1908" s="2" t="s">
        <v>71</v>
      </c>
      <c r="AB1908" s="2" t="s">
        <v>68</v>
      </c>
      <c r="AC1908" s="2" t="s">
        <v>3229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1573</v>
      </c>
      <c r="AB1909" s="2" t="s">
        <v>388</v>
      </c>
      <c r="AC1909" s="2" t="s">
        <v>1326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2475</v>
      </c>
      <c r="J1911" s="2" t="s">
        <v>3121</v>
      </c>
      <c r="K1911" s="2">
        <v>965864665</v>
      </c>
      <c r="L1911" s="2" t="s">
        <v>344</v>
      </c>
      <c r="M1911" s="2" t="s">
        <v>80</v>
      </c>
      <c r="O1911" s="2" t="s">
        <v>3124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3225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2475</v>
      </c>
      <c r="J1912" s="2" t="s">
        <v>3121</v>
      </c>
      <c r="K1912" s="2">
        <v>965864665</v>
      </c>
      <c r="L1912" s="2" t="s">
        <v>344</v>
      </c>
      <c r="M1912" s="2" t="s">
        <v>80</v>
      </c>
      <c r="O1912" s="2" t="s">
        <v>3124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3225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3225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3225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3225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3225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3225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3225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1372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1372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1889</v>
      </c>
      <c r="P1921" s="2" t="s">
        <v>72</v>
      </c>
      <c r="Q1921" s="2" t="s">
        <v>1890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3225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1889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3225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1891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3225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1892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3225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1892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1893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3225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1552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1553</v>
      </c>
      <c r="J1927" s="2" t="s">
        <v>1554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3225</v>
      </c>
      <c r="AA1927" s="2" t="s">
        <v>46</v>
      </c>
      <c r="AB1927" s="2" t="s">
        <v>60</v>
      </c>
      <c r="AC1927" s="2" t="s">
        <v>3329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1552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1553</v>
      </c>
      <c r="J1928" s="2" t="s">
        <v>1554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3225</v>
      </c>
      <c r="AA1928" s="2" t="s">
        <v>46</v>
      </c>
      <c r="AB1928" s="2" t="s">
        <v>60</v>
      </c>
      <c r="AC1928" s="2" t="s">
        <v>3329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1894</v>
      </c>
      <c r="P1929" s="2" t="s">
        <v>3228</v>
      </c>
      <c r="Q1929" s="2" t="s">
        <v>1895</v>
      </c>
      <c r="R1929" s="2" t="s">
        <v>1896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1897</v>
      </c>
      <c r="AC1929" s="2" t="s">
        <v>3228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1894</v>
      </c>
      <c r="P1930" s="2" t="s">
        <v>68</v>
      </c>
      <c r="Q1930" s="2" t="s">
        <v>1898</v>
      </c>
      <c r="R1930" s="2" t="s">
        <v>1899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3229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3485</v>
      </c>
      <c r="D1931" s="2" t="s">
        <v>1900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1901</v>
      </c>
      <c r="R1931" s="2" t="s">
        <v>1902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3485</v>
      </c>
      <c r="D1932" s="2" t="s">
        <v>1900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3485</v>
      </c>
      <c r="D1933" s="2" t="s">
        <v>1900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3401</v>
      </c>
      <c r="D1934" s="2" t="s">
        <v>3459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3401</v>
      </c>
      <c r="D1935" s="2" t="s">
        <v>3459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1903</v>
      </c>
      <c r="R1935" s="2" t="s">
        <v>1904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3401</v>
      </c>
      <c r="D1936" s="2" t="s">
        <v>3459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3225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3225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1905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3225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1905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3225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1905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3225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3225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3401</v>
      </c>
      <c r="D1944" s="2" t="s">
        <v>1906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3401</v>
      </c>
      <c r="D1945" s="2" t="s">
        <v>1906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3401</v>
      </c>
      <c r="D1946" s="2" t="s">
        <v>1906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1907</v>
      </c>
      <c r="R1946" s="2" t="s">
        <v>1908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3225</v>
      </c>
      <c r="AA1946" s="2" t="s">
        <v>71</v>
      </c>
      <c r="AB1946" s="2" t="s">
        <v>68</v>
      </c>
      <c r="AC1946" s="2" t="s">
        <v>3229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3401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1909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3225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3485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1910</v>
      </c>
      <c r="P1949" s="2" t="s">
        <v>72</v>
      </c>
      <c r="Q1949" s="2" t="s">
        <v>1448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3225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3485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1910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3485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1911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3225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3225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3132</v>
      </c>
      <c r="L1953" s="2" t="s">
        <v>177</v>
      </c>
      <c r="M1953" s="2" t="s">
        <v>41</v>
      </c>
      <c r="O1953" s="2" t="s">
        <v>3138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3225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3132</v>
      </c>
      <c r="L1954" s="2" t="s">
        <v>177</v>
      </c>
      <c r="M1954" s="2" t="s">
        <v>41</v>
      </c>
      <c r="O1954" s="2" t="s">
        <v>3138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3225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1912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3410</v>
      </c>
      <c r="D1956" s="2" t="s">
        <v>1913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1914</v>
      </c>
      <c r="R1956" s="2" t="s">
        <v>1915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1592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1593</v>
      </c>
      <c r="J1957" s="2" t="s">
        <v>1594</v>
      </c>
      <c r="L1957" s="2" t="s">
        <v>201</v>
      </c>
      <c r="M1957" s="2" t="s">
        <v>41</v>
      </c>
      <c r="O1957" s="2" t="s">
        <v>1916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3225</v>
      </c>
      <c r="AA1957" s="2" t="s">
        <v>46</v>
      </c>
      <c r="AB1957" s="2" t="s">
        <v>60</v>
      </c>
      <c r="AC1957" s="2" t="s">
        <v>3329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1592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1593</v>
      </c>
      <c r="J1958" s="2" t="s">
        <v>1594</v>
      </c>
      <c r="L1958" s="2" t="s">
        <v>201</v>
      </c>
      <c r="M1958" s="2" t="s">
        <v>41</v>
      </c>
      <c r="O1958" s="2" t="s">
        <v>1916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3225</v>
      </c>
      <c r="AA1958" s="2" t="s">
        <v>46</v>
      </c>
      <c r="AB1958" s="2" t="s">
        <v>60</v>
      </c>
      <c r="AC1958" s="2" t="s">
        <v>3329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3225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3225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3225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1417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2410</v>
      </c>
      <c r="J1963" s="2" t="s">
        <v>2411</v>
      </c>
      <c r="L1963" s="2" t="s">
        <v>201</v>
      </c>
      <c r="M1963" s="2" t="s">
        <v>80</v>
      </c>
      <c r="P1963" s="2" t="s">
        <v>1038</v>
      </c>
      <c r="Q1963" s="2" t="s">
        <v>1917</v>
      </c>
      <c r="R1963" s="2" t="s">
        <v>1918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3225</v>
      </c>
      <c r="AA1963" s="2" t="s">
        <v>1041</v>
      </c>
      <c r="AB1963" s="2" t="s">
        <v>1317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1417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2410</v>
      </c>
      <c r="J1964" s="2" t="s">
        <v>2411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1903</v>
      </c>
      <c r="R1965" s="2" t="s">
        <v>1904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1919</v>
      </c>
      <c r="R1966" s="2" t="s">
        <v>1920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3222</v>
      </c>
      <c r="P1967" s="2" t="s">
        <v>282</v>
      </c>
      <c r="Q1967" s="2" t="s">
        <v>1390</v>
      </c>
      <c r="R1967" s="2" t="s">
        <v>1391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3225</v>
      </c>
      <c r="AA1967" s="2" t="s">
        <v>71</v>
      </c>
      <c r="AB1967" s="2" t="s">
        <v>1599</v>
      </c>
      <c r="AC1967" s="2" t="s">
        <v>1599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3223</v>
      </c>
      <c r="P1968" s="2" t="s">
        <v>282</v>
      </c>
      <c r="Q1968" s="2" t="s">
        <v>1443</v>
      </c>
      <c r="R1968" s="2" t="s">
        <v>1444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3225</v>
      </c>
      <c r="AA1968" s="2" t="s">
        <v>71</v>
      </c>
      <c r="AB1968" s="2" t="s">
        <v>1599</v>
      </c>
      <c r="AC1968" s="2" t="s">
        <v>1599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1921</v>
      </c>
      <c r="R1969" s="2" t="s">
        <v>1922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3225</v>
      </c>
      <c r="AA1969" s="2" t="s">
        <v>1041</v>
      </c>
      <c r="AB1969" s="2" t="s">
        <v>1269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1923</v>
      </c>
      <c r="R1970" s="2" t="s">
        <v>1924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3225</v>
      </c>
      <c r="AA1970" s="2" t="s">
        <v>1041</v>
      </c>
      <c r="AB1970" s="2" t="s">
        <v>1269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1925</v>
      </c>
      <c r="R1971" s="2" t="s">
        <v>1926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3225</v>
      </c>
      <c r="AA1971" s="2" t="s">
        <v>1041</v>
      </c>
      <c r="AB1971" s="2" t="s">
        <v>1317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1927</v>
      </c>
      <c r="R1972" s="2" t="s">
        <v>1928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3225</v>
      </c>
      <c r="AA1972" s="2" t="s">
        <v>1041</v>
      </c>
      <c r="AB1972" s="2" t="s">
        <v>1317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1929</v>
      </c>
      <c r="R1973" s="2" t="s">
        <v>1930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3225</v>
      </c>
      <c r="AA1973" s="2" t="s">
        <v>1041</v>
      </c>
      <c r="AB1973" s="2" t="s">
        <v>1317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1931</v>
      </c>
      <c r="R1974" s="2" t="s">
        <v>1932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3225</v>
      </c>
      <c r="AA1974" s="2" t="s">
        <v>1041</v>
      </c>
      <c r="AB1974" s="2" t="s">
        <v>1317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1933</v>
      </c>
      <c r="P1976" s="2" t="s">
        <v>114</v>
      </c>
      <c r="Q1976" s="2" t="s">
        <v>1382</v>
      </c>
      <c r="R1976" s="2" t="s">
        <v>1383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1934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3165</v>
      </c>
      <c r="L1977" s="2" t="s">
        <v>480</v>
      </c>
      <c r="O1977" s="2" t="s">
        <v>3166</v>
      </c>
      <c r="P1977" s="2" t="s">
        <v>1038</v>
      </c>
      <c r="Q1977" s="2" t="s">
        <v>1935</v>
      </c>
      <c r="R1977" s="2" t="s">
        <v>1936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3225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1934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3165</v>
      </c>
      <c r="L1978" s="2" t="s">
        <v>480</v>
      </c>
      <c r="O1978" s="2" t="s">
        <v>3166</v>
      </c>
      <c r="P1978" s="2" t="s">
        <v>1038</v>
      </c>
      <c r="Q1978" s="2" t="s">
        <v>1937</v>
      </c>
      <c r="R1978" s="2" t="s">
        <v>1938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3225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1274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1275</v>
      </c>
      <c r="J1979" s="2" t="s">
        <v>1276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3410</v>
      </c>
      <c r="D1980" s="2" t="s">
        <v>1736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1939</v>
      </c>
      <c r="R1980" s="2" t="s">
        <v>1940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3225</v>
      </c>
      <c r="AA1980" s="2" t="s">
        <v>155</v>
      </c>
      <c r="AB1980" s="2" t="s">
        <v>1940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1736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1941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3225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1941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3225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3408</v>
      </c>
      <c r="D1984" s="2" t="s">
        <v>1942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3225</v>
      </c>
      <c r="AA1984" s="2" t="s">
        <v>71</v>
      </c>
      <c r="AB1984" s="2" t="s">
        <v>68</v>
      </c>
      <c r="AC1984" s="2" t="s">
        <v>3229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3225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3225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3225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3225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3225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3225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3225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3225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3225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1943</v>
      </c>
      <c r="P1994" s="2" t="s">
        <v>3228</v>
      </c>
      <c r="Q1994" s="2" t="s">
        <v>1944</v>
      </c>
      <c r="R1994" s="2" t="s">
        <v>1945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3228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3225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1946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3225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1946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3225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1946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3225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1946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3225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1947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3298</v>
      </c>
      <c r="O2001" s="2" t="s">
        <v>1948</v>
      </c>
      <c r="P2001" s="2" t="s">
        <v>282</v>
      </c>
      <c r="Q2001" s="2" t="s">
        <v>1949</v>
      </c>
      <c r="R2001" s="2" t="s">
        <v>1950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3225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3298</v>
      </c>
      <c r="O2002" s="2" t="s">
        <v>1951</v>
      </c>
      <c r="P2002" s="2" t="s">
        <v>282</v>
      </c>
      <c r="Q2002" s="2" t="s">
        <v>1639</v>
      </c>
      <c r="R2002" s="2" t="s">
        <v>1640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3225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1294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1295</v>
      </c>
      <c r="L2003" s="2" t="s">
        <v>339</v>
      </c>
      <c r="M2003" s="2" t="s">
        <v>80</v>
      </c>
      <c r="O2003" s="2" t="s">
        <v>3200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3225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1294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1295</v>
      </c>
      <c r="L2004" s="2" t="s">
        <v>339</v>
      </c>
      <c r="M2004" s="2" t="s">
        <v>80</v>
      </c>
      <c r="P2004" s="2" t="s">
        <v>1038</v>
      </c>
      <c r="Q2004" s="2" t="s">
        <v>1952</v>
      </c>
      <c r="R2004" s="2" t="s">
        <v>1953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3225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1294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1295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1294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1295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3225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3225</v>
      </c>
      <c r="AA2007" s="2" t="s">
        <v>46</v>
      </c>
      <c r="AB2007" s="2" t="s">
        <v>60</v>
      </c>
      <c r="AC2007" s="2" t="s">
        <v>3329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3225</v>
      </c>
      <c r="AA2008" s="2" t="s">
        <v>46</v>
      </c>
      <c r="AB2008" s="2" t="s">
        <v>60</v>
      </c>
      <c r="AC2008" s="2" t="s">
        <v>3329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1299</v>
      </c>
      <c r="R2009" s="2" t="s">
        <v>1300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1954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3225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1954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3225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1298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1955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1955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1955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3408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1956</v>
      </c>
      <c r="P2020" s="2" t="s">
        <v>114</v>
      </c>
      <c r="Q2020" s="2" t="s">
        <v>1382</v>
      </c>
      <c r="R2020" s="2" t="s">
        <v>1383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3225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3225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1957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1958</v>
      </c>
      <c r="J2024" s="2" t="s">
        <v>1959</v>
      </c>
      <c r="L2024" s="2" t="s">
        <v>293</v>
      </c>
      <c r="M2024" s="2" t="s">
        <v>40</v>
      </c>
      <c r="O2024" s="2" t="s">
        <v>1960</v>
      </c>
      <c r="P2024" s="2" t="s">
        <v>114</v>
      </c>
      <c r="Q2024" s="2" t="s">
        <v>1961</v>
      </c>
      <c r="R2024" s="2" t="s">
        <v>1962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1957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1958</v>
      </c>
      <c r="J2025" s="2" t="s">
        <v>1959</v>
      </c>
      <c r="L2025" s="2" t="s">
        <v>293</v>
      </c>
      <c r="M2025" s="2" t="s">
        <v>40</v>
      </c>
      <c r="P2025" s="2" t="s">
        <v>114</v>
      </c>
      <c r="Q2025" s="2" t="s">
        <v>1963</v>
      </c>
      <c r="R2025" s="2" t="s">
        <v>1964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1957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1958</v>
      </c>
      <c r="J2026" s="2" t="s">
        <v>1959</v>
      </c>
      <c r="L2026" s="2" t="s">
        <v>293</v>
      </c>
      <c r="M2026" s="2" t="s">
        <v>40</v>
      </c>
      <c r="P2026" s="2" t="s">
        <v>114</v>
      </c>
      <c r="Q2026" s="2" t="s">
        <v>1965</v>
      </c>
      <c r="R2026" s="2" t="s">
        <v>1966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1967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3225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1967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3225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3228</v>
      </c>
      <c r="Q2029" s="2" t="s">
        <v>1785</v>
      </c>
      <c r="R2029" s="2" t="s">
        <v>1786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3228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1307</v>
      </c>
      <c r="R2030" s="2" t="s">
        <v>1308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1309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1435</v>
      </c>
      <c r="R2031" s="2" t="s">
        <v>1436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3225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3225</v>
      </c>
      <c r="AA2032" s="2" t="s">
        <v>46</v>
      </c>
      <c r="AB2032" s="2" t="s">
        <v>60</v>
      </c>
      <c r="AC2032" s="2" t="s">
        <v>3329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3225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3225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3225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3225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3225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3202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3225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1968</v>
      </c>
      <c r="R2039" s="2" t="s">
        <v>1969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3225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1970</v>
      </c>
      <c r="R2040" s="2" t="s">
        <v>1971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3225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1307</v>
      </c>
      <c r="R2041" s="2" t="s">
        <v>1308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1309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3225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3377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3450</v>
      </c>
      <c r="D2047" s="2" t="s">
        <v>1671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3225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3450</v>
      </c>
      <c r="D2048" s="2" t="s">
        <v>1671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3225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3450</v>
      </c>
      <c r="D2049" s="2" t="s">
        <v>1671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3225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3439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3391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1972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3225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3450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1973</v>
      </c>
      <c r="R2056" s="2" t="s">
        <v>1974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3225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3439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3439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3450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3450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3225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3439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3377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3439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3225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3439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3225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3439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3225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3377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1475</v>
      </c>
      <c r="E2068" s="2" t="s">
        <v>752</v>
      </c>
      <c r="F2068" s="2" t="s">
        <v>1476</v>
      </c>
      <c r="G2068" s="2">
        <v>506123758</v>
      </c>
      <c r="H2068" s="2" t="s">
        <v>109</v>
      </c>
      <c r="I2068" s="2" t="s">
        <v>1477</v>
      </c>
      <c r="J2068" s="2" t="s">
        <v>1478</v>
      </c>
      <c r="K2068" s="2">
        <v>936406952</v>
      </c>
      <c r="L2068" s="2" t="s">
        <v>461</v>
      </c>
      <c r="M2068" s="2" t="s">
        <v>40</v>
      </c>
      <c r="O2068" s="2" t="s">
        <v>1975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1475</v>
      </c>
      <c r="E2069" s="2" t="s">
        <v>752</v>
      </c>
      <c r="F2069" s="2" t="s">
        <v>1476</v>
      </c>
      <c r="G2069" s="2">
        <v>506123758</v>
      </c>
      <c r="H2069" s="2" t="s">
        <v>109</v>
      </c>
      <c r="I2069" s="2" t="s">
        <v>1477</v>
      </c>
      <c r="J2069" s="2" t="s">
        <v>1478</v>
      </c>
      <c r="K2069" s="2">
        <v>936406952</v>
      </c>
      <c r="L2069" s="2" t="s">
        <v>461</v>
      </c>
      <c r="M2069" s="2" t="s">
        <v>40</v>
      </c>
      <c r="O2069" s="2" t="s">
        <v>1975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1976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3225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1976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3225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3225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3225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3225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1177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1178</v>
      </c>
      <c r="J2075" s="2" t="s">
        <v>1179</v>
      </c>
      <c r="L2075" s="2" t="s">
        <v>461</v>
      </c>
      <c r="M2075" s="2" t="s">
        <v>41</v>
      </c>
      <c r="O2075" s="2" t="s">
        <v>1977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3225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1177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1178</v>
      </c>
      <c r="J2076" s="2" t="s">
        <v>1179</v>
      </c>
      <c r="L2076" s="2" t="s">
        <v>461</v>
      </c>
      <c r="M2076" s="2" t="s">
        <v>41</v>
      </c>
      <c r="O2076" s="2" t="s">
        <v>1977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3225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1177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1178</v>
      </c>
      <c r="J2077" s="2" t="s">
        <v>1179</v>
      </c>
      <c r="L2077" s="2" t="s">
        <v>461</v>
      </c>
      <c r="M2077" s="2" t="s">
        <v>41</v>
      </c>
      <c r="O2077" s="2" t="s">
        <v>1977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3225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1488</v>
      </c>
      <c r="P2078" s="2" t="s">
        <v>114</v>
      </c>
      <c r="Q2078" s="2" t="s">
        <v>1978</v>
      </c>
      <c r="R2078" s="2" t="s">
        <v>1979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3410</v>
      </c>
      <c r="D2079" s="2" t="s">
        <v>3483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1884</v>
      </c>
      <c r="R2079" s="2" t="s">
        <v>1885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3391</v>
      </c>
      <c r="D2080" s="2" t="s">
        <v>3483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1577</v>
      </c>
      <c r="R2080" s="2" t="s">
        <v>1578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1980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1981</v>
      </c>
      <c r="K2081" s="2">
        <v>924064533</v>
      </c>
      <c r="L2081" s="2" t="s">
        <v>112</v>
      </c>
      <c r="M2081" s="2" t="s">
        <v>80</v>
      </c>
      <c r="O2081" s="2" t="s">
        <v>1982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3225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1980</v>
      </c>
      <c r="M2082" s="2" t="s">
        <v>80</v>
      </c>
      <c r="P2082" s="2" t="s">
        <v>1038</v>
      </c>
      <c r="Q2082" s="2" t="s">
        <v>1983</v>
      </c>
      <c r="R2082" s="2" t="s">
        <v>1984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3225</v>
      </c>
      <c r="AA2082" s="2" t="s">
        <v>3380</v>
      </c>
      <c r="AB2082" s="2" t="s">
        <v>1985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1986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3225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1986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3225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1987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3225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1987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3225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1988</v>
      </c>
      <c r="P2087" s="2" t="s">
        <v>72</v>
      </c>
      <c r="Q2087" s="2" t="s">
        <v>1989</v>
      </c>
      <c r="R2087" s="2" t="s">
        <v>1415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3225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1988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3225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1188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1189</v>
      </c>
      <c r="K2089" s="2">
        <v>965705708</v>
      </c>
      <c r="L2089" s="2" t="s">
        <v>418</v>
      </c>
      <c r="M2089" s="2" t="s">
        <v>40</v>
      </c>
      <c r="O2089" s="2" t="s">
        <v>1990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3377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3225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1991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1991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3225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3225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3437</v>
      </c>
      <c r="D2098" s="2" t="s">
        <v>1992</v>
      </c>
      <c r="E2098" s="2" t="s">
        <v>108</v>
      </c>
      <c r="F2098" s="2" t="s">
        <v>39</v>
      </c>
      <c r="H2098" s="2" t="s">
        <v>290</v>
      </c>
      <c r="I2098" s="2" t="s">
        <v>3278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3437</v>
      </c>
      <c r="D2099" s="2" t="s">
        <v>1992</v>
      </c>
      <c r="E2099" s="2" t="s">
        <v>108</v>
      </c>
      <c r="F2099" s="2" t="s">
        <v>39</v>
      </c>
      <c r="H2099" s="2" t="s">
        <v>290</v>
      </c>
      <c r="I2099" s="2" t="s">
        <v>3278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1692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3225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1692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3225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1692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3225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1993</v>
      </c>
      <c r="M2103" s="2" t="s">
        <v>80</v>
      </c>
      <c r="O2103" s="2" t="s">
        <v>1994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3225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1993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3225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1995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1995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3225</v>
      </c>
      <c r="AA2107" s="2" t="s">
        <v>46</v>
      </c>
      <c r="AB2107" s="2" t="s">
        <v>60</v>
      </c>
      <c r="AC2107" s="2" t="s">
        <v>3329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3225</v>
      </c>
      <c r="AA2108" s="2" t="s">
        <v>46</v>
      </c>
      <c r="AB2108" s="2" t="s">
        <v>60</v>
      </c>
      <c r="AC2108" s="2" t="s">
        <v>3329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1788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1788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3439</v>
      </c>
      <c r="D2111" s="2" t="s">
        <v>1886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3225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3439</v>
      </c>
      <c r="D2112" s="2" t="s">
        <v>1886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3225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3439</v>
      </c>
      <c r="D2113" s="2" t="s">
        <v>1886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1996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3225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1997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1997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1998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1998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1998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3225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3225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1999</v>
      </c>
      <c r="R2121" s="2" t="s">
        <v>2000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3225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2001</v>
      </c>
      <c r="R2122" s="2" t="s">
        <v>2002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3225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2003</v>
      </c>
      <c r="Q2124" s="2" t="s">
        <v>2004</v>
      </c>
      <c r="R2124" s="2" t="s">
        <v>2005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3439</v>
      </c>
      <c r="D2125" s="2" t="s">
        <v>2006</v>
      </c>
      <c r="E2125" s="2" t="s">
        <v>38</v>
      </c>
      <c r="F2125" s="2" t="s">
        <v>39</v>
      </c>
      <c r="L2125" s="2" t="s">
        <v>99</v>
      </c>
      <c r="M2125" s="2" t="s">
        <v>2539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3439</v>
      </c>
      <c r="D2126" s="2" t="s">
        <v>2006</v>
      </c>
      <c r="E2126" s="2" t="s">
        <v>38</v>
      </c>
      <c r="F2126" s="2" t="s">
        <v>39</v>
      </c>
      <c r="L2126" s="2" t="s">
        <v>99</v>
      </c>
      <c r="M2126" s="2" t="s">
        <v>2539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2007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2007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2007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2475</v>
      </c>
      <c r="J2130" s="2" t="s">
        <v>3121</v>
      </c>
      <c r="K2130" s="2">
        <v>965864665</v>
      </c>
      <c r="L2130" s="2" t="s">
        <v>344</v>
      </c>
      <c r="M2130" s="2" t="s">
        <v>80</v>
      </c>
      <c r="O2130" s="2" t="s">
        <v>3125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3225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2475</v>
      </c>
      <c r="J2131" s="2" t="s">
        <v>3121</v>
      </c>
      <c r="K2131" s="2">
        <v>965864665</v>
      </c>
      <c r="L2131" s="2" t="s">
        <v>344</v>
      </c>
      <c r="M2131" s="2" t="s">
        <v>80</v>
      </c>
      <c r="O2131" s="2" t="s">
        <v>3125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3225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3225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3225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2008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2008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2537</v>
      </c>
      <c r="L2137" s="2" t="s">
        <v>99</v>
      </c>
      <c r="M2137" s="2" t="s">
        <v>80</v>
      </c>
      <c r="O2137" s="2" t="s">
        <v>2009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3225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2537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3225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2537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3225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3225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3225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1372</v>
      </c>
      <c r="P2142" s="2" t="s">
        <v>114</v>
      </c>
      <c r="Q2142" s="2" t="s">
        <v>2010</v>
      </c>
      <c r="R2142" s="2" t="s">
        <v>2011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1372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1372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1372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1372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1552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1553</v>
      </c>
      <c r="J2147" s="2" t="s">
        <v>1554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3225</v>
      </c>
      <c r="AA2147" s="2" t="s">
        <v>46</v>
      </c>
      <c r="AB2147" s="2" t="s">
        <v>60</v>
      </c>
      <c r="AC2147" s="2" t="s">
        <v>3329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1552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1553</v>
      </c>
      <c r="J2148" s="2" t="s">
        <v>1554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3225</v>
      </c>
      <c r="AA2148" s="2" t="s">
        <v>46</v>
      </c>
      <c r="AB2148" s="2" t="s">
        <v>60</v>
      </c>
      <c r="AC2148" s="2" t="s">
        <v>3329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3225</v>
      </c>
      <c r="AA2149" s="2" t="s">
        <v>46</v>
      </c>
      <c r="AB2149" s="2" t="s">
        <v>60</v>
      </c>
      <c r="AC2149" s="2" t="s">
        <v>3329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3225</v>
      </c>
      <c r="AA2150" s="2" t="s">
        <v>46</v>
      </c>
      <c r="AB2150" s="2" t="s">
        <v>60</v>
      </c>
      <c r="AC2150" s="2" t="s">
        <v>3329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1240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1240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2012</v>
      </c>
      <c r="P2153" s="2" t="s">
        <v>43</v>
      </c>
      <c r="Q2153" s="2" t="s">
        <v>2013</v>
      </c>
      <c r="R2153" s="2" t="s">
        <v>2014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3225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2012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3225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2012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3225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3174</v>
      </c>
      <c r="K2156" s="2">
        <v>911577458</v>
      </c>
      <c r="L2156" s="2" t="s">
        <v>177</v>
      </c>
      <c r="M2156" s="2" t="s">
        <v>41</v>
      </c>
      <c r="O2156" s="2" t="s">
        <v>3177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3225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3174</v>
      </c>
      <c r="K2157" s="2">
        <v>911577458</v>
      </c>
      <c r="L2157" s="2" t="s">
        <v>177</v>
      </c>
      <c r="M2157" s="2" t="s">
        <v>41</v>
      </c>
      <c r="O2157" s="2" t="s">
        <v>3177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3225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3174</v>
      </c>
      <c r="K2158" s="2">
        <v>911577458</v>
      </c>
      <c r="L2158" s="2" t="s">
        <v>177</v>
      </c>
      <c r="M2158" s="2" t="s">
        <v>41</v>
      </c>
      <c r="O2158" s="2" t="s">
        <v>3177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3225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2015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1573</v>
      </c>
      <c r="AB2159" s="2" t="s">
        <v>388</v>
      </c>
      <c r="AC2159" s="2" t="s">
        <v>1326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2015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2016</v>
      </c>
      <c r="M2161" s="2" t="s">
        <v>40</v>
      </c>
      <c r="P2161" s="2" t="s">
        <v>187</v>
      </c>
      <c r="Q2161" s="2" t="s">
        <v>1307</v>
      </c>
      <c r="R2161" s="2" t="s">
        <v>1308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1309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2017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2018</v>
      </c>
      <c r="J2162" s="2" t="s">
        <v>2019</v>
      </c>
      <c r="K2162" s="2">
        <v>966004647</v>
      </c>
      <c r="L2162" s="2" t="s">
        <v>461</v>
      </c>
      <c r="M2162" s="2" t="s">
        <v>80</v>
      </c>
      <c r="O2162" s="2" t="s">
        <v>2020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3225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2017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3225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3377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3439</v>
      </c>
      <c r="D2170" s="2" t="s">
        <v>1387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3439</v>
      </c>
      <c r="D2171" s="2" t="s">
        <v>1387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3439</v>
      </c>
      <c r="D2172" s="2" t="s">
        <v>1387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2021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2021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3225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2021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3225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3391</v>
      </c>
      <c r="D2176" s="15" t="s">
        <v>3412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3228</v>
      </c>
      <c r="Q2176" s="2" t="s">
        <v>2022</v>
      </c>
      <c r="R2176" s="2" t="s">
        <v>2023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3228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3391</v>
      </c>
      <c r="D2177" s="15" t="s">
        <v>3412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3228</v>
      </c>
      <c r="Q2177" s="2" t="s">
        <v>2024</v>
      </c>
      <c r="R2177" s="2" t="s">
        <v>2025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2026</v>
      </c>
      <c r="AC2177" s="2" t="s">
        <v>3228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3225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3225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2027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3225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2027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3225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2027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3225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2027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3225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3225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2028</v>
      </c>
      <c r="R2187" s="2" t="s">
        <v>2029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3225</v>
      </c>
      <c r="AA2187" s="2" t="s">
        <v>1041</v>
      </c>
      <c r="AB2187" s="2" t="s">
        <v>2030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2031</v>
      </c>
      <c r="R2188" s="2" t="s">
        <v>2032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3225</v>
      </c>
      <c r="AA2188" s="2" t="s">
        <v>1041</v>
      </c>
      <c r="AB2188" s="2" t="s">
        <v>2030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3225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2033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2033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2033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1906</v>
      </c>
      <c r="P2195" s="2" t="s">
        <v>282</v>
      </c>
      <c r="Q2195" s="2" t="s">
        <v>1546</v>
      </c>
      <c r="R2195" s="2" t="s">
        <v>1547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1906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3225</v>
      </c>
      <c r="AA2196" s="2" t="s">
        <v>46</v>
      </c>
      <c r="AB2196" s="2" t="s">
        <v>60</v>
      </c>
      <c r="AC2196" s="2" t="s">
        <v>3329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1713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1713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1713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1435</v>
      </c>
      <c r="R2200" s="2" t="s">
        <v>1436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3225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1398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2034</v>
      </c>
      <c r="R2203" s="2" t="s">
        <v>2035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3225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3225</v>
      </c>
      <c r="AA2204" s="2" t="s">
        <v>46</v>
      </c>
      <c r="AB2204" s="2" t="s">
        <v>60</v>
      </c>
      <c r="AC2204" s="2" t="s">
        <v>3329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1357</v>
      </c>
      <c r="Q2205" s="2" t="s">
        <v>1358</v>
      </c>
      <c r="R2205" s="2" t="s">
        <v>1359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3225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3391</v>
      </c>
      <c r="D2206" s="2" t="s">
        <v>1717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1435</v>
      </c>
      <c r="R2206" s="2" t="s">
        <v>1436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3225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3391</v>
      </c>
      <c r="D2207" s="2" t="s">
        <v>1717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2036</v>
      </c>
      <c r="R2207" s="2" t="s">
        <v>2037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3225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1553</v>
      </c>
      <c r="J2208" s="2" t="s">
        <v>1823</v>
      </c>
      <c r="L2208" s="2" t="s">
        <v>177</v>
      </c>
      <c r="M2208" s="2" t="s">
        <v>41</v>
      </c>
      <c r="P2208" s="2" t="s">
        <v>282</v>
      </c>
      <c r="Q2208" s="2" t="s">
        <v>2038</v>
      </c>
      <c r="R2208" s="2" t="s">
        <v>2039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3225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1553</v>
      </c>
      <c r="J2209" s="2" t="s">
        <v>1823</v>
      </c>
      <c r="L2209" s="2" t="s">
        <v>177</v>
      </c>
      <c r="M2209" s="2" t="s">
        <v>41</v>
      </c>
      <c r="P2209" s="2" t="s">
        <v>282</v>
      </c>
      <c r="Q2209" s="2" t="s">
        <v>2040</v>
      </c>
      <c r="R2209" s="2" t="s">
        <v>2041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3225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1553</v>
      </c>
      <c r="J2210" s="2" t="s">
        <v>1823</v>
      </c>
      <c r="L2210" s="2" t="s">
        <v>177</v>
      </c>
      <c r="M2210" s="2" t="s">
        <v>41</v>
      </c>
      <c r="P2210" s="2" t="s">
        <v>282</v>
      </c>
      <c r="Q2210" s="2" t="s">
        <v>2042</v>
      </c>
      <c r="R2210" s="2" t="s">
        <v>2043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3225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1553</v>
      </c>
      <c r="J2211" s="2" t="s">
        <v>1823</v>
      </c>
      <c r="L2211" s="2" t="s">
        <v>177</v>
      </c>
      <c r="M2211" s="2" t="s">
        <v>41</v>
      </c>
      <c r="P2211" s="2" t="s">
        <v>282</v>
      </c>
      <c r="Q2211" s="2" t="s">
        <v>2044</v>
      </c>
      <c r="R2211" s="2" t="s">
        <v>2045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3225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2046</v>
      </c>
      <c r="M2212" s="2" t="s">
        <v>80</v>
      </c>
      <c r="O2212" s="2" t="s">
        <v>2047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3225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2046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3225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3437</v>
      </c>
      <c r="D2214" s="2" t="s">
        <v>2048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2778</v>
      </c>
      <c r="J2214" s="2" t="s">
        <v>2819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2049</v>
      </c>
      <c r="R2214" s="2" t="s">
        <v>2050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C2215" s="2" t="s">
        <v>3439</v>
      </c>
      <c r="D2215" s="2" t="s">
        <v>2051</v>
      </c>
      <c r="E2215" s="2" t="s">
        <v>108</v>
      </c>
      <c r="F2215" s="2" t="s">
        <v>39</v>
      </c>
      <c r="L2215" s="2" t="s">
        <v>339</v>
      </c>
      <c r="M2215" s="2" t="s">
        <v>80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3225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C2216" s="2" t="s">
        <v>3439</v>
      </c>
      <c r="D2216" s="2" t="s">
        <v>2051</v>
      </c>
      <c r="E2216" s="2" t="s">
        <v>108</v>
      </c>
      <c r="F2216" s="2" t="s">
        <v>39</v>
      </c>
      <c r="L2216" s="2" t="s">
        <v>339</v>
      </c>
      <c r="M2216" s="2" t="s">
        <v>80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3225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2052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3225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3225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1719</v>
      </c>
      <c r="E2220" s="2" t="s">
        <v>108</v>
      </c>
      <c r="F2220" s="2" t="s">
        <v>717</v>
      </c>
      <c r="P2220" s="2" t="s">
        <v>114</v>
      </c>
      <c r="Q2220" s="2" t="s">
        <v>1790</v>
      </c>
      <c r="R2220" s="2" t="s">
        <v>1791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1417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2410</v>
      </c>
      <c r="J2221" s="2" t="s">
        <v>2411</v>
      </c>
      <c r="L2221" s="2" t="s">
        <v>201</v>
      </c>
      <c r="M2221" s="2" t="s">
        <v>80</v>
      </c>
      <c r="O2221" s="2" t="s">
        <v>3163</v>
      </c>
      <c r="P2221" s="2" t="s">
        <v>1038</v>
      </c>
      <c r="Q2221" s="2" t="s">
        <v>2053</v>
      </c>
      <c r="R2221" s="2" t="s">
        <v>2054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3225</v>
      </c>
      <c r="AA2221" s="2" t="s">
        <v>1041</v>
      </c>
      <c r="AB2221" s="2" t="s">
        <v>1317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1417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2410</v>
      </c>
      <c r="J2222" s="2" t="s">
        <v>2411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1418</v>
      </c>
      <c r="P2223" s="2" t="s">
        <v>72</v>
      </c>
      <c r="Q2223" s="2" t="s">
        <v>2055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3225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1418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3225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2056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3225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2056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3225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2057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3225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2057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2056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3225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3224</v>
      </c>
      <c r="P2230" s="2" t="s">
        <v>282</v>
      </c>
      <c r="Q2230" s="2" t="s">
        <v>2058</v>
      </c>
      <c r="R2230" s="2" t="s">
        <v>2059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3225</v>
      </c>
      <c r="AA2230" s="2" t="s">
        <v>71</v>
      </c>
      <c r="AB2230" s="2" t="s">
        <v>1599</v>
      </c>
      <c r="AC2230" s="2" t="s">
        <v>1599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2060</v>
      </c>
      <c r="E2231" s="2" t="s">
        <v>108</v>
      </c>
      <c r="G2231" s="2">
        <v>506055884</v>
      </c>
      <c r="H2231" s="2" t="s">
        <v>40</v>
      </c>
      <c r="I2231" s="2" t="s">
        <v>2061</v>
      </c>
      <c r="J2231" s="2" t="s">
        <v>2062</v>
      </c>
      <c r="L2231" s="2" t="s">
        <v>99</v>
      </c>
      <c r="M2231" s="2" t="s">
        <v>40</v>
      </c>
      <c r="O2231" s="2" t="s">
        <v>2063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1620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3225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1620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3225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1620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3225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1620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1729</v>
      </c>
      <c r="R2235" s="2" t="s">
        <v>1730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3225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1620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2064</v>
      </c>
      <c r="R2236" s="2" t="s">
        <v>2065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3225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3225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3225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3225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3225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2066</v>
      </c>
      <c r="R2241" s="2" t="s">
        <v>2067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3225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1289</v>
      </c>
      <c r="P2242" s="2" t="s">
        <v>114</v>
      </c>
      <c r="Q2242" s="2" t="s">
        <v>1213</v>
      </c>
      <c r="R2242" s="2" t="s">
        <v>1214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1289</v>
      </c>
      <c r="P2243" s="2" t="s">
        <v>68</v>
      </c>
      <c r="Q2243" s="2" t="s">
        <v>2068</v>
      </c>
      <c r="R2243" s="2" t="s">
        <v>2069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3229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1941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1941</v>
      </c>
      <c r="P2245" s="2" t="s">
        <v>114</v>
      </c>
      <c r="Q2245" s="2" t="s">
        <v>1331</v>
      </c>
      <c r="R2245" s="2" t="s">
        <v>1332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3225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3225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3225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2070</v>
      </c>
      <c r="P2249" s="2" t="s">
        <v>114</v>
      </c>
      <c r="Q2249" s="2" t="s">
        <v>1884</v>
      </c>
      <c r="R2249" s="2" t="s">
        <v>1885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3225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3225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3225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3225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3391</v>
      </c>
      <c r="D2255" s="2" t="s">
        <v>2071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1778</v>
      </c>
      <c r="R2255" s="2" t="s">
        <v>1779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1329</v>
      </c>
      <c r="AC2255" s="2" t="s">
        <v>1326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2072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3225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2072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3225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2072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3225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1294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1295</v>
      </c>
      <c r="L2259" s="2" t="s">
        <v>339</v>
      </c>
      <c r="P2259" s="2" t="s">
        <v>72</v>
      </c>
      <c r="Q2259" s="2" t="s">
        <v>1447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3225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1294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1295</v>
      </c>
      <c r="L2260" s="2" t="s">
        <v>339</v>
      </c>
      <c r="M2260" s="2" t="s">
        <v>80</v>
      </c>
      <c r="O2260" s="2" t="s">
        <v>3201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3225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1294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1295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3225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2073</v>
      </c>
      <c r="P2262" s="2" t="s">
        <v>84</v>
      </c>
      <c r="Q2262" s="2" t="s">
        <v>1792</v>
      </c>
      <c r="R2262" s="2" t="s">
        <v>1793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3225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2074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3225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2075</v>
      </c>
      <c r="R2264" s="2" t="s">
        <v>2076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1658</v>
      </c>
      <c r="P2265" s="2" t="s">
        <v>114</v>
      </c>
      <c r="Q2265" s="2" t="s">
        <v>1878</v>
      </c>
      <c r="R2265" s="2" t="s">
        <v>1879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1658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1658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2077</v>
      </c>
      <c r="P2268" s="2" t="s">
        <v>68</v>
      </c>
      <c r="Q2268" s="2" t="s">
        <v>2078</v>
      </c>
      <c r="R2268" s="2" t="s">
        <v>2079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3229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3225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1967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3225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1967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3225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2080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2080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2293</v>
      </c>
      <c r="J2275" s="2" t="s">
        <v>2294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2081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2081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3225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3225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3225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3225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3225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3225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3225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3225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3225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3225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3225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3225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3225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3225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3225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3225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2036</v>
      </c>
      <c r="R2294" s="2" t="s">
        <v>2037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3225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3225</v>
      </c>
      <c r="AA2295" s="2" t="s">
        <v>46</v>
      </c>
      <c r="AB2295" s="2" t="s">
        <v>60</v>
      </c>
      <c r="AC2295" s="2" t="s">
        <v>3329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3225</v>
      </c>
      <c r="AA2296" s="2" t="s">
        <v>46</v>
      </c>
      <c r="AB2296" s="2" t="s">
        <v>60</v>
      </c>
      <c r="AC2296" s="2" t="s">
        <v>3329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2082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3225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3225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3225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3225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3225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1568</v>
      </c>
      <c r="R2302" s="2" t="s">
        <v>1569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3225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3383</v>
      </c>
      <c r="Q2303" s="2" t="s">
        <v>2083</v>
      </c>
      <c r="R2303" s="2" t="s">
        <v>2084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3225</v>
      </c>
      <c r="AA2303" s="2" t="s">
        <v>2166</v>
      </c>
      <c r="AB2303" s="2" t="s">
        <v>2246</v>
      </c>
      <c r="AC2303" s="2" t="s">
        <v>3383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3384</v>
      </c>
      <c r="Q2304" s="2" t="s">
        <v>2085</v>
      </c>
      <c r="R2304" s="2" t="s">
        <v>2086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3225</v>
      </c>
      <c r="AA2304" s="2" t="s">
        <v>1041</v>
      </c>
      <c r="AB2304" s="2" t="s">
        <v>1269</v>
      </c>
      <c r="AC2304" s="2" t="s">
        <v>3384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3384</v>
      </c>
      <c r="Q2305" s="2" t="s">
        <v>2087</v>
      </c>
      <c r="R2305" s="2" t="s">
        <v>2088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3225</v>
      </c>
      <c r="AA2305" s="2" t="s">
        <v>1041</v>
      </c>
      <c r="AB2305" s="2" t="s">
        <v>1269</v>
      </c>
      <c r="AC2305" s="2" t="s">
        <v>3384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3384</v>
      </c>
      <c r="Q2306" s="2" t="s">
        <v>2089</v>
      </c>
      <c r="R2306" s="2" t="s">
        <v>2090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3225</v>
      </c>
      <c r="AA2306" s="2" t="s">
        <v>1041</v>
      </c>
      <c r="AB2306" s="2" t="s">
        <v>1269</v>
      </c>
      <c r="AC2306" s="2" t="s">
        <v>3384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3383</v>
      </c>
      <c r="Q2307" s="2" t="s">
        <v>2091</v>
      </c>
      <c r="R2307" s="2" t="s">
        <v>2092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3225</v>
      </c>
      <c r="AA2307" s="2" t="s">
        <v>2166</v>
      </c>
      <c r="AB2307" s="2" t="s">
        <v>2246</v>
      </c>
      <c r="AC2307" s="2" t="s">
        <v>3383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3225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2093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2093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2093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2093</v>
      </c>
      <c r="P2313" s="2" t="s">
        <v>68</v>
      </c>
      <c r="Q2313" s="2" t="s">
        <v>1618</v>
      </c>
      <c r="R2313" s="2" t="s">
        <v>1619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2094</v>
      </c>
      <c r="AB2313" s="2" t="s">
        <v>68</v>
      </c>
      <c r="AC2313" s="2" t="s">
        <v>3229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2093</v>
      </c>
      <c r="P2314" s="2" t="s">
        <v>1193</v>
      </c>
      <c r="Q2314" s="2" t="s">
        <v>1710</v>
      </c>
      <c r="R2314" s="2" t="s">
        <v>1711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1198</v>
      </c>
      <c r="AB2314" s="2" t="s">
        <v>119</v>
      </c>
      <c r="AC2314" s="2" t="s">
        <v>1193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2093</v>
      </c>
      <c r="P2315" s="2" t="s">
        <v>1193</v>
      </c>
      <c r="Q2315" s="2" t="s">
        <v>1196</v>
      </c>
      <c r="R2315" s="2" t="s">
        <v>1197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1198</v>
      </c>
      <c r="AB2315" s="2" t="s">
        <v>119</v>
      </c>
      <c r="AC2315" s="2" t="s">
        <v>1193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2095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2095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2095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2095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3377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1475</v>
      </c>
      <c r="E2323" s="2" t="s">
        <v>752</v>
      </c>
      <c r="F2323" s="2" t="s">
        <v>1476</v>
      </c>
      <c r="G2323" s="2">
        <v>506123758</v>
      </c>
      <c r="H2323" s="2" t="s">
        <v>109</v>
      </c>
      <c r="I2323" s="2" t="s">
        <v>1477</v>
      </c>
      <c r="J2323" s="2" t="s">
        <v>1478</v>
      </c>
      <c r="K2323" s="2">
        <v>936406952</v>
      </c>
      <c r="L2323" s="2" t="s">
        <v>461</v>
      </c>
      <c r="M2323" s="2" t="s">
        <v>40</v>
      </c>
      <c r="O2323" s="2" t="s">
        <v>2096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1475</v>
      </c>
      <c r="E2324" s="2" t="s">
        <v>752</v>
      </c>
      <c r="F2324" s="2" t="s">
        <v>1476</v>
      </c>
      <c r="G2324" s="2">
        <v>506123758</v>
      </c>
      <c r="H2324" s="2" t="s">
        <v>109</v>
      </c>
      <c r="I2324" s="2" t="s">
        <v>1477</v>
      </c>
      <c r="J2324" s="2" t="s">
        <v>1478</v>
      </c>
      <c r="K2324" s="2">
        <v>936406952</v>
      </c>
      <c r="L2324" s="2" t="s">
        <v>461</v>
      </c>
      <c r="M2324" s="2" t="s">
        <v>40</v>
      </c>
      <c r="O2324" s="2" t="s">
        <v>2096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2097</v>
      </c>
      <c r="P2326" s="2" t="s">
        <v>114</v>
      </c>
      <c r="Q2326" s="2" t="s">
        <v>2098</v>
      </c>
      <c r="R2326" s="2" t="s">
        <v>2099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2097</v>
      </c>
      <c r="P2327" s="2" t="s">
        <v>114</v>
      </c>
      <c r="Q2327" s="2" t="s">
        <v>1423</v>
      </c>
      <c r="R2327" s="2" t="s">
        <v>1424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2100</v>
      </c>
      <c r="P2328" s="2" t="s">
        <v>114</v>
      </c>
      <c r="Q2328" s="2" t="s">
        <v>1884</v>
      </c>
      <c r="R2328" s="2" t="s">
        <v>1885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2101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3225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2101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3225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2101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3225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2101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3225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2097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2097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2100</v>
      </c>
      <c r="P2335" s="2" t="s">
        <v>187</v>
      </c>
      <c r="Q2335" s="2" t="s">
        <v>1307</v>
      </c>
      <c r="R2335" s="2" t="s">
        <v>1308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1309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3489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2102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3225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3489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2102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3225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3489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2102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3225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2103</v>
      </c>
      <c r="P2339" s="2" t="s">
        <v>114</v>
      </c>
      <c r="Q2339" s="2" t="s">
        <v>1513</v>
      </c>
      <c r="R2339" s="2" t="s">
        <v>1514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2103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2103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2104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2104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2104</v>
      </c>
      <c r="P2344" s="2" t="s">
        <v>187</v>
      </c>
      <c r="Q2344" s="2" t="s">
        <v>1307</v>
      </c>
      <c r="R2344" s="2" t="s">
        <v>1308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1309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3490</v>
      </c>
      <c r="O2345" s="2" t="s">
        <v>2105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3225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2445</v>
      </c>
      <c r="F2346" s="2" t="s">
        <v>39</v>
      </c>
      <c r="G2346" s="2">
        <v>505814030</v>
      </c>
      <c r="H2346" s="2" t="s">
        <v>290</v>
      </c>
      <c r="I2346" s="2" t="s">
        <v>2446</v>
      </c>
      <c r="J2346" s="2" t="s">
        <v>2447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2445</v>
      </c>
      <c r="F2347" s="2" t="s">
        <v>39</v>
      </c>
      <c r="G2347" s="2">
        <v>505814030</v>
      </c>
      <c r="H2347" s="2" t="s">
        <v>290</v>
      </c>
      <c r="I2347" s="2" t="s">
        <v>2446</v>
      </c>
      <c r="J2347" s="2" t="s">
        <v>2447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3225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2106</v>
      </c>
      <c r="P2349" s="2" t="s">
        <v>43</v>
      </c>
      <c r="Q2349" s="2" t="s">
        <v>2107</v>
      </c>
      <c r="R2349" s="2" t="s">
        <v>2108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3225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2109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3377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2110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3377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2111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2111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3489</v>
      </c>
      <c r="D2354" s="2" t="s">
        <v>2112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3489</v>
      </c>
      <c r="D2355" s="2" t="s">
        <v>2112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2113</v>
      </c>
      <c r="R2355" s="2" t="s">
        <v>2114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3489</v>
      </c>
      <c r="D2356" s="2" t="s">
        <v>2112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1182</v>
      </c>
      <c r="R2356" s="2" t="s">
        <v>1183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2115</v>
      </c>
      <c r="Q2357" s="2" t="s">
        <v>2116</v>
      </c>
      <c r="R2357" s="2" t="s">
        <v>2117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2115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3377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2118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3225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2119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3225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2120</v>
      </c>
      <c r="P2363" s="2" t="s">
        <v>282</v>
      </c>
      <c r="Q2363" s="2" t="s">
        <v>1546</v>
      </c>
      <c r="R2363" s="2" t="s">
        <v>1547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2121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2122</v>
      </c>
      <c r="E2365" s="2" t="s">
        <v>108</v>
      </c>
      <c r="F2365" s="2" t="s">
        <v>39</v>
      </c>
      <c r="L2365" s="2" t="s">
        <v>461</v>
      </c>
      <c r="M2365" s="2" t="s">
        <v>41</v>
      </c>
      <c r="P2365" s="2" t="s">
        <v>282</v>
      </c>
      <c r="Q2365" s="2" t="s">
        <v>2123</v>
      </c>
      <c r="R2365" s="2" t="s">
        <v>2124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W2365" s="2">
        <f>73*S2365</f>
        <v>146</v>
      </c>
      <c r="X2365" s="5">
        <f t="shared" si="362"/>
        <v>0.39115929941618016</v>
      </c>
      <c r="Z2365" s="2" t="s">
        <v>3225</v>
      </c>
      <c r="AA2365" s="2" t="s">
        <v>71</v>
      </c>
      <c r="AB2365" s="2" t="s">
        <v>1599</v>
      </c>
      <c r="AC2365" s="2" t="s">
        <v>1599</v>
      </c>
      <c r="AF2365" s="2">
        <f t="shared" si="352"/>
        <v>0</v>
      </c>
      <c r="AJ2365" s="2">
        <f t="shared" si="353"/>
        <v>0</v>
      </c>
      <c r="AK2365" s="2">
        <f t="shared" si="360"/>
        <v>93.800000000000011</v>
      </c>
      <c r="AL2365" s="5">
        <f t="shared" si="361"/>
        <v>0.39115929941618016</v>
      </c>
    </row>
    <row r="2366" spans="1:38" x14ac:dyDescent="0.2">
      <c r="A2366" s="2">
        <v>2025</v>
      </c>
      <c r="B2366" s="2">
        <v>12</v>
      </c>
      <c r="D2366" s="2" t="s">
        <v>2122</v>
      </c>
      <c r="E2366" s="2" t="s">
        <v>108</v>
      </c>
      <c r="F2366" s="2" t="s">
        <v>39</v>
      </c>
      <c r="L2366" s="2" t="s">
        <v>461</v>
      </c>
      <c r="M2366" s="2" t="s">
        <v>41</v>
      </c>
      <c r="P2366" s="2" t="s">
        <v>282</v>
      </c>
      <c r="Q2366" s="2" t="s">
        <v>1701</v>
      </c>
      <c r="R2366" s="2" t="s">
        <v>1702</v>
      </c>
      <c r="S2366" s="2">
        <v>1</v>
      </c>
      <c r="T2366" s="2">
        <v>759</v>
      </c>
      <c r="U2366" s="2">
        <v>174.57</v>
      </c>
      <c r="V2366" s="2">
        <v>933.57</v>
      </c>
      <c r="W2366" s="2">
        <v>399.2</v>
      </c>
      <c r="X2366" s="5">
        <f t="shared" si="362"/>
        <v>0.47404479578392622</v>
      </c>
      <c r="Z2366" s="2" t="s">
        <v>3225</v>
      </c>
      <c r="AA2366" s="2" t="s">
        <v>71</v>
      </c>
      <c r="AB2366" s="2" t="s">
        <v>1599</v>
      </c>
      <c r="AC2366" s="2" t="s">
        <v>1599</v>
      </c>
      <c r="AF2366" s="2">
        <f t="shared" si="352"/>
        <v>0</v>
      </c>
      <c r="AJ2366" s="2">
        <f t="shared" si="353"/>
        <v>0</v>
      </c>
      <c r="AK2366" s="2">
        <f t="shared" si="360"/>
        <v>359.8</v>
      </c>
      <c r="AL2366" s="5">
        <f t="shared" si="361"/>
        <v>0.47404479578392622</v>
      </c>
    </row>
    <row r="2367" spans="1:38" x14ac:dyDescent="0.2">
      <c r="A2367" s="2">
        <v>2025</v>
      </c>
      <c r="B2367" s="2">
        <v>12</v>
      </c>
      <c r="D2367" s="2" t="s">
        <v>2125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1573</v>
      </c>
      <c r="AB2367" s="2" t="s">
        <v>388</v>
      </c>
      <c r="AC2367" s="2" t="s">
        <v>1326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2125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3225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3225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3225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3225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3225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3225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3225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3225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1970</v>
      </c>
      <c r="R2377" s="2" t="s">
        <v>1971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3225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1353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1353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1354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1355</v>
      </c>
      <c r="L2380" s="2" t="s">
        <v>418</v>
      </c>
      <c r="M2380" s="2" t="s">
        <v>41</v>
      </c>
      <c r="P2380" s="2" t="s">
        <v>282</v>
      </c>
      <c r="Q2380" s="2" t="s">
        <v>1661</v>
      </c>
      <c r="R2380" s="2" t="s">
        <v>1662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2640</v>
      </c>
      <c r="AC2380" s="2" t="s">
        <v>1326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1354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1355</v>
      </c>
      <c r="L2381" s="2" t="s">
        <v>418</v>
      </c>
      <c r="M2381" s="2" t="s">
        <v>41</v>
      </c>
      <c r="P2381" s="2" t="s">
        <v>282</v>
      </c>
      <c r="Q2381" s="2" t="s">
        <v>1663</v>
      </c>
      <c r="R2381" s="2" t="s">
        <v>1664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2640</v>
      </c>
      <c r="AC2381" s="2" t="s">
        <v>1326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1354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1355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3225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1354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1355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3225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1354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1355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3225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3377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2126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2126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1692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1692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1692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3377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3118</v>
      </c>
      <c r="K2393" s="2">
        <v>917575485</v>
      </c>
      <c r="L2393" s="2" t="s">
        <v>461</v>
      </c>
      <c r="M2393" s="2" t="s">
        <v>40</v>
      </c>
      <c r="O2393" s="2" t="s">
        <v>3119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3118</v>
      </c>
      <c r="K2394" s="2">
        <v>917575485</v>
      </c>
      <c r="L2394" s="2" t="s">
        <v>461</v>
      </c>
      <c r="M2394" s="2" t="s">
        <v>40</v>
      </c>
      <c r="O2394" s="2" t="s">
        <v>3119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2127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3225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2127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3225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3489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2128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2129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3225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2129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3225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2129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3225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2129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3225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2129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3225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2130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2130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2131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2131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2131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3440</v>
      </c>
      <c r="D2408" s="2" t="s">
        <v>1886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3225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2132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2132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2007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2007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3225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2007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2133</v>
      </c>
      <c r="R2413" s="2" t="s">
        <v>2134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3225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2007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2007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3225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3225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3225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3377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2475</v>
      </c>
      <c r="J2421" s="2" t="s">
        <v>3121</v>
      </c>
      <c r="K2421" s="2">
        <v>965864665</v>
      </c>
      <c r="L2421" s="2" t="s">
        <v>344</v>
      </c>
      <c r="M2421" s="2" t="s">
        <v>40</v>
      </c>
      <c r="O2421" s="2" t="s">
        <v>3126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3225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3225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3225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3225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3225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3440</v>
      </c>
      <c r="D2429" s="2" t="s">
        <v>2135</v>
      </c>
      <c r="E2429" s="2" t="s">
        <v>38</v>
      </c>
      <c r="F2429" s="2" t="s">
        <v>39</v>
      </c>
      <c r="L2429" s="2" t="s">
        <v>2437</v>
      </c>
      <c r="M2429" s="2" t="s">
        <v>40</v>
      </c>
      <c r="P2429" s="2" t="s">
        <v>114</v>
      </c>
      <c r="Q2429" s="2" t="s">
        <v>2136</v>
      </c>
      <c r="R2429" s="2" t="s">
        <v>2137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1375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3225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1375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3225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2016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2016</v>
      </c>
      <c r="M2433" s="2" t="s">
        <v>41</v>
      </c>
      <c r="O2433" s="2" t="s">
        <v>2138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3225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2016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3225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2016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3225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2016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2016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2139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2139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2139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3490</v>
      </c>
      <c r="P2441" s="2" t="s">
        <v>698</v>
      </c>
      <c r="Q2441" s="2" t="s">
        <v>2140</v>
      </c>
      <c r="R2441" s="2" t="s">
        <v>2141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3377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3225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3511</v>
      </c>
      <c r="D2447" s="2" t="s">
        <v>2142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3225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3511</v>
      </c>
      <c r="D2448" s="2" t="s">
        <v>2142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3225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3323</v>
      </c>
      <c r="D2449" s="2" t="s">
        <v>3458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3457</v>
      </c>
      <c r="D2450" s="15" t="s">
        <v>3412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2143</v>
      </c>
      <c r="P2450" s="2" t="s">
        <v>282</v>
      </c>
      <c r="Q2450" s="2" t="s">
        <v>1281</v>
      </c>
      <c r="R2450" s="2" t="s">
        <v>1282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1573</v>
      </c>
      <c r="AB2450" s="2" t="s">
        <v>388</v>
      </c>
      <c r="AC2450" s="2" t="s">
        <v>1326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3457</v>
      </c>
      <c r="D2451" s="15" t="s">
        <v>3412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2143</v>
      </c>
      <c r="P2451" s="2" t="s">
        <v>282</v>
      </c>
      <c r="Q2451" s="2" t="s">
        <v>1283</v>
      </c>
      <c r="R2451" s="2" t="s">
        <v>1284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3378</v>
      </c>
      <c r="AC2451" s="2" t="s">
        <v>1326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3457</v>
      </c>
      <c r="D2452" s="15" t="s">
        <v>3412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2143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1573</v>
      </c>
      <c r="AB2452" s="2" t="s">
        <v>388</v>
      </c>
      <c r="AC2452" s="2" t="s">
        <v>1326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3457</v>
      </c>
      <c r="D2453" s="15" t="s">
        <v>3412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2143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1573</v>
      </c>
      <c r="AB2453" s="2" t="s">
        <v>388</v>
      </c>
      <c r="AC2453" s="2" t="s">
        <v>1326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3162</v>
      </c>
      <c r="P2454" s="2" t="s">
        <v>1038</v>
      </c>
      <c r="Q2454" s="2" t="s">
        <v>2144</v>
      </c>
      <c r="R2454" s="2" t="s">
        <v>2145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3225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3225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1255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2564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1255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2564</v>
      </c>
      <c r="L2459" s="2" t="s">
        <v>201</v>
      </c>
      <c r="P2459" s="2" t="s">
        <v>114</v>
      </c>
      <c r="Q2459" s="2" t="s">
        <v>2146</v>
      </c>
      <c r="R2459" s="2" t="s">
        <v>2147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3489</v>
      </c>
      <c r="D2460" s="2" t="s">
        <v>1256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2148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2148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2148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3323</v>
      </c>
      <c r="D2464" s="2" t="s">
        <v>2149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3323</v>
      </c>
      <c r="D2465" s="2" t="s">
        <v>2149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3323</v>
      </c>
      <c r="D2466" s="2" t="s">
        <v>2149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2150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3225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2150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3225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2150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3225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2150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3225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2150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3225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2150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3225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2150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3225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2151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2151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2151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3225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3225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3225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3225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2152</v>
      </c>
      <c r="P2481" s="2" t="s">
        <v>114</v>
      </c>
      <c r="Q2481" s="2" t="s">
        <v>2153</v>
      </c>
      <c r="R2481" s="2" t="s">
        <v>2154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2152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1589</v>
      </c>
      <c r="E2483" s="2" t="s">
        <v>38</v>
      </c>
      <c r="F2483" s="2" t="s">
        <v>39</v>
      </c>
      <c r="L2483" s="2" t="s">
        <v>571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1589</v>
      </c>
      <c r="E2484" s="2" t="s">
        <v>38</v>
      </c>
      <c r="F2484" s="2" t="s">
        <v>39</v>
      </c>
      <c r="L2484" s="2" t="s">
        <v>571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3225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1344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3225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3225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2155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2155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2155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1417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2410</v>
      </c>
      <c r="J2493" s="2" t="s">
        <v>2411</v>
      </c>
      <c r="L2493" s="2" t="s">
        <v>201</v>
      </c>
      <c r="M2493" s="2" t="s">
        <v>80</v>
      </c>
      <c r="P2493" s="2" t="s">
        <v>1038</v>
      </c>
      <c r="Q2493" s="2" t="s">
        <v>1917</v>
      </c>
      <c r="R2493" s="2" t="s">
        <v>1918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3225</v>
      </c>
      <c r="AA2493" s="2" t="s">
        <v>1041</v>
      </c>
      <c r="AB2493" s="2" t="s">
        <v>1317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1417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2410</v>
      </c>
      <c r="J2494" s="2" t="s">
        <v>2411</v>
      </c>
      <c r="L2494" s="2" t="s">
        <v>201</v>
      </c>
      <c r="M2494" s="2" t="s">
        <v>80</v>
      </c>
      <c r="P2494" s="2" t="s">
        <v>1038</v>
      </c>
      <c r="Q2494" s="2" t="s">
        <v>2156</v>
      </c>
      <c r="R2494" s="2" t="s">
        <v>2157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3225</v>
      </c>
      <c r="AA2494" s="2" t="s">
        <v>1041</v>
      </c>
      <c r="AB2494" s="2" t="s">
        <v>1317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1213</v>
      </c>
      <c r="R2495" s="2" t="s">
        <v>1214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1565</v>
      </c>
      <c r="R2496" s="2" t="s">
        <v>1566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2158</v>
      </c>
      <c r="R2497" s="2" t="s">
        <v>2159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2160</v>
      </c>
      <c r="R2499" s="2" t="s">
        <v>2161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3225</v>
      </c>
      <c r="AA2499" s="2" t="s">
        <v>1041</v>
      </c>
      <c r="AB2499" s="2" t="s">
        <v>1317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1921</v>
      </c>
      <c r="R2500" s="2" t="s">
        <v>1922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3225</v>
      </c>
      <c r="AA2500" s="2" t="s">
        <v>1041</v>
      </c>
      <c r="AB2500" s="2" t="s">
        <v>1269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2162</v>
      </c>
      <c r="R2501" s="2" t="s">
        <v>2163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3225</v>
      </c>
      <c r="AA2501" s="2" t="s">
        <v>1041</v>
      </c>
      <c r="AB2501" s="2" t="s">
        <v>1269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1925</v>
      </c>
      <c r="R2502" s="2" t="s">
        <v>1926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3225</v>
      </c>
      <c r="AA2502" s="2" t="s">
        <v>1041</v>
      </c>
      <c r="AB2502" s="2" t="s">
        <v>1317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3383</v>
      </c>
      <c r="Q2503" s="2" t="s">
        <v>2164</v>
      </c>
      <c r="R2503" s="2" t="s">
        <v>2165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3225</v>
      </c>
      <c r="AA2503" s="2" t="s">
        <v>2166</v>
      </c>
      <c r="AB2503" s="2" t="s">
        <v>2167</v>
      </c>
      <c r="AC2503" s="2" t="s">
        <v>3383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3393</v>
      </c>
      <c r="Q2504" s="2" t="s">
        <v>2168</v>
      </c>
      <c r="R2504" s="2" t="s">
        <v>2169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3225</v>
      </c>
      <c r="AA2504" s="2" t="s">
        <v>2166</v>
      </c>
      <c r="AB2504" s="2" t="s">
        <v>2030</v>
      </c>
      <c r="AC2504" s="2" t="s">
        <v>3393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3393</v>
      </c>
      <c r="Q2505" s="2" t="s">
        <v>2170</v>
      </c>
      <c r="R2505" s="2" t="s">
        <v>2171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3225</v>
      </c>
      <c r="AA2505" s="2" t="s">
        <v>2166</v>
      </c>
      <c r="AB2505" s="2" t="s">
        <v>2030</v>
      </c>
      <c r="AC2505" s="2" t="s">
        <v>3393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2172</v>
      </c>
      <c r="P2507" s="2" t="s">
        <v>114</v>
      </c>
      <c r="Q2507" s="2" t="s">
        <v>2173</v>
      </c>
      <c r="R2507" s="2" t="s">
        <v>2174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2172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2172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2172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3377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1621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1622</v>
      </c>
      <c r="J2511" s="2" t="s">
        <v>1623</v>
      </c>
      <c r="L2511" s="2" t="s">
        <v>293</v>
      </c>
      <c r="M2511" s="2" t="s">
        <v>3490</v>
      </c>
      <c r="O2511" s="2" t="s">
        <v>2175</v>
      </c>
      <c r="P2511" s="2" t="s">
        <v>114</v>
      </c>
      <c r="Q2511" s="2" t="s">
        <v>2176</v>
      </c>
      <c r="R2511" s="2" t="s">
        <v>2177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1941</v>
      </c>
      <c r="P2512" s="2" t="s">
        <v>114</v>
      </c>
      <c r="Q2512" s="2" t="s">
        <v>1384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1903</v>
      </c>
      <c r="R2513" s="2" t="s">
        <v>1904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3225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3225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3225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3225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3225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2178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2178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2179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3225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2179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3225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2179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3225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2179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3225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2179</v>
      </c>
      <c r="P2525" s="2" t="s">
        <v>166</v>
      </c>
      <c r="Q2525" s="2" t="s">
        <v>2180</v>
      </c>
      <c r="R2525" s="2" t="s">
        <v>2181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3225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2179</v>
      </c>
      <c r="P2526" s="2" t="s">
        <v>84</v>
      </c>
      <c r="Q2526" s="2" t="s">
        <v>1208</v>
      </c>
      <c r="R2526" s="2" t="s">
        <v>1209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3225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2179</v>
      </c>
      <c r="P2527" s="2" t="s">
        <v>84</v>
      </c>
      <c r="Q2527" s="2" t="s">
        <v>1970</v>
      </c>
      <c r="R2527" s="2" t="s">
        <v>1971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3225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1204</v>
      </c>
      <c r="R2528" s="2" t="s">
        <v>1205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3225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3225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3225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2071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1529</v>
      </c>
      <c r="R2532" s="2" t="s">
        <v>1530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3225</v>
      </c>
      <c r="AA2532" s="2" t="s">
        <v>155</v>
      </c>
      <c r="AB2532" s="2" t="s">
        <v>3400</v>
      </c>
      <c r="AC2532" s="2" t="s">
        <v>1326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2071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2182</v>
      </c>
      <c r="R2533" s="2" t="s">
        <v>2183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3225</v>
      </c>
      <c r="AA2533" s="2" t="s">
        <v>155</v>
      </c>
      <c r="AB2533" s="2" t="s">
        <v>3400</v>
      </c>
      <c r="AC2533" s="2" t="s">
        <v>1326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1294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1295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3225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1294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1295</v>
      </c>
      <c r="L2535" s="2" t="s">
        <v>339</v>
      </c>
      <c r="P2535" s="2" t="s">
        <v>1038</v>
      </c>
      <c r="Q2535" s="2" t="s">
        <v>1952</v>
      </c>
      <c r="R2535" s="2" t="s">
        <v>1953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3225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1294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1295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1294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1295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3225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1362</v>
      </c>
      <c r="R2538" s="2" t="s">
        <v>1363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3225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3225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3225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3225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1878</v>
      </c>
      <c r="R2542" s="2" t="s">
        <v>1879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1650</v>
      </c>
      <c r="E2543" s="2" t="s">
        <v>38</v>
      </c>
      <c r="F2543" s="2" t="s">
        <v>39</v>
      </c>
      <c r="H2543" s="2" t="s">
        <v>41</v>
      </c>
      <c r="I2543" s="2" t="s">
        <v>1651</v>
      </c>
      <c r="J2543" s="2" t="s">
        <v>1652</v>
      </c>
      <c r="L2543" s="2" t="s">
        <v>112</v>
      </c>
      <c r="M2543" s="2" t="s">
        <v>40</v>
      </c>
      <c r="O2543" s="2" t="s">
        <v>2184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1650</v>
      </c>
      <c r="E2544" s="2" t="s">
        <v>38</v>
      </c>
      <c r="F2544" s="2" t="s">
        <v>39</v>
      </c>
      <c r="H2544" s="2" t="s">
        <v>41</v>
      </c>
      <c r="I2544" s="2" t="s">
        <v>1651</v>
      </c>
      <c r="J2544" s="2" t="s">
        <v>1652</v>
      </c>
      <c r="L2544" s="2" t="s">
        <v>112</v>
      </c>
      <c r="M2544" s="2" t="s">
        <v>40</v>
      </c>
      <c r="O2544" s="2" t="s">
        <v>2184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1650</v>
      </c>
      <c r="E2545" s="2" t="s">
        <v>38</v>
      </c>
      <c r="F2545" s="2" t="s">
        <v>39</v>
      </c>
      <c r="H2545" s="2" t="s">
        <v>41</v>
      </c>
      <c r="I2545" s="2" t="s">
        <v>1651</v>
      </c>
      <c r="J2545" s="2" t="s">
        <v>1652</v>
      </c>
      <c r="L2545" s="2" t="s">
        <v>112</v>
      </c>
      <c r="M2545" s="2" t="s">
        <v>40</v>
      </c>
      <c r="O2545" s="2" t="s">
        <v>2184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2185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2185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3440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2186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3464</v>
      </c>
      <c r="AB2548" s="2" t="s">
        <v>3465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1435</v>
      </c>
      <c r="R2549" s="2" t="s">
        <v>1436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3225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3323</v>
      </c>
      <c r="D2550" s="2" t="s">
        <v>2187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2188</v>
      </c>
      <c r="R2550" s="2" t="s">
        <v>2189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3323</v>
      </c>
      <c r="D2551" s="2" t="s">
        <v>2187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3323</v>
      </c>
      <c r="D2552" s="2" t="s">
        <v>2187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3228</v>
      </c>
      <c r="Q2552" s="2" t="s">
        <v>1881</v>
      </c>
      <c r="R2552" s="2" t="s">
        <v>1882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3228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2190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3225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2190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1311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1312</v>
      </c>
      <c r="L2555" s="2" t="s">
        <v>177</v>
      </c>
      <c r="M2555" s="2" t="s">
        <v>40</v>
      </c>
      <c r="O2555" s="2" t="s">
        <v>2191</v>
      </c>
      <c r="P2555" s="2" t="s">
        <v>114</v>
      </c>
      <c r="Q2555" s="2" t="s">
        <v>2192</v>
      </c>
      <c r="R2555" s="2" t="s">
        <v>2193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1311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1312</v>
      </c>
      <c r="L2556" s="2" t="s">
        <v>177</v>
      </c>
      <c r="M2556" s="2" t="s">
        <v>41</v>
      </c>
      <c r="O2556" s="2" t="s">
        <v>2191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3225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1311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1312</v>
      </c>
      <c r="L2557" s="2" t="s">
        <v>177</v>
      </c>
      <c r="M2557" s="2" t="s">
        <v>41</v>
      </c>
      <c r="O2557" s="2" t="s">
        <v>2194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3225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1311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1312</v>
      </c>
      <c r="L2558" s="2" t="s">
        <v>177</v>
      </c>
      <c r="M2558" s="2" t="s">
        <v>41</v>
      </c>
      <c r="O2558" s="2" t="s">
        <v>2194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3225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1311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1312</v>
      </c>
      <c r="L2559" s="2" t="s">
        <v>177</v>
      </c>
      <c r="M2559" s="2" t="s">
        <v>41</v>
      </c>
      <c r="O2559" s="2" t="s">
        <v>2194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3225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1311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1312</v>
      </c>
      <c r="L2560" s="2" t="s">
        <v>177</v>
      </c>
      <c r="M2560" s="2" t="s">
        <v>41</v>
      </c>
      <c r="O2560" s="2" t="s">
        <v>2194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3225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1311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1312</v>
      </c>
      <c r="L2561" s="2" t="s">
        <v>177</v>
      </c>
      <c r="M2561" s="2" t="s">
        <v>41</v>
      </c>
      <c r="O2561" s="2" t="s">
        <v>2191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3225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2195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2195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2195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2081</v>
      </c>
      <c r="P2565" s="2" t="s">
        <v>1038</v>
      </c>
      <c r="Q2565" s="2" t="s">
        <v>2196</v>
      </c>
      <c r="R2565" s="2" t="s">
        <v>2197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3225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2081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2081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3225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3225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3225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3225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3225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3225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2198</v>
      </c>
      <c r="L2573" s="2" t="s">
        <v>99</v>
      </c>
      <c r="M2573" s="2" t="s">
        <v>80</v>
      </c>
      <c r="O2573" s="2" t="s">
        <v>2199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3225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3225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3225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1857</v>
      </c>
      <c r="E2576" s="2" t="s">
        <v>108</v>
      </c>
      <c r="G2576" s="2">
        <v>515549134</v>
      </c>
      <c r="H2576" s="2" t="s">
        <v>41</v>
      </c>
      <c r="I2576" s="2" t="s">
        <v>1858</v>
      </c>
      <c r="J2576" s="2" t="s">
        <v>1859</v>
      </c>
      <c r="L2576" s="2" t="s">
        <v>177</v>
      </c>
      <c r="M2576" s="2" t="s">
        <v>41</v>
      </c>
      <c r="O2576" s="2" t="s">
        <v>2200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3225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1857</v>
      </c>
      <c r="E2577" s="2" t="s">
        <v>108</v>
      </c>
      <c r="G2577" s="2">
        <v>515549134</v>
      </c>
      <c r="H2577" s="2" t="s">
        <v>41</v>
      </c>
      <c r="I2577" s="2" t="s">
        <v>1858</v>
      </c>
      <c r="J2577" s="2" t="s">
        <v>1859</v>
      </c>
      <c r="L2577" s="2" t="s">
        <v>177</v>
      </c>
      <c r="M2577" s="2" t="s">
        <v>41</v>
      </c>
      <c r="O2577" s="2" t="s">
        <v>2200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3225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1857</v>
      </c>
      <c r="E2578" s="2" t="s">
        <v>108</v>
      </c>
      <c r="G2578" s="2">
        <v>515549134</v>
      </c>
      <c r="H2578" s="2" t="s">
        <v>41</v>
      </c>
      <c r="I2578" s="2" t="s">
        <v>1858</v>
      </c>
      <c r="J2578" s="2" t="s">
        <v>1859</v>
      </c>
      <c r="L2578" s="2" t="s">
        <v>177</v>
      </c>
      <c r="M2578" s="2" t="s">
        <v>41</v>
      </c>
      <c r="O2578" s="2" t="s">
        <v>2200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3225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1857</v>
      </c>
      <c r="E2579" s="2" t="s">
        <v>108</v>
      </c>
      <c r="G2579" s="2">
        <v>515549134</v>
      </c>
      <c r="H2579" s="2" t="s">
        <v>41</v>
      </c>
      <c r="I2579" s="2" t="s">
        <v>1858</v>
      </c>
      <c r="J2579" s="2" t="s">
        <v>1859</v>
      </c>
      <c r="L2579" s="2" t="s">
        <v>177</v>
      </c>
      <c r="M2579" s="2" t="s">
        <v>41</v>
      </c>
      <c r="O2579" s="2" t="s">
        <v>2201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3225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2202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2203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3225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2203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2204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2204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2204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3377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2205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3225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2205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3225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2206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2206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2206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3377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2207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2207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2207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3377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2208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3225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2208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3225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2209</v>
      </c>
      <c r="P2597" s="2" t="s">
        <v>114</v>
      </c>
      <c r="Q2597" s="2" t="s">
        <v>2210</v>
      </c>
      <c r="R2597" s="2" t="s">
        <v>2211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3225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3225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2212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3225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2212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3225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1485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3377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2213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3225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2213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3225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1488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3484</v>
      </c>
      <c r="D2607" s="2" t="s">
        <v>3483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1577</v>
      </c>
      <c r="R2607" s="2" t="s">
        <v>1578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3484</v>
      </c>
      <c r="D2608" s="2" t="s">
        <v>3483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1307</v>
      </c>
      <c r="R2608" s="2" t="s">
        <v>1308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2110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3377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2214</v>
      </c>
      <c r="P2610" s="2" t="s">
        <v>114</v>
      </c>
      <c r="Q2610" s="2" t="s">
        <v>2215</v>
      </c>
      <c r="R2610" s="2" t="s">
        <v>1428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2216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2217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2216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3225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2217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2217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3225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3225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2218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3225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2218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3225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2219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3225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2219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3225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1758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2220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3408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2221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2539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3225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3225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3225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3225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3225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3225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3225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3225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2222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3225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2222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3225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2223</v>
      </c>
      <c r="P2635" s="2" t="s">
        <v>114</v>
      </c>
      <c r="Q2635" s="2" t="s">
        <v>2224</v>
      </c>
      <c r="R2635" s="2" t="s">
        <v>2225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2226</v>
      </c>
      <c r="R2636" s="2" t="s">
        <v>2227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3377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M2641" s="2" t="s">
        <v>80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3225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M2642" s="2" t="s">
        <v>80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3225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2228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3225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2229</v>
      </c>
      <c r="M2644" s="2" t="s">
        <v>40</v>
      </c>
      <c r="P2644" s="2" t="s">
        <v>114</v>
      </c>
      <c r="Q2644" s="2" t="s">
        <v>1290</v>
      </c>
      <c r="R2644" s="2" t="s">
        <v>1291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2230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3377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3225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3225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1694</v>
      </c>
      <c r="P2648" s="2" t="s">
        <v>282</v>
      </c>
      <c r="Q2648" s="2" t="s">
        <v>1251</v>
      </c>
      <c r="R2648" s="2" t="s">
        <v>1252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2130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2130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3408</v>
      </c>
      <c r="D2651" s="2" t="s">
        <v>1787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3472</v>
      </c>
      <c r="D2652" s="2" t="s">
        <v>1787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3408</v>
      </c>
      <c r="D2653" s="2" t="s">
        <v>1787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3438</v>
      </c>
      <c r="D2654" s="2" t="s">
        <v>1886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3225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3225</v>
      </c>
      <c r="AA2655" s="2" t="s">
        <v>46</v>
      </c>
      <c r="AB2655" s="2" t="s">
        <v>60</v>
      </c>
      <c r="AC2655" s="2" t="s">
        <v>3329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3225</v>
      </c>
      <c r="AA2656" s="2" t="s">
        <v>46</v>
      </c>
      <c r="AB2656" s="2" t="s">
        <v>60</v>
      </c>
      <c r="AC2656" s="2" t="s">
        <v>3329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2475</v>
      </c>
      <c r="J2657" s="2" t="s">
        <v>3121</v>
      </c>
      <c r="K2657" s="2">
        <v>965864665</v>
      </c>
      <c r="L2657" s="2" t="s">
        <v>344</v>
      </c>
      <c r="M2657" s="2" t="s">
        <v>80</v>
      </c>
      <c r="O2657" s="2" t="s">
        <v>3123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3225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2475</v>
      </c>
      <c r="J2658" s="2" t="s">
        <v>3121</v>
      </c>
      <c r="K2658" s="2">
        <v>965864665</v>
      </c>
      <c r="L2658" s="2" t="s">
        <v>344</v>
      </c>
      <c r="M2658" s="2" t="s">
        <v>80</v>
      </c>
      <c r="O2658" s="2" t="s">
        <v>3123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3225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3127</v>
      </c>
      <c r="K2659" s="2">
        <v>962555043</v>
      </c>
      <c r="L2659" s="2" t="s">
        <v>344</v>
      </c>
      <c r="M2659" s="2" t="s">
        <v>40</v>
      </c>
      <c r="O2659" s="2" t="s">
        <v>3129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3127</v>
      </c>
      <c r="K2660" s="2">
        <v>962555043</v>
      </c>
      <c r="L2660" s="2" t="s">
        <v>344</v>
      </c>
      <c r="M2660" s="2" t="s">
        <v>40</v>
      </c>
      <c r="O2660" s="2" t="s">
        <v>3129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2231</v>
      </c>
      <c r="P2661" s="2" t="s">
        <v>114</v>
      </c>
      <c r="Q2661" s="2" t="s">
        <v>2224</v>
      </c>
      <c r="R2661" s="2" t="s">
        <v>2225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2537</v>
      </c>
      <c r="L2663" s="2" t="s">
        <v>99</v>
      </c>
      <c r="M2663" s="2" t="s">
        <v>80</v>
      </c>
      <c r="P2663" s="2" t="s">
        <v>43</v>
      </c>
      <c r="Q2663" s="2" t="s">
        <v>2232</v>
      </c>
      <c r="R2663" s="2" t="s">
        <v>2233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3225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2537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3225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2234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3225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2234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3225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1794</v>
      </c>
      <c r="P2667" s="2" t="s">
        <v>3228</v>
      </c>
      <c r="Q2667" s="2" t="s">
        <v>1785</v>
      </c>
      <c r="R2667" s="2" t="s">
        <v>1786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3228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2235</v>
      </c>
      <c r="P2668" s="2" t="s">
        <v>3228</v>
      </c>
      <c r="Q2668" s="2" t="s">
        <v>1785</v>
      </c>
      <c r="R2668" s="2" t="s">
        <v>1786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3228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3484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3225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3484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3225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2236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3225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2236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3225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1563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3225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1563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3225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3377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1564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1564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3377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1331</v>
      </c>
      <c r="R2683" s="2" t="s">
        <v>1332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3377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2237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3225</v>
      </c>
      <c r="AA2688" s="2" t="s">
        <v>46</v>
      </c>
      <c r="AB2688" s="2" t="s">
        <v>60</v>
      </c>
      <c r="AC2688" s="2" t="s">
        <v>3329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3472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3225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3472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3225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3472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3225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3472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3225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3472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3225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1572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2238</v>
      </c>
      <c r="R2694" s="2" t="s">
        <v>2239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1573</v>
      </c>
      <c r="AB2694" s="2" t="s">
        <v>388</v>
      </c>
      <c r="AC2694" s="2" t="s">
        <v>1326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3438</v>
      </c>
      <c r="D2695" s="2" t="s">
        <v>3300</v>
      </c>
      <c r="E2695" s="2" t="s">
        <v>108</v>
      </c>
      <c r="F2695" s="2" t="s">
        <v>477</v>
      </c>
      <c r="L2695" s="2" t="s">
        <v>461</v>
      </c>
      <c r="M2695" s="2" t="s">
        <v>3490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3408</v>
      </c>
      <c r="D2696" s="2" t="s">
        <v>3456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1193</v>
      </c>
      <c r="Q2696" s="2" t="s">
        <v>2240</v>
      </c>
      <c r="R2696" s="2" t="s">
        <v>2241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1198</v>
      </c>
      <c r="AB2696" s="2" t="s">
        <v>119</v>
      </c>
      <c r="AC2696" s="2" t="s">
        <v>1193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2242</v>
      </c>
      <c r="P2698" s="2" t="s">
        <v>72</v>
      </c>
      <c r="Q2698" s="2" t="s">
        <v>1389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3225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2242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3225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3146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3225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2243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3225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2243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3225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3472</v>
      </c>
      <c r="D2704" s="2" t="s">
        <v>1254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2710</v>
      </c>
      <c r="J2704" s="2" t="s">
        <v>2711</v>
      </c>
      <c r="K2704" s="2">
        <v>935047029</v>
      </c>
      <c r="L2704" s="2" t="s">
        <v>446</v>
      </c>
      <c r="M2704" s="2" t="s">
        <v>80</v>
      </c>
      <c r="O2704" s="2" t="s">
        <v>3164</v>
      </c>
      <c r="P2704" s="2" t="s">
        <v>1038</v>
      </c>
      <c r="Q2704" s="2" t="s">
        <v>2244</v>
      </c>
      <c r="R2704" s="2" t="s">
        <v>2245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3225</v>
      </c>
      <c r="AA2704" s="2" t="s">
        <v>1041</v>
      </c>
      <c r="AB2704" s="2" t="s">
        <v>2246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2247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3225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2247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3225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2248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2248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2248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3377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1396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3215</v>
      </c>
      <c r="J2711" s="2" t="s">
        <v>3214</v>
      </c>
      <c r="K2711" s="2">
        <v>913814877</v>
      </c>
      <c r="L2711" s="2" t="s">
        <v>201</v>
      </c>
      <c r="M2711" s="2" t="s">
        <v>80</v>
      </c>
      <c r="O2711" s="2" t="s">
        <v>3208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3225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1396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3215</v>
      </c>
      <c r="J2712" s="2" t="s">
        <v>3214</v>
      </c>
      <c r="K2712" s="2">
        <v>913814877</v>
      </c>
      <c r="L2712" s="2" t="s">
        <v>201</v>
      </c>
      <c r="M2712" s="2" t="s">
        <v>80</v>
      </c>
      <c r="O2712" s="2" t="s">
        <v>3208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3484</v>
      </c>
      <c r="D2713" s="2" t="s">
        <v>850</v>
      </c>
      <c r="E2713" s="2" t="s">
        <v>183</v>
      </c>
      <c r="F2713" s="2" t="s">
        <v>3528</v>
      </c>
      <c r="L2713" s="2" t="s">
        <v>293</v>
      </c>
      <c r="M2713" s="2" t="s">
        <v>80</v>
      </c>
      <c r="P2713" s="2" t="s">
        <v>72</v>
      </c>
      <c r="Q2713" s="2" t="s">
        <v>2249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3225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3484</v>
      </c>
      <c r="D2714" s="2" t="s">
        <v>850</v>
      </c>
      <c r="E2714" s="2" t="s">
        <v>183</v>
      </c>
      <c r="F2714" s="2" t="s">
        <v>3528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3225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2250</v>
      </c>
      <c r="P2715" s="2" t="s">
        <v>282</v>
      </c>
      <c r="Q2715" s="2" t="s">
        <v>2251</v>
      </c>
      <c r="R2715" s="2" t="s">
        <v>2252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3225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2250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3225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2250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3225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2250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3225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2253</v>
      </c>
      <c r="P2719" s="2" t="s">
        <v>72</v>
      </c>
      <c r="Q2719" s="2" t="s">
        <v>1447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3225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2254</v>
      </c>
      <c r="P2720" s="2" t="s">
        <v>72</v>
      </c>
      <c r="Q2720" s="2" t="s">
        <v>2255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3225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2256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3225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2257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2258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3225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2258</v>
      </c>
      <c r="P2724" s="2" t="s">
        <v>282</v>
      </c>
      <c r="Q2724" s="2" t="s">
        <v>2232</v>
      </c>
      <c r="R2724" s="2" t="s">
        <v>2233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3225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2258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2259</v>
      </c>
      <c r="J2725" s="2" t="s">
        <v>2260</v>
      </c>
      <c r="L2725" s="2" t="s">
        <v>418</v>
      </c>
      <c r="M2725" s="2" t="s">
        <v>41</v>
      </c>
      <c r="O2725" s="2" t="s">
        <v>2261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3225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2258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2259</v>
      </c>
      <c r="J2726" s="2" t="s">
        <v>2260</v>
      </c>
      <c r="L2726" s="2" t="s">
        <v>418</v>
      </c>
      <c r="M2726" s="2" t="s">
        <v>41</v>
      </c>
      <c r="O2726" s="2" t="s">
        <v>2261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3225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2258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2259</v>
      </c>
      <c r="J2727" s="2" t="s">
        <v>2260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3225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2258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2259</v>
      </c>
      <c r="J2728" s="2" t="s">
        <v>2260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3225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2258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2259</v>
      </c>
      <c r="J2729" s="2" t="s">
        <v>2260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3225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1553</v>
      </c>
      <c r="J2730" s="2" t="s">
        <v>1823</v>
      </c>
      <c r="L2730" s="2" t="s">
        <v>177</v>
      </c>
      <c r="P2730" s="2" t="s">
        <v>282</v>
      </c>
      <c r="Q2730" s="2" t="s">
        <v>1535</v>
      </c>
      <c r="R2730" s="2" t="s">
        <v>1536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3225</v>
      </c>
      <c r="AA2730" s="2" t="s">
        <v>155</v>
      </c>
      <c r="AB2730" s="2" t="s">
        <v>3400</v>
      </c>
      <c r="AC2730" s="2" t="s">
        <v>1326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1553</v>
      </c>
      <c r="J2731" s="2" t="s">
        <v>1823</v>
      </c>
      <c r="L2731" s="2" t="s">
        <v>177</v>
      </c>
      <c r="P2731" s="2" t="s">
        <v>282</v>
      </c>
      <c r="Q2731" s="2" t="s">
        <v>2262</v>
      </c>
      <c r="R2731" s="2" t="s">
        <v>2263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3225</v>
      </c>
      <c r="AA2731" s="2" t="s">
        <v>155</v>
      </c>
      <c r="AB2731" s="2" t="s">
        <v>3400</v>
      </c>
      <c r="AC2731" s="2" t="s">
        <v>1326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1553</v>
      </c>
      <c r="J2732" s="2" t="s">
        <v>1823</v>
      </c>
      <c r="L2732" s="2" t="s">
        <v>177</v>
      </c>
      <c r="P2732" s="2" t="s">
        <v>282</v>
      </c>
      <c r="Q2732" s="2" t="s">
        <v>1780</v>
      </c>
      <c r="R2732" s="2" t="s">
        <v>1781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3225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1553</v>
      </c>
      <c r="J2733" s="2" t="s">
        <v>1823</v>
      </c>
      <c r="L2733" s="2" t="s">
        <v>177</v>
      </c>
      <c r="P2733" s="2" t="s">
        <v>282</v>
      </c>
      <c r="Q2733" s="2" t="s">
        <v>1782</v>
      </c>
      <c r="R2733" s="2" t="s">
        <v>1781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3225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3472</v>
      </c>
      <c r="D2734" s="2" t="s">
        <v>2048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2778</v>
      </c>
      <c r="J2734" s="2" t="s">
        <v>2819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3472</v>
      </c>
      <c r="D2735" s="2" t="s">
        <v>2048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2778</v>
      </c>
      <c r="J2735" s="2" t="s">
        <v>2819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3472</v>
      </c>
      <c r="D2736" s="2" t="s">
        <v>2048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2778</v>
      </c>
      <c r="J2736" s="2" t="s">
        <v>2819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3377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3225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3225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2264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2265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3225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2265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3225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2266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2266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2267</v>
      </c>
      <c r="P2745" s="2" t="s">
        <v>114</v>
      </c>
      <c r="Q2745" s="2" t="s">
        <v>2268</v>
      </c>
      <c r="R2745" s="2" t="s">
        <v>2269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2270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3225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2270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3225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2271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2271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2271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3377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1289</v>
      </c>
      <c r="P2751" s="2" t="s">
        <v>114</v>
      </c>
      <c r="Q2751" s="2" t="s">
        <v>2272</v>
      </c>
      <c r="R2751" s="2" t="s">
        <v>2273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W2751" s="2">
        <f>4.6858*S2751</f>
        <v>14.057400000000001</v>
      </c>
      <c r="X2751" s="5">
        <f t="shared" si="413"/>
        <v>0.40485182049110918</v>
      </c>
      <c r="Z2751" s="2" t="s">
        <v>117</v>
      </c>
      <c r="AA2751" s="2" t="s">
        <v>118</v>
      </c>
      <c r="AB2751" s="2" t="s">
        <v>119</v>
      </c>
      <c r="AC2751" s="2" t="s">
        <v>114</v>
      </c>
      <c r="AF2751" s="2">
        <f t="shared" si="408"/>
        <v>0</v>
      </c>
      <c r="AJ2751" s="2">
        <f t="shared" si="409"/>
        <v>0</v>
      </c>
      <c r="AK2751" s="2">
        <f t="shared" si="410"/>
        <v>9.5625999999999998</v>
      </c>
      <c r="AL2751" s="5">
        <f t="shared" si="412"/>
        <v>0.40485182049110918</v>
      </c>
    </row>
    <row r="2752" spans="1:38" x14ac:dyDescent="0.2">
      <c r="A2752" s="2">
        <v>2025</v>
      </c>
      <c r="B2752" s="2">
        <v>9</v>
      </c>
      <c r="D2752" s="2" t="s">
        <v>1289</v>
      </c>
      <c r="M2752" s="2" t="s">
        <v>40</v>
      </c>
      <c r="P2752" s="2" t="s">
        <v>114</v>
      </c>
      <c r="Q2752" s="2" t="s">
        <v>1688</v>
      </c>
      <c r="R2752" s="2" t="s">
        <v>1689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Z2752" s="2" t="s">
        <v>117</v>
      </c>
      <c r="AA2752" s="2" t="s">
        <v>118</v>
      </c>
      <c r="AB2752" s="2" t="s">
        <v>119</v>
      </c>
      <c r="AC2752" s="2" t="s">
        <v>114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1289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3225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1289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1289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1289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3225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2274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3225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2274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3408</v>
      </c>
      <c r="D2759" s="2" t="s">
        <v>1942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3225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3438</v>
      </c>
      <c r="D2761" s="2" t="s">
        <v>2275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2276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3225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3225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3225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1919</v>
      </c>
      <c r="R2765" s="2" t="s">
        <v>1920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3225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3225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3225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3225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3225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2277</v>
      </c>
      <c r="R2771" s="2" t="s">
        <v>2278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3225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3225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2066</v>
      </c>
      <c r="R2773" s="2" t="s">
        <v>2067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3225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2279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3225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2279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3225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2279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3225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2279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3225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2279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3225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2279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3225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2279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3225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2279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3225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2279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3225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2279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3225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2279</v>
      </c>
      <c r="P2784" s="2" t="s">
        <v>43</v>
      </c>
      <c r="Q2784" s="2" t="s">
        <v>1430</v>
      </c>
      <c r="R2784" s="2" t="s">
        <v>1431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3225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1294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1295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3225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1294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1295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3225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1434</v>
      </c>
      <c r="P2787" s="2" t="s">
        <v>114</v>
      </c>
      <c r="Q2787" s="2" t="s">
        <v>2280</v>
      </c>
      <c r="R2787" s="2" t="s">
        <v>2281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3225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3225</v>
      </c>
      <c r="AA2789" s="2" t="s">
        <v>46</v>
      </c>
      <c r="AB2789" s="2" t="s">
        <v>60</v>
      </c>
      <c r="AC2789" s="2" t="s">
        <v>3329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1362</v>
      </c>
      <c r="R2790" s="2" t="s">
        <v>1363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3225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3225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3225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3225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3225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3225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3225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3225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3225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2282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2282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2283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3225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2283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3225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1438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1438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2190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3225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2190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3225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1311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1312</v>
      </c>
      <c r="L2808" s="2" t="s">
        <v>177</v>
      </c>
      <c r="M2808" s="2" t="s">
        <v>41</v>
      </c>
      <c r="O2808" s="2" t="s">
        <v>2284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3225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1622</v>
      </c>
      <c r="J2809" s="2" t="s">
        <v>3168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1622</v>
      </c>
      <c r="J2810" s="2" t="s">
        <v>3168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2285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2285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3225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3225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3225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3225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3225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3225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2286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2287</v>
      </c>
      <c r="L2819" s="2" t="s">
        <v>201</v>
      </c>
      <c r="M2819" s="2" t="s">
        <v>40</v>
      </c>
      <c r="O2819" s="2" t="s">
        <v>2288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2286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2287</v>
      </c>
      <c r="L2820" s="2" t="s">
        <v>201</v>
      </c>
      <c r="M2820" s="2" t="s">
        <v>40</v>
      </c>
      <c r="O2820" s="2" t="s">
        <v>2288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2289</v>
      </c>
      <c r="E2821" s="2" t="s">
        <v>38</v>
      </c>
      <c r="G2821" s="2">
        <v>509800696</v>
      </c>
      <c r="H2821" s="2" t="s">
        <v>290</v>
      </c>
      <c r="I2821" s="2" t="s">
        <v>2290</v>
      </c>
      <c r="J2821" s="2" t="s">
        <v>2291</v>
      </c>
      <c r="K2821" s="2">
        <v>930444437</v>
      </c>
      <c r="L2821" s="2" t="s">
        <v>2290</v>
      </c>
      <c r="M2821" s="2" t="s">
        <v>40</v>
      </c>
      <c r="O2821" s="2" t="s">
        <v>2292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2289</v>
      </c>
      <c r="E2822" s="2" t="s">
        <v>38</v>
      </c>
      <c r="G2822" s="2">
        <v>509800696</v>
      </c>
      <c r="H2822" s="2" t="s">
        <v>290</v>
      </c>
      <c r="I2822" s="2" t="s">
        <v>2290</v>
      </c>
      <c r="J2822" s="2" t="s">
        <v>2291</v>
      </c>
      <c r="K2822" s="2">
        <v>930444437</v>
      </c>
      <c r="L2822" s="2" t="s">
        <v>2290</v>
      </c>
      <c r="M2822" s="2" t="s">
        <v>40</v>
      </c>
      <c r="O2822" s="2" t="s">
        <v>2292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2293</v>
      </c>
      <c r="J2823" s="2" t="s">
        <v>2294</v>
      </c>
      <c r="K2823" s="2">
        <v>965790183</v>
      </c>
      <c r="L2823" s="2" t="s">
        <v>177</v>
      </c>
      <c r="M2823" s="2" t="s">
        <v>40</v>
      </c>
      <c r="O2823" s="2" t="s">
        <v>2295</v>
      </c>
      <c r="P2823" s="2" t="s">
        <v>114</v>
      </c>
      <c r="Q2823" s="2" t="s">
        <v>2296</v>
      </c>
      <c r="R2823" s="2" t="s">
        <v>2297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2298</v>
      </c>
      <c r="P2824" s="2" t="s">
        <v>114</v>
      </c>
      <c r="Q2824" s="2" t="s">
        <v>1373</v>
      </c>
      <c r="R2824" s="2" t="s">
        <v>1374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2298</v>
      </c>
      <c r="P2825" s="2" t="s">
        <v>114</v>
      </c>
      <c r="Q2825" s="2" t="s">
        <v>2226</v>
      </c>
      <c r="R2825" s="2" t="s">
        <v>2227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2299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2300</v>
      </c>
      <c r="P2827" s="2" t="s">
        <v>114</v>
      </c>
      <c r="Q2827" s="2" t="s">
        <v>1513</v>
      </c>
      <c r="R2827" s="2" t="s">
        <v>1514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1659</v>
      </c>
      <c r="G2828" s="2">
        <v>510222340</v>
      </c>
      <c r="I2828" s="2" t="s">
        <v>2301</v>
      </c>
      <c r="L2828" s="2" t="s">
        <v>344</v>
      </c>
      <c r="M2828" s="2" t="s">
        <v>40</v>
      </c>
      <c r="O2828" s="2" t="s">
        <v>2302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2303</v>
      </c>
      <c r="P2829" s="2" t="s">
        <v>114</v>
      </c>
      <c r="Q2829" s="2" t="s">
        <v>2304</v>
      </c>
      <c r="R2829" s="2" t="s">
        <v>2305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2303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1581</v>
      </c>
      <c r="G2831" s="2">
        <v>504855395</v>
      </c>
      <c r="M2831" s="2" t="s">
        <v>40</v>
      </c>
      <c r="O2831" s="2" t="s">
        <v>2306</v>
      </c>
      <c r="P2831" s="2" t="s">
        <v>114</v>
      </c>
      <c r="Q2831" s="2" t="s">
        <v>2307</v>
      </c>
      <c r="R2831" s="2" t="s">
        <v>2308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1581</v>
      </c>
      <c r="M2832" s="2" t="s">
        <v>40</v>
      </c>
      <c r="O2832" s="2" t="s">
        <v>2306</v>
      </c>
      <c r="P2832" s="2" t="s">
        <v>114</v>
      </c>
      <c r="Q2832" s="2" t="s">
        <v>2309</v>
      </c>
      <c r="R2832" s="2" t="s">
        <v>2310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2311</v>
      </c>
      <c r="E2833" s="2" t="s">
        <v>38</v>
      </c>
      <c r="G2833" s="2">
        <v>169582760</v>
      </c>
      <c r="H2833" s="2" t="s">
        <v>290</v>
      </c>
      <c r="I2833" s="2" t="s">
        <v>2312</v>
      </c>
      <c r="J2833" s="2" t="s">
        <v>2313</v>
      </c>
      <c r="L2833" s="2" t="s">
        <v>2290</v>
      </c>
      <c r="M2833" s="2" t="s">
        <v>40</v>
      </c>
      <c r="O2833" s="2" t="s">
        <v>2314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2300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2315</v>
      </c>
      <c r="P2835" s="2" t="s">
        <v>114</v>
      </c>
      <c r="Q2835" s="2" t="s">
        <v>2316</v>
      </c>
      <c r="R2835" s="2" t="s">
        <v>2317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3449</v>
      </c>
      <c r="D2836" s="2" t="s">
        <v>2318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2319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1289</v>
      </c>
      <c r="I2837" s="2" t="s">
        <v>2320</v>
      </c>
      <c r="M2837" s="2" t="s">
        <v>40</v>
      </c>
      <c r="O2837" s="2" t="s">
        <v>2321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1876</v>
      </c>
      <c r="M2838" s="2" t="s">
        <v>40</v>
      </c>
      <c r="O2838" s="2" t="s">
        <v>2322</v>
      </c>
      <c r="P2838" s="2" t="s">
        <v>114</v>
      </c>
      <c r="Q2838" s="2" t="s">
        <v>1412</v>
      </c>
      <c r="R2838" s="2" t="s">
        <v>1413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2323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2230</v>
      </c>
      <c r="M2840" s="2" t="s">
        <v>40</v>
      </c>
      <c r="O2840" s="2" t="s">
        <v>2324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2325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2326</v>
      </c>
      <c r="I2842" s="2" t="s">
        <v>804</v>
      </c>
      <c r="L2842" s="2" t="s">
        <v>99</v>
      </c>
      <c r="M2842" s="2" t="s">
        <v>40</v>
      </c>
      <c r="O2842" s="2" t="s">
        <v>2327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1289</v>
      </c>
      <c r="M2843" s="2" t="s">
        <v>40</v>
      </c>
      <c r="O2843" s="2" t="s">
        <v>2328</v>
      </c>
      <c r="P2843" s="2" t="s">
        <v>114</v>
      </c>
      <c r="Q2843" s="2" t="s">
        <v>2329</v>
      </c>
      <c r="R2843" s="2" t="s">
        <v>2330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2331</v>
      </c>
      <c r="P2844" s="2" t="s">
        <v>114</v>
      </c>
      <c r="Q2844" s="2" t="s">
        <v>1654</v>
      </c>
      <c r="R2844" s="2" t="s">
        <v>1655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1876</v>
      </c>
      <c r="M2845" s="2" t="s">
        <v>40</v>
      </c>
      <c r="O2845" s="2" t="s">
        <v>2322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2332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2333</v>
      </c>
      <c r="M2847" s="2" t="s">
        <v>41</v>
      </c>
      <c r="P2847" s="2" t="s">
        <v>114</v>
      </c>
      <c r="Q2847" s="2" t="s">
        <v>2334</v>
      </c>
      <c r="R2847" s="2" t="s">
        <v>2335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3324</v>
      </c>
      <c r="D2848" s="2" t="s">
        <v>1621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1622</v>
      </c>
      <c r="J2848" s="2" t="s">
        <v>1623</v>
      </c>
      <c r="L2848" s="2" t="s">
        <v>293</v>
      </c>
      <c r="M2848" s="2" t="s">
        <v>40</v>
      </c>
      <c r="O2848" s="2" t="s">
        <v>2336</v>
      </c>
      <c r="P2848" s="2" t="s">
        <v>114</v>
      </c>
      <c r="Q2848" s="2" t="s">
        <v>1470</v>
      </c>
      <c r="R2848" s="2" t="s">
        <v>1471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3324</v>
      </c>
      <c r="D2849" s="2" t="s">
        <v>2337</v>
      </c>
      <c r="E2849" s="2" t="s">
        <v>38</v>
      </c>
      <c r="F2849" s="2" t="s">
        <v>39</v>
      </c>
      <c r="L2849" s="2" t="s">
        <v>2290</v>
      </c>
      <c r="M2849" s="2" t="s">
        <v>40</v>
      </c>
      <c r="P2849" s="2" t="s">
        <v>114</v>
      </c>
      <c r="Q2849" s="2" t="s">
        <v>1470</v>
      </c>
      <c r="R2849" s="2" t="s">
        <v>1471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3449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1470</v>
      </c>
      <c r="R2850" s="2" t="s">
        <v>1471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2338</v>
      </c>
      <c r="R2851" s="2" t="s">
        <v>2339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2340</v>
      </c>
      <c r="R2852" s="2" t="s">
        <v>2341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1182</v>
      </c>
      <c r="R2853" s="2" t="s">
        <v>1183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3324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2342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3324</v>
      </c>
      <c r="D2855" s="2" t="s">
        <v>3325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2342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2343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2293</v>
      </c>
      <c r="J2857" s="2" t="s">
        <v>2294</v>
      </c>
      <c r="K2857" s="2">
        <v>965790183</v>
      </c>
      <c r="L2857" s="2" t="s">
        <v>177</v>
      </c>
      <c r="M2857" s="2" t="s">
        <v>41</v>
      </c>
      <c r="O2857" s="2" t="s">
        <v>2344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3298</v>
      </c>
      <c r="P2858" s="2" t="s">
        <v>2345</v>
      </c>
      <c r="Q2858" s="2" t="s">
        <v>2346</v>
      </c>
      <c r="R2858" s="2" t="s">
        <v>2347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2345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1552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1553</v>
      </c>
      <c r="J2859" s="2" t="s">
        <v>1554</v>
      </c>
      <c r="L2859" s="2" t="s">
        <v>99</v>
      </c>
      <c r="M2859" s="2" t="s">
        <v>41</v>
      </c>
      <c r="P2859" s="2" t="s">
        <v>2348</v>
      </c>
      <c r="Q2859" s="2" t="s">
        <v>2349</v>
      </c>
      <c r="R2859" s="2" t="s">
        <v>2350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2348</v>
      </c>
      <c r="AC2859" s="2" t="s">
        <v>2348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2351</v>
      </c>
      <c r="P2860" s="2" t="s">
        <v>282</v>
      </c>
      <c r="Q2860" s="2" t="s">
        <v>1509</v>
      </c>
      <c r="R2860" s="2" t="s">
        <v>1510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3225</v>
      </c>
      <c r="AA2860" s="2" t="s">
        <v>71</v>
      </c>
      <c r="AB2860" s="2" t="s">
        <v>1599</v>
      </c>
      <c r="AC2860" s="2" t="s">
        <v>1599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2352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2353</v>
      </c>
      <c r="P2861" s="2" t="s">
        <v>282</v>
      </c>
      <c r="Q2861" s="2" t="s">
        <v>2354</v>
      </c>
      <c r="R2861" s="2" t="s">
        <v>2355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3225</v>
      </c>
      <c r="AA2861" s="2" t="s">
        <v>71</v>
      </c>
      <c r="AB2861" s="2" t="s">
        <v>1599</v>
      </c>
      <c r="AC2861" s="2" t="s">
        <v>1599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2356</v>
      </c>
      <c r="E2862" s="2" t="s">
        <v>752</v>
      </c>
      <c r="G2862" s="2">
        <v>191221937</v>
      </c>
      <c r="H2862" s="2" t="s">
        <v>109</v>
      </c>
      <c r="I2862" s="2" t="s">
        <v>2357</v>
      </c>
      <c r="J2862" s="2" t="s">
        <v>2358</v>
      </c>
      <c r="L2862" s="2" t="s">
        <v>133</v>
      </c>
      <c r="M2862" s="2" t="s">
        <v>109</v>
      </c>
      <c r="P2862" s="2" t="s">
        <v>282</v>
      </c>
      <c r="Q2862" s="2" t="s">
        <v>1546</v>
      </c>
      <c r="R2862" s="2" t="s">
        <v>1547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3449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3267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3225</v>
      </c>
      <c r="AA2863" s="2" t="s">
        <v>46</v>
      </c>
      <c r="AB2863" s="2" t="s">
        <v>60</v>
      </c>
      <c r="AC2863" s="2" t="s">
        <v>3329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3225</v>
      </c>
      <c r="AA2864" s="2" t="s">
        <v>46</v>
      </c>
      <c r="AB2864" s="2" t="s">
        <v>60</v>
      </c>
      <c r="AC2864" s="2" t="s">
        <v>3329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1552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1553</v>
      </c>
      <c r="J2865" s="2" t="s">
        <v>1554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3225</v>
      </c>
      <c r="AA2865" s="2" t="s">
        <v>46</v>
      </c>
      <c r="AB2865" s="2" t="s">
        <v>60</v>
      </c>
      <c r="AC2865" s="2" t="s">
        <v>3329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3225</v>
      </c>
      <c r="AA2866" s="2" t="s">
        <v>46</v>
      </c>
      <c r="AB2866" s="2" t="s">
        <v>60</v>
      </c>
      <c r="AC2866" s="2" t="s">
        <v>3329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3324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3267</v>
      </c>
      <c r="M2867" s="2" t="s">
        <v>41</v>
      </c>
      <c r="O2867" s="2" t="s">
        <v>2359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3225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2360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3225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3471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3267</v>
      </c>
      <c r="M2869" s="2" t="s">
        <v>40</v>
      </c>
      <c r="O2869" s="2" t="s">
        <v>2361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3225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3471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3225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3225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3225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2363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2364</v>
      </c>
      <c r="J2873" s="2" t="s">
        <v>2365</v>
      </c>
      <c r="K2873" s="2">
        <v>963062174</v>
      </c>
      <c r="L2873" s="2" t="s">
        <v>418</v>
      </c>
      <c r="M2873" s="2" t="s">
        <v>41</v>
      </c>
      <c r="O2873" s="2" t="s">
        <v>2366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3225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1362</v>
      </c>
      <c r="R2874" s="2" t="s">
        <v>1363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3225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3225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3471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3267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3225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3225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3225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3225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3225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2367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3225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3225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3225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3225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3225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2367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3225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3225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3225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2367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3225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3225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3225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3225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3471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3267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3225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3471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3225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3225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2213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3225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1177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1178</v>
      </c>
      <c r="J2897" s="2" t="s">
        <v>1179</v>
      </c>
      <c r="L2897" s="2" t="s">
        <v>461</v>
      </c>
      <c r="M2897" s="2" t="s">
        <v>41</v>
      </c>
      <c r="O2897" s="2" t="s">
        <v>2368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3225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3225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3324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3225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3225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3225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2369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3225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3225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1396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3215</v>
      </c>
      <c r="J2904" s="2" t="s">
        <v>3214</v>
      </c>
      <c r="K2904" s="2">
        <v>913814877</v>
      </c>
      <c r="L2904" s="2" t="s">
        <v>201</v>
      </c>
      <c r="M2904" s="2" t="s">
        <v>80</v>
      </c>
      <c r="O2904" s="2" t="s">
        <v>3209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3225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2370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3225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3225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3471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3225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2371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3225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1311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1312</v>
      </c>
      <c r="L2909" s="2" t="s">
        <v>177</v>
      </c>
      <c r="M2909" s="2" t="s">
        <v>41</v>
      </c>
      <c r="O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3225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3225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2373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3225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3471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3267</v>
      </c>
      <c r="M2912" s="2" t="s">
        <v>41</v>
      </c>
      <c r="O2912" s="2" t="s">
        <v>2374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3225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2360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3225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2375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3225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3471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3267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3225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2352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2353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3225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2376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3225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3324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3225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3324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3225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3225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3225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3471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3225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2363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2364</v>
      </c>
      <c r="J2923" s="2" t="s">
        <v>2365</v>
      </c>
      <c r="K2923" s="2">
        <v>963062174</v>
      </c>
      <c r="L2923" s="2" t="s">
        <v>418</v>
      </c>
      <c r="M2923" s="2" t="s">
        <v>41</v>
      </c>
      <c r="O2923" s="2" t="s">
        <v>2366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3225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3225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3225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3225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2230</v>
      </c>
      <c r="P2927" s="2" t="s">
        <v>43</v>
      </c>
      <c r="Q2927" s="2" t="s">
        <v>2377</v>
      </c>
      <c r="R2927" s="2" t="s">
        <v>2378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3225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C2928" s="2" t="s">
        <v>3471</v>
      </c>
      <c r="D2928" s="2" t="s">
        <v>1589</v>
      </c>
      <c r="E2928" s="2" t="s">
        <v>38</v>
      </c>
      <c r="F2928" s="2" t="s">
        <v>39</v>
      </c>
      <c r="L2928" s="2" t="s">
        <v>571</v>
      </c>
      <c r="M2928" s="2" t="s">
        <v>3490</v>
      </c>
      <c r="P2928" s="2" t="s">
        <v>43</v>
      </c>
      <c r="Q2928" s="2" t="s">
        <v>2377</v>
      </c>
      <c r="R2928" s="2" t="s">
        <v>2378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>SIGN(T2928)*((ABS(T2928)-W2928)/ABS(T2928))</f>
        <v>-1</v>
      </c>
      <c r="Z2928" s="2" t="s">
        <v>3225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2379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3225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2379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3225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2367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3225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2371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3225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2213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3225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3324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3225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3225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2380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3225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3471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3228</v>
      </c>
      <c r="Q2937" s="2" t="s">
        <v>2381</v>
      </c>
      <c r="R2937" s="2" t="s">
        <v>2382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3228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1177</v>
      </c>
      <c r="E2938" s="2" t="s">
        <v>38</v>
      </c>
      <c r="G2938" s="2">
        <v>502089075</v>
      </c>
      <c r="H2938" s="2" t="s">
        <v>41</v>
      </c>
      <c r="I2938" s="2" t="s">
        <v>1178</v>
      </c>
      <c r="J2938" s="2" t="s">
        <v>1179</v>
      </c>
      <c r="L2938" s="2" t="s">
        <v>461</v>
      </c>
      <c r="M2938" s="2" t="s">
        <v>41</v>
      </c>
      <c r="O2938" s="2" t="s">
        <v>2383</v>
      </c>
      <c r="P2938" s="2" t="s">
        <v>166</v>
      </c>
      <c r="Q2938" s="2" t="s">
        <v>2384</v>
      </c>
      <c r="R2938" s="2" t="s">
        <v>2385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3225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3471</v>
      </c>
      <c r="D2939" s="2" t="s">
        <v>2386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2387</v>
      </c>
      <c r="R2939" s="2" t="s">
        <v>2388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3229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1515</v>
      </c>
      <c r="M2940" s="2" t="s">
        <v>109</v>
      </c>
      <c r="P2940" s="2" t="s">
        <v>68</v>
      </c>
      <c r="Q2940" s="2" t="s">
        <v>1516</v>
      </c>
      <c r="R2940" s="2" t="s">
        <v>1517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3229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3324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2389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3225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3225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3449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3225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3324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3225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3324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2391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3225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3324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3225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1592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1593</v>
      </c>
      <c r="J2947" s="2" t="s">
        <v>1594</v>
      </c>
      <c r="L2947" s="2" t="s">
        <v>201</v>
      </c>
      <c r="M2947" s="2" t="s">
        <v>80</v>
      </c>
      <c r="O2947" s="2" t="s">
        <v>2392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3225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1418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1271</v>
      </c>
      <c r="J2948" s="2" t="s">
        <v>2393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3225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2394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3225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3225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3471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3225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3225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2396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3225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3516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2397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3225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1941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2398</v>
      </c>
      <c r="J2955" s="2" t="s">
        <v>2399</v>
      </c>
      <c r="L2955" s="2" t="s">
        <v>201</v>
      </c>
      <c r="M2955" s="2" t="s">
        <v>41</v>
      </c>
      <c r="O2955" s="2" t="s">
        <v>2400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3225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3471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2401</v>
      </c>
      <c r="P2956" s="2" t="s">
        <v>72</v>
      </c>
      <c r="Q2956" s="2" t="s">
        <v>1389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3225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2007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3225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1552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1553</v>
      </c>
      <c r="J2958" s="2" t="s">
        <v>1554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3225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2402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3225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2390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2403</v>
      </c>
      <c r="J2960" s="2" t="s">
        <v>2404</v>
      </c>
      <c r="K2960" s="2">
        <v>919209638</v>
      </c>
      <c r="L2960" s="2" t="s">
        <v>293</v>
      </c>
      <c r="M2960" s="2" t="s">
        <v>80</v>
      </c>
      <c r="O2960" s="2" t="s">
        <v>2405</v>
      </c>
      <c r="P2960" s="2" t="s">
        <v>72</v>
      </c>
      <c r="Q2960" s="2" t="s">
        <v>2406</v>
      </c>
      <c r="R2960" s="2" t="s">
        <v>1415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3225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2407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3225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3324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1344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3225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1563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2408</v>
      </c>
      <c r="K2963" s="2">
        <v>968647685</v>
      </c>
      <c r="L2963" s="2" t="s">
        <v>398</v>
      </c>
      <c r="M2963" s="2" t="s">
        <v>109</v>
      </c>
      <c r="O2963" s="2" t="s">
        <v>2409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3225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1417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2410</v>
      </c>
      <c r="J2964" s="2" t="s">
        <v>2411</v>
      </c>
      <c r="L2964" s="2" t="s">
        <v>201</v>
      </c>
      <c r="M2964" s="2" t="s">
        <v>80</v>
      </c>
      <c r="O2964" s="2" t="s">
        <v>2412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3225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3324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2389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3225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3324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3225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3324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3225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3324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2413</v>
      </c>
      <c r="R2968" s="2" t="s">
        <v>2414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3225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2415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3225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3225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3324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1448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3225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2416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3225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3225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1375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3205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3225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1294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1295</v>
      </c>
      <c r="L2975" s="2" t="s">
        <v>339</v>
      </c>
      <c r="M2975" s="2" t="s">
        <v>80</v>
      </c>
      <c r="O2975" s="2" t="s">
        <v>2418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3225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3324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3195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3225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3324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2419</v>
      </c>
      <c r="L2977" s="2" t="s">
        <v>461</v>
      </c>
      <c r="M2977" s="2" t="s">
        <v>80</v>
      </c>
      <c r="O2977" s="2" t="s">
        <v>2420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3225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3324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3225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3516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3225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2421</v>
      </c>
      <c r="P2980" s="2" t="s">
        <v>72</v>
      </c>
      <c r="Q2980" s="2" t="s">
        <v>2422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3225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3324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2423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3225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2424</v>
      </c>
      <c r="P2982" s="2" t="s">
        <v>72</v>
      </c>
      <c r="Q2982" s="2" t="s">
        <v>1989</v>
      </c>
      <c r="R2982" s="2" t="s">
        <v>1415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3225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2425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3225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3225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1210</v>
      </c>
      <c r="R2985" s="2" t="s">
        <v>1211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3225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2426</v>
      </c>
      <c r="P2986" s="2" t="s">
        <v>84</v>
      </c>
      <c r="Q2986" s="2" t="s">
        <v>2427</v>
      </c>
      <c r="R2986" s="2" t="s">
        <v>2428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3225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3449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2429</v>
      </c>
      <c r="R2987" s="2" t="s">
        <v>2430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3225</v>
      </c>
      <c r="AA2987" s="2" t="s">
        <v>1041</v>
      </c>
      <c r="AB2987" s="2" t="s">
        <v>1269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2431</v>
      </c>
      <c r="M2988" s="2" t="s">
        <v>80</v>
      </c>
      <c r="P2988" s="2" t="s">
        <v>1038</v>
      </c>
      <c r="Q2988" s="2" t="s">
        <v>2432</v>
      </c>
      <c r="R2988" s="2" t="s">
        <v>2433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3225</v>
      </c>
      <c r="AA2988" s="2" t="s">
        <v>1041</v>
      </c>
      <c r="AB2988" s="2" t="s">
        <v>1317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2434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2435</v>
      </c>
      <c r="J2989" s="2" t="s">
        <v>2436</v>
      </c>
      <c r="L2989" s="2" t="s">
        <v>2437</v>
      </c>
      <c r="M2989" s="2" t="s">
        <v>41</v>
      </c>
      <c r="O2989" s="2" t="s">
        <v>2438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2439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3471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3471</v>
      </c>
      <c r="D2992" s="2" t="s">
        <v>1883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3449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3441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3441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2440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2440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3318</v>
      </c>
      <c r="D3000" s="2" t="s">
        <v>2441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3318</v>
      </c>
      <c r="D3001" s="2" t="s">
        <v>2441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2442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2442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2444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2444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2445</v>
      </c>
      <c r="F3007" s="2" t="s">
        <v>39</v>
      </c>
      <c r="G3007" s="2">
        <v>505814030</v>
      </c>
      <c r="H3007" s="2" t="s">
        <v>290</v>
      </c>
      <c r="I3007" s="2" t="s">
        <v>2446</v>
      </c>
      <c r="J3007" s="2" t="s">
        <v>2447</v>
      </c>
      <c r="L3007" s="2" t="s">
        <v>339</v>
      </c>
      <c r="M3007" s="2" t="s">
        <v>40</v>
      </c>
      <c r="O3007" s="2" t="s">
        <v>2448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2445</v>
      </c>
      <c r="F3008" s="2" t="s">
        <v>39</v>
      </c>
      <c r="G3008" s="2">
        <v>505814030</v>
      </c>
      <c r="H3008" s="2" t="s">
        <v>290</v>
      </c>
      <c r="I3008" s="2" t="s">
        <v>2446</v>
      </c>
      <c r="J3008" s="2" t="s">
        <v>2447</v>
      </c>
      <c r="L3008" s="2" t="s">
        <v>339</v>
      </c>
      <c r="M3008" s="2" t="s">
        <v>40</v>
      </c>
      <c r="O3008" s="2" t="s">
        <v>2448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3471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3471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2449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2449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1763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1763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1991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1991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2450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2451</v>
      </c>
      <c r="J3023" s="2" t="s">
        <v>2452</v>
      </c>
      <c r="K3023" s="2">
        <v>967554174</v>
      </c>
      <c r="L3023" s="2" t="s">
        <v>133</v>
      </c>
      <c r="M3023" s="2" t="s">
        <v>40</v>
      </c>
      <c r="O3023" s="2" t="s">
        <v>2453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2450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2451</v>
      </c>
      <c r="J3024" s="2" t="s">
        <v>2452</v>
      </c>
      <c r="K3024" s="2">
        <v>967554174</v>
      </c>
      <c r="L3024" s="2" t="s">
        <v>133</v>
      </c>
      <c r="M3024" s="2" t="s">
        <v>40</v>
      </c>
      <c r="O3024" s="2" t="s">
        <v>2453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2213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1177</v>
      </c>
      <c r="E3029" s="2" t="s">
        <v>38</v>
      </c>
      <c r="G3029" s="2">
        <v>502089075</v>
      </c>
      <c r="H3029" s="2" t="s">
        <v>41</v>
      </c>
      <c r="I3029" s="2" t="s">
        <v>1178</v>
      </c>
      <c r="J3029" s="2" t="s">
        <v>1179</v>
      </c>
      <c r="L3029" s="2" t="s">
        <v>461</v>
      </c>
      <c r="M3029" s="2" t="s">
        <v>41</v>
      </c>
      <c r="O3029" s="2" t="s">
        <v>2454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2369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1289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2371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1991</v>
      </c>
      <c r="M3036" s="2" t="s">
        <v>40</v>
      </c>
      <c r="P3036" s="2" t="s">
        <v>187</v>
      </c>
      <c r="Q3036" s="2" t="s">
        <v>1307</v>
      </c>
      <c r="R3036" s="2" t="s">
        <v>1308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1309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1876</v>
      </c>
      <c r="M3037" s="2" t="s">
        <v>40</v>
      </c>
      <c r="P3037" s="2" t="s">
        <v>187</v>
      </c>
      <c r="Q3037" s="2" t="s">
        <v>1307</v>
      </c>
      <c r="R3037" s="2" t="s">
        <v>1308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1309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2396</v>
      </c>
      <c r="M3038" s="2" t="s">
        <v>40</v>
      </c>
      <c r="P3038" s="2" t="s">
        <v>187</v>
      </c>
      <c r="Q3038" s="2" t="s">
        <v>1307</v>
      </c>
      <c r="R3038" s="2" t="s">
        <v>1308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1309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3471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1622</v>
      </c>
      <c r="J3039" s="2" t="s">
        <v>3168</v>
      </c>
      <c r="L3039" s="2" t="s">
        <v>339</v>
      </c>
      <c r="M3039" s="2" t="s">
        <v>40</v>
      </c>
      <c r="P3039" s="2" t="s">
        <v>187</v>
      </c>
      <c r="Q3039" s="2" t="s">
        <v>1307</v>
      </c>
      <c r="R3039" s="2" t="s">
        <v>1308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1309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3324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3267</v>
      </c>
      <c r="M3040" s="2" t="s">
        <v>80</v>
      </c>
      <c r="O3040" s="2" t="s">
        <v>2455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3225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3516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2397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3225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2390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3225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3449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3225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3324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3225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2416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3225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2415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3225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2425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3225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2007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3225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3324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3225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2456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3225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1552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1553</v>
      </c>
      <c r="J3051" s="2" t="s">
        <v>1554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3225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1375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3225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3324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2391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3225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3324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3225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1563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3225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3225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1592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1593</v>
      </c>
      <c r="J3057" s="2" t="s">
        <v>1594</v>
      </c>
      <c r="L3057" s="2" t="s">
        <v>201</v>
      </c>
      <c r="M3057" s="2" t="s">
        <v>80</v>
      </c>
      <c r="O3057" s="2" t="s">
        <v>2392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3225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2402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3225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3225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3324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3225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1417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2410</v>
      </c>
      <c r="J3061" s="2" t="s">
        <v>2411</v>
      </c>
      <c r="L3061" s="2" t="s">
        <v>201</v>
      </c>
      <c r="M3061" s="2" t="s">
        <v>80</v>
      </c>
      <c r="O3061" s="2" t="s">
        <v>2412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3225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1271</v>
      </c>
      <c r="J3062" s="2" t="s">
        <v>2393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3225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2394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3225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3324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3225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2395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3225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1941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3225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3225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3471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3225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1294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1295</v>
      </c>
      <c r="L3069" s="2" t="s">
        <v>339</v>
      </c>
      <c r="M3069" s="2" t="s">
        <v>80</v>
      </c>
      <c r="O3069" s="2" t="s">
        <v>2418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3225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3225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2396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3225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2424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3225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3471</v>
      </c>
      <c r="D3073" s="2" t="s">
        <v>1883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3449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2332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3377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2457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3225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2458</v>
      </c>
      <c r="P3078" s="2" t="s">
        <v>114</v>
      </c>
      <c r="Q3078" s="2" t="s">
        <v>2224</v>
      </c>
      <c r="R3078" s="2" t="s">
        <v>2225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2450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2451</v>
      </c>
      <c r="J3079" s="2" t="s">
        <v>2452</v>
      </c>
      <c r="K3079" s="2">
        <v>967554174</v>
      </c>
      <c r="L3079" s="2" t="s">
        <v>133</v>
      </c>
      <c r="M3079" s="2" t="s">
        <v>40</v>
      </c>
      <c r="O3079" s="2" t="s">
        <v>2453</v>
      </c>
      <c r="P3079" s="2" t="s">
        <v>114</v>
      </c>
      <c r="Q3079" s="2" t="s">
        <v>2296</v>
      </c>
      <c r="R3079" s="2" t="s">
        <v>2297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3318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2459</v>
      </c>
      <c r="P3080" s="2" t="s">
        <v>114</v>
      </c>
      <c r="Q3080" s="2" t="s">
        <v>2215</v>
      </c>
      <c r="R3080" s="2" t="s">
        <v>1428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2450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2451</v>
      </c>
      <c r="J3081" s="2" t="s">
        <v>2452</v>
      </c>
      <c r="K3081" s="2">
        <v>967554174</v>
      </c>
      <c r="L3081" s="2" t="s">
        <v>133</v>
      </c>
      <c r="M3081" s="2" t="s">
        <v>40</v>
      </c>
      <c r="O3081" s="2" t="s">
        <v>2453</v>
      </c>
      <c r="P3081" s="2" t="s">
        <v>114</v>
      </c>
      <c r="Q3081" s="2" t="s">
        <v>2460</v>
      </c>
      <c r="R3081" s="2" t="s">
        <v>2461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2450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2451</v>
      </c>
      <c r="J3082" s="2" t="s">
        <v>2452</v>
      </c>
      <c r="K3082" s="2">
        <v>967554174</v>
      </c>
      <c r="L3082" s="2" t="s">
        <v>133</v>
      </c>
      <c r="M3082" s="2" t="s">
        <v>40</v>
      </c>
      <c r="O3082" s="2" t="s">
        <v>2453</v>
      </c>
      <c r="P3082" s="2" t="s">
        <v>114</v>
      </c>
      <c r="Q3082" s="2" t="s">
        <v>1373</v>
      </c>
      <c r="R3082" s="2" t="s">
        <v>1374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3297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2462</v>
      </c>
      <c r="P3083" s="2" t="s">
        <v>114</v>
      </c>
      <c r="Q3083" s="2" t="s">
        <v>2192</v>
      </c>
      <c r="R3083" s="2" t="s">
        <v>2193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2442</v>
      </c>
      <c r="P3084" s="2" t="s">
        <v>114</v>
      </c>
      <c r="Q3084" s="2" t="s">
        <v>1513</v>
      </c>
      <c r="R3084" s="2" t="s">
        <v>1514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2475</v>
      </c>
      <c r="J3085" s="2" t="s">
        <v>3121</v>
      </c>
      <c r="K3085" s="2">
        <v>965864665</v>
      </c>
      <c r="L3085" s="2" t="s">
        <v>344</v>
      </c>
      <c r="M3085" s="2" t="s">
        <v>40</v>
      </c>
      <c r="O3085" s="2" t="s">
        <v>2476</v>
      </c>
      <c r="P3085" s="2" t="s">
        <v>114</v>
      </c>
      <c r="Q3085" s="2" t="s">
        <v>1513</v>
      </c>
      <c r="R3085" s="2" t="s">
        <v>1514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2463</v>
      </c>
      <c r="P3086" s="2" t="s">
        <v>114</v>
      </c>
      <c r="Q3086" s="2" t="s">
        <v>2464</v>
      </c>
      <c r="R3086" s="2" t="s">
        <v>2465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2466</v>
      </c>
      <c r="P3087" s="2" t="s">
        <v>114</v>
      </c>
      <c r="Q3087" s="2" t="s">
        <v>2467</v>
      </c>
      <c r="R3087" s="2" t="s">
        <v>2468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3452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2469</v>
      </c>
      <c r="P3088" s="2" t="s">
        <v>114</v>
      </c>
      <c r="Q3088" s="2" t="s">
        <v>2470</v>
      </c>
      <c r="R3088" s="2" t="s">
        <v>2471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2472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3113</v>
      </c>
      <c r="J3091" s="2" t="s">
        <v>3114</v>
      </c>
      <c r="L3091" s="2" t="s">
        <v>112</v>
      </c>
      <c r="M3091" s="2" t="s">
        <v>40</v>
      </c>
      <c r="O3091" s="2" t="s">
        <v>2474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3297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2462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2475</v>
      </c>
      <c r="J3093" s="2" t="s">
        <v>3121</v>
      </c>
      <c r="K3093" s="2">
        <v>965864665</v>
      </c>
      <c r="L3093" s="2" t="s">
        <v>344</v>
      </c>
      <c r="M3093" s="2" t="s">
        <v>40</v>
      </c>
      <c r="O3093" s="2" t="s">
        <v>2476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2477</v>
      </c>
      <c r="J3094" s="2" t="s">
        <v>1472</v>
      </c>
      <c r="K3094" s="2">
        <v>938183284</v>
      </c>
      <c r="L3094" s="2" t="s">
        <v>133</v>
      </c>
      <c r="M3094" s="2" t="s">
        <v>40</v>
      </c>
      <c r="O3094" s="2" t="s">
        <v>2478</v>
      </c>
      <c r="P3094" s="2" t="s">
        <v>114</v>
      </c>
      <c r="Q3094" s="2" t="s">
        <v>2479</v>
      </c>
      <c r="R3094" s="2" t="s">
        <v>1386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3452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2469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2286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2287</v>
      </c>
      <c r="L3096" s="2" t="s">
        <v>201</v>
      </c>
      <c r="M3096" s="2" t="s">
        <v>40</v>
      </c>
      <c r="O3096" s="2" t="s">
        <v>2288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2289</v>
      </c>
      <c r="E3097" s="2" t="s">
        <v>38</v>
      </c>
      <c r="G3097" s="2">
        <v>509800696</v>
      </c>
      <c r="H3097" s="2" t="s">
        <v>290</v>
      </c>
      <c r="I3097" s="2" t="s">
        <v>2290</v>
      </c>
      <c r="J3097" s="2" t="s">
        <v>2291</v>
      </c>
      <c r="K3097" s="2">
        <v>930444437</v>
      </c>
      <c r="L3097" s="2" t="s">
        <v>2290</v>
      </c>
      <c r="M3097" s="2" t="s">
        <v>40</v>
      </c>
      <c r="O3097" s="2" t="s">
        <v>2292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2326</v>
      </c>
      <c r="I3098" s="2" t="s">
        <v>804</v>
      </c>
      <c r="L3098" s="2" t="s">
        <v>99</v>
      </c>
      <c r="M3098" s="2" t="s">
        <v>40</v>
      </c>
      <c r="O3098" s="2" t="s">
        <v>2480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2481</v>
      </c>
      <c r="M3099" s="2" t="s">
        <v>40</v>
      </c>
      <c r="O3099" s="2" t="s">
        <v>2482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2483</v>
      </c>
      <c r="P3100" s="2" t="s">
        <v>114</v>
      </c>
      <c r="Q3100" s="2" t="s">
        <v>1423</v>
      </c>
      <c r="R3100" s="2" t="s">
        <v>1424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2484</v>
      </c>
      <c r="P3101" s="2" t="s">
        <v>114</v>
      </c>
      <c r="Q3101" s="2" t="s">
        <v>2485</v>
      </c>
      <c r="R3101" s="2" t="s">
        <v>2486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2487</v>
      </c>
      <c r="P3102" s="2" t="s">
        <v>114</v>
      </c>
      <c r="Q3102" s="2" t="s">
        <v>2488</v>
      </c>
      <c r="R3102" s="2" t="s">
        <v>2489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2490</v>
      </c>
      <c r="M3103" s="2" t="s">
        <v>40</v>
      </c>
      <c r="O3103" s="2" t="s">
        <v>2491</v>
      </c>
      <c r="P3103" s="2" t="s">
        <v>114</v>
      </c>
      <c r="Q3103" s="2" t="s">
        <v>2492</v>
      </c>
      <c r="R3103" s="2" t="s">
        <v>2493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3318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2494</v>
      </c>
      <c r="R3104" s="2" t="s">
        <v>2495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3297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2462</v>
      </c>
      <c r="P3105" s="2" t="s">
        <v>114</v>
      </c>
      <c r="Q3105" s="2" t="s">
        <v>1331</v>
      </c>
      <c r="R3105" s="2" t="s">
        <v>1332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3318</v>
      </c>
      <c r="D3106" s="2" t="s">
        <v>2441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2496</v>
      </c>
      <c r="R3106" s="2" t="s">
        <v>2497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2498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3318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1521</v>
      </c>
      <c r="R3109" s="2" t="s">
        <v>1522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3318</v>
      </c>
      <c r="D3110" s="2" t="s">
        <v>1353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2499</v>
      </c>
      <c r="J3110" s="2" t="s">
        <v>2500</v>
      </c>
      <c r="L3110" s="2" t="s">
        <v>293</v>
      </c>
      <c r="M3110" s="2" t="s">
        <v>40</v>
      </c>
      <c r="P3110" s="2" t="s">
        <v>114</v>
      </c>
      <c r="Q3110" s="2" t="s">
        <v>2501</v>
      </c>
      <c r="R3110" s="2" t="s">
        <v>2502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3318</v>
      </c>
      <c r="D3111" s="2" t="s">
        <v>3241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2503</v>
      </c>
      <c r="P3111" s="2" t="s">
        <v>114</v>
      </c>
      <c r="Q3111" s="2" t="s">
        <v>1182</v>
      </c>
      <c r="R3111" s="2" t="s">
        <v>1183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3318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3324</v>
      </c>
      <c r="D3113" s="2" t="s">
        <v>3240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2504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3318</v>
      </c>
      <c r="D3114" s="2" t="s">
        <v>3242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3318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3243</v>
      </c>
      <c r="J3115" s="2" t="s">
        <v>3244</v>
      </c>
      <c r="K3115" s="2">
        <v>96179412</v>
      </c>
      <c r="L3115" s="2" t="s">
        <v>461</v>
      </c>
      <c r="M3115" s="2" t="s">
        <v>40</v>
      </c>
      <c r="O3115" s="2" t="s">
        <v>3245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3409</v>
      </c>
      <c r="D3116" s="2" t="s">
        <v>2506</v>
      </c>
      <c r="E3116" s="2" t="s">
        <v>38</v>
      </c>
      <c r="F3116" s="2" t="s">
        <v>39</v>
      </c>
      <c r="M3116" s="2" t="s">
        <v>3298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2507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3318</v>
      </c>
      <c r="D3117" s="2" t="s">
        <v>3242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2505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3318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1577</v>
      </c>
      <c r="R3118" s="2" t="s">
        <v>1578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2475</v>
      </c>
      <c r="J3119" s="2" t="s">
        <v>3121</v>
      </c>
      <c r="K3119" s="2">
        <v>965864665</v>
      </c>
      <c r="L3119" s="2" t="s">
        <v>344</v>
      </c>
      <c r="M3119" s="2" t="s">
        <v>40</v>
      </c>
      <c r="O3119" s="2" t="s">
        <v>2476</v>
      </c>
      <c r="P3119" s="2" t="s">
        <v>1603</v>
      </c>
      <c r="Q3119" s="2" t="s">
        <v>1765</v>
      </c>
      <c r="R3119" s="2" t="s">
        <v>1766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1603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2508</v>
      </c>
      <c r="P3120" s="2" t="s">
        <v>1603</v>
      </c>
      <c r="Q3120" s="2" t="s">
        <v>1765</v>
      </c>
      <c r="R3120" s="2" t="s">
        <v>1766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1603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1603</v>
      </c>
      <c r="Q3121" s="2" t="s">
        <v>1601</v>
      </c>
      <c r="R3121" s="2" t="s">
        <v>1602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1603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3409</v>
      </c>
      <c r="D3122" s="2" t="s">
        <v>2509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2510</v>
      </c>
      <c r="R3122" s="2" t="s">
        <v>2511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3225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3409</v>
      </c>
      <c r="D3123" s="2" t="s">
        <v>2509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3225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3409</v>
      </c>
      <c r="D3124" s="2" t="s">
        <v>2512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2513</v>
      </c>
      <c r="R3124" s="2" t="s">
        <v>2514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2515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2516</v>
      </c>
      <c r="J3125" s="2" t="s">
        <v>2517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1546</v>
      </c>
      <c r="R3125" s="2" t="s">
        <v>1547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3409</v>
      </c>
      <c r="D3126" s="2" t="s">
        <v>1574</v>
      </c>
      <c r="E3126" s="2" t="s">
        <v>38</v>
      </c>
      <c r="G3126" s="2">
        <v>505123177</v>
      </c>
      <c r="H3126" s="2" t="s">
        <v>109</v>
      </c>
      <c r="I3126" s="2" t="s">
        <v>2518</v>
      </c>
      <c r="J3126" s="2" t="s">
        <v>2519</v>
      </c>
      <c r="L3126" s="2" t="s">
        <v>398</v>
      </c>
      <c r="M3126" s="2" t="s">
        <v>109</v>
      </c>
      <c r="P3126" s="2" t="s">
        <v>282</v>
      </c>
      <c r="Q3126" s="2" t="s">
        <v>1546</v>
      </c>
      <c r="R3126" s="2" t="s">
        <v>1547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2520</v>
      </c>
      <c r="E3127" s="2" t="s">
        <v>38</v>
      </c>
      <c r="G3127" s="2">
        <v>259186163</v>
      </c>
      <c r="H3127" s="2" t="s">
        <v>109</v>
      </c>
      <c r="I3127" s="2" t="s">
        <v>2521</v>
      </c>
      <c r="J3127" s="2" t="s">
        <v>2522</v>
      </c>
      <c r="L3127" s="2" t="s">
        <v>461</v>
      </c>
      <c r="M3127" s="2" t="s">
        <v>109</v>
      </c>
      <c r="P3127" s="2" t="s">
        <v>282</v>
      </c>
      <c r="Q3127" s="2" t="s">
        <v>1546</v>
      </c>
      <c r="R3127" s="2" t="s">
        <v>1547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2515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2516</v>
      </c>
      <c r="J3128" s="2" t="s">
        <v>2517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3225</v>
      </c>
      <c r="AA3128" s="2" t="s">
        <v>46</v>
      </c>
      <c r="AB3128" s="2" t="s">
        <v>60</v>
      </c>
      <c r="AC3128" s="2" t="s">
        <v>3329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3409</v>
      </c>
      <c r="D3129" s="2" t="s">
        <v>1574</v>
      </c>
      <c r="E3129" s="2" t="s">
        <v>38</v>
      </c>
      <c r="G3129" s="2">
        <v>505123177</v>
      </c>
      <c r="H3129" s="2" t="s">
        <v>109</v>
      </c>
      <c r="I3129" s="2" t="s">
        <v>2518</v>
      </c>
      <c r="J3129" s="2" t="s">
        <v>2519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3225</v>
      </c>
      <c r="AA3129" s="2" t="s">
        <v>46</v>
      </c>
      <c r="AB3129" s="2" t="s">
        <v>60</v>
      </c>
      <c r="AC3129" s="2" t="s">
        <v>3329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2520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3225</v>
      </c>
      <c r="AA3130" s="2" t="s">
        <v>46</v>
      </c>
      <c r="AB3130" s="2" t="s">
        <v>60</v>
      </c>
      <c r="AC3130" s="2" t="s">
        <v>3329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2515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2516</v>
      </c>
      <c r="J3131" s="2" t="s">
        <v>2517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3225</v>
      </c>
      <c r="AA3131" s="2" t="s">
        <v>46</v>
      </c>
      <c r="AB3131" s="2" t="s">
        <v>60</v>
      </c>
      <c r="AC3131" s="2" t="s">
        <v>3329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3409</v>
      </c>
      <c r="D3132" s="2" t="s">
        <v>1574</v>
      </c>
      <c r="E3132" s="2" t="s">
        <v>38</v>
      </c>
      <c r="G3132" s="2">
        <v>505123177</v>
      </c>
      <c r="H3132" s="2" t="s">
        <v>109</v>
      </c>
      <c r="I3132" s="2" t="s">
        <v>2518</v>
      </c>
      <c r="J3132" s="2" t="s">
        <v>2519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3225</v>
      </c>
      <c r="AA3132" s="2" t="s">
        <v>46</v>
      </c>
      <c r="AB3132" s="2" t="s">
        <v>60</v>
      </c>
      <c r="AC3132" s="2" t="s">
        <v>3329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2520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3225</v>
      </c>
      <c r="AA3133" s="2" t="s">
        <v>46</v>
      </c>
      <c r="AB3133" s="2" t="s">
        <v>60</v>
      </c>
      <c r="AC3133" s="2" t="s">
        <v>3329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2523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3225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3297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3225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1553</v>
      </c>
      <c r="J3136" s="2" t="s">
        <v>2524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3225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1396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3215</v>
      </c>
      <c r="J3137" s="2" t="s">
        <v>3214</v>
      </c>
      <c r="K3137" s="2">
        <v>913814877</v>
      </c>
      <c r="L3137" s="2" t="s">
        <v>201</v>
      </c>
      <c r="M3137" s="2" t="s">
        <v>80</v>
      </c>
      <c r="O3137" s="2" t="s">
        <v>3211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3225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3132</v>
      </c>
      <c r="L3138" s="2" t="s">
        <v>177</v>
      </c>
      <c r="M3138" s="2" t="s">
        <v>41</v>
      </c>
      <c r="O3138" s="2" t="s">
        <v>3139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3225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2525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3225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3225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3409</v>
      </c>
      <c r="D3141" s="2" t="s">
        <v>1900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1362</v>
      </c>
      <c r="R3141" s="2" t="s">
        <v>1363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3225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1362</v>
      </c>
      <c r="R3142" s="2" t="s">
        <v>1363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3225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3409</v>
      </c>
      <c r="D3143" s="2" t="s">
        <v>1900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3225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3225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2526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3225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2415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3225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3225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2415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3225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3225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2415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3225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3225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2527</v>
      </c>
      <c r="P3152" s="2" t="s">
        <v>114</v>
      </c>
      <c r="Q3152" s="2" t="s">
        <v>2528</v>
      </c>
      <c r="R3152" s="2" t="s">
        <v>2529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3225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3409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3225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3225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3409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3225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2440</v>
      </c>
      <c r="P3157" s="2" t="s">
        <v>114</v>
      </c>
      <c r="Q3157" s="2" t="s">
        <v>2098</v>
      </c>
      <c r="R3157" s="2" t="s">
        <v>2099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3225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3409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3225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3452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3267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3225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3113</v>
      </c>
      <c r="J3161" s="2" t="s">
        <v>3114</v>
      </c>
      <c r="L3161" s="2" t="s">
        <v>112</v>
      </c>
      <c r="M3161" s="2" t="s">
        <v>109</v>
      </c>
      <c r="O3161" s="2" t="s">
        <v>3117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3225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2530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3225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3225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1553</v>
      </c>
      <c r="J3164" s="2" t="s">
        <v>2524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3225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1553</v>
      </c>
      <c r="J3165" s="2" t="s">
        <v>2524</v>
      </c>
      <c r="L3165" s="2" t="s">
        <v>177</v>
      </c>
      <c r="M3165" s="2" t="s">
        <v>41</v>
      </c>
      <c r="O3165" s="2" t="s">
        <v>2531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3225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3225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3452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3267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3225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3225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3409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3225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2533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3225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1553</v>
      </c>
      <c r="J3171" s="2" t="s">
        <v>2524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3225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3225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1311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1312</v>
      </c>
      <c r="L3173" s="2" t="s">
        <v>177</v>
      </c>
      <c r="M3173" s="2" t="s">
        <v>41</v>
      </c>
      <c r="O3173" s="2" t="s">
        <v>2534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3225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2533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3225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1311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1312</v>
      </c>
      <c r="L3175" s="2" t="s">
        <v>177</v>
      </c>
      <c r="M3175" s="2" t="s">
        <v>41</v>
      </c>
      <c r="O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3225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1553</v>
      </c>
      <c r="J3176" s="2" t="s">
        <v>2524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3225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1553</v>
      </c>
      <c r="J3177" s="2" t="s">
        <v>2524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3225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2535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3225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2536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3225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2520</v>
      </c>
      <c r="M3180" s="2" t="s">
        <v>109</v>
      </c>
      <c r="P3180" s="2" t="s">
        <v>43</v>
      </c>
      <c r="Q3180" s="2" t="s">
        <v>2377</v>
      </c>
      <c r="R3180" s="2" t="s">
        <v>2378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3225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2537</v>
      </c>
      <c r="L3181" s="2" t="s">
        <v>99</v>
      </c>
      <c r="M3181" s="2" t="s">
        <v>80</v>
      </c>
      <c r="O3181" s="2" t="s">
        <v>2538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3225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3225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2530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3225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3225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3297</v>
      </c>
      <c r="D3185" s="2" t="s">
        <v>1371</v>
      </c>
      <c r="E3185" s="2" t="s">
        <v>38</v>
      </c>
      <c r="F3185" s="2" t="s">
        <v>39</v>
      </c>
      <c r="I3185" s="2" t="s">
        <v>3296</v>
      </c>
      <c r="L3185" s="2" t="s">
        <v>133</v>
      </c>
      <c r="M3185" s="2" t="s">
        <v>2539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3225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2537</v>
      </c>
      <c r="L3186" s="2" t="s">
        <v>99</v>
      </c>
      <c r="M3186" s="2" t="s">
        <v>80</v>
      </c>
      <c r="O3186" s="2" t="s">
        <v>2538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3225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3225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3297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3267</v>
      </c>
      <c r="M3189" s="2" t="s">
        <v>80</v>
      </c>
      <c r="O3189" s="2" t="s">
        <v>2540</v>
      </c>
      <c r="P3189" s="2" t="s">
        <v>43</v>
      </c>
      <c r="Q3189" s="2" t="s">
        <v>2541</v>
      </c>
      <c r="R3189" s="2" t="s">
        <v>2542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3225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2543</v>
      </c>
      <c r="R3190" s="2" t="s">
        <v>2544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3225</v>
      </c>
      <c r="AA3190" s="2" t="s">
        <v>71</v>
      </c>
      <c r="AB3190" s="2" t="s">
        <v>68</v>
      </c>
      <c r="AC3190" s="2" t="s">
        <v>3229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2545</v>
      </c>
      <c r="R3191" s="2" t="s">
        <v>2546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3225</v>
      </c>
      <c r="AA3191" s="2" t="s">
        <v>71</v>
      </c>
      <c r="AB3191" s="2" t="s">
        <v>68</v>
      </c>
      <c r="AC3191" s="2" t="s">
        <v>3229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2547</v>
      </c>
      <c r="R3192" s="2" t="s">
        <v>2548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3225</v>
      </c>
      <c r="AA3192" s="2" t="s">
        <v>71</v>
      </c>
      <c r="AB3192" s="2" t="s">
        <v>68</v>
      </c>
      <c r="AC3192" s="2" t="s">
        <v>3229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1485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3225</v>
      </c>
      <c r="AA3193" s="2" t="s">
        <v>71</v>
      </c>
      <c r="AB3193" s="2" t="s">
        <v>68</v>
      </c>
      <c r="AC3193" s="2" t="s">
        <v>3229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2515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2516</v>
      </c>
      <c r="J3194" s="2" t="s">
        <v>2517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2549</v>
      </c>
      <c r="R3194" s="2" t="s">
        <v>2550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3229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2515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2516</v>
      </c>
      <c r="J3195" s="2" t="s">
        <v>2517</v>
      </c>
      <c r="K3195" s="2">
        <v>967032538</v>
      </c>
      <c r="L3195" s="2" t="s">
        <v>398</v>
      </c>
      <c r="M3195" s="2" t="s">
        <v>109</v>
      </c>
      <c r="O3195" s="2" t="s">
        <v>2551</v>
      </c>
      <c r="P3195" s="2" t="s">
        <v>68</v>
      </c>
      <c r="Q3195" s="2" t="s">
        <v>2552</v>
      </c>
      <c r="R3195" s="2" t="s">
        <v>2553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3229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3297</v>
      </c>
      <c r="D3196" s="2" t="s">
        <v>1784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2554</v>
      </c>
      <c r="P3196" s="2" t="s">
        <v>68</v>
      </c>
      <c r="Q3196" s="2" t="s">
        <v>2552</v>
      </c>
      <c r="R3196" s="2" t="s">
        <v>2553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3229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3452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2555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3225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2536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3225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C3199" s="2" t="s">
        <v>3452</v>
      </c>
      <c r="D3199" s="2" t="s">
        <v>2556</v>
      </c>
      <c r="E3199" s="2" t="s">
        <v>108</v>
      </c>
      <c r="F3199" s="2" t="s">
        <v>717</v>
      </c>
      <c r="G3199" s="2">
        <v>500228264</v>
      </c>
      <c r="H3199" s="2" t="s">
        <v>109</v>
      </c>
      <c r="I3199" s="2" t="s">
        <v>2936</v>
      </c>
      <c r="J3199" s="2" t="s">
        <v>2937</v>
      </c>
      <c r="K3199" s="2">
        <v>962004672</v>
      </c>
      <c r="L3199" s="2" t="s">
        <v>398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3225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1993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3225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1552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1553</v>
      </c>
      <c r="J3201" s="2" t="s">
        <v>1554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3225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1375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3225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2557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3225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2558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3225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1592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1593</v>
      </c>
      <c r="J3205" s="2" t="s">
        <v>1594</v>
      </c>
      <c r="L3205" s="2" t="s">
        <v>201</v>
      </c>
      <c r="M3205" s="2" t="s">
        <v>80</v>
      </c>
      <c r="O3205" s="2" t="s">
        <v>2559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3225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3409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2560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3225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2561</v>
      </c>
      <c r="J3207" s="2" t="s">
        <v>2562</v>
      </c>
      <c r="K3207" s="2">
        <v>912897776</v>
      </c>
      <c r="L3207" s="2" t="s">
        <v>339</v>
      </c>
      <c r="M3207" s="2" t="s">
        <v>80</v>
      </c>
      <c r="O3207" s="2" t="s">
        <v>2563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3225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3297</v>
      </c>
      <c r="D3208" s="2" t="s">
        <v>1255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2564</v>
      </c>
      <c r="L3208" s="2" t="s">
        <v>201</v>
      </c>
      <c r="M3208" s="2" t="s">
        <v>80</v>
      </c>
      <c r="O3208" s="2" t="s">
        <v>2565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3225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1447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3225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3297</v>
      </c>
      <c r="D3210" s="2" t="s">
        <v>2566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2567</v>
      </c>
      <c r="J3210" s="2" t="s">
        <v>2568</v>
      </c>
      <c r="L3210" s="2" t="s">
        <v>133</v>
      </c>
      <c r="M3210" s="2" t="s">
        <v>80</v>
      </c>
      <c r="O3210" s="2" t="s">
        <v>2569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3225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3297</v>
      </c>
      <c r="D3211" s="2" t="s">
        <v>2566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2567</v>
      </c>
      <c r="J3211" s="2" t="s">
        <v>2568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3225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2570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3225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3297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3267</v>
      </c>
      <c r="M3213" s="2" t="s">
        <v>80</v>
      </c>
      <c r="O3213" s="2" t="s">
        <v>2571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3225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2440</v>
      </c>
      <c r="P3214" s="2" t="s">
        <v>114</v>
      </c>
      <c r="Q3214" s="2" t="s">
        <v>1423</v>
      </c>
      <c r="R3214" s="2" t="s">
        <v>1424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3409</v>
      </c>
      <c r="D3215" s="2" t="s">
        <v>1255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2564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3225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2572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3225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3452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2573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3225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1993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3225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3225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3297</v>
      </c>
      <c r="D3220" s="2" t="s">
        <v>2574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2575</v>
      </c>
      <c r="R3220" s="2" t="s">
        <v>2576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3225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2577</v>
      </c>
      <c r="E3221" s="2" t="s">
        <v>183</v>
      </c>
      <c r="F3221" s="2" t="s">
        <v>2578</v>
      </c>
      <c r="G3221" s="2">
        <v>515259144</v>
      </c>
      <c r="H3221" s="2" t="s">
        <v>80</v>
      </c>
      <c r="I3221" s="2" t="s">
        <v>156</v>
      </c>
      <c r="J3221" s="2" t="s">
        <v>2579</v>
      </c>
      <c r="K3221" s="2">
        <v>968626165</v>
      </c>
      <c r="L3221" s="2" t="s">
        <v>99</v>
      </c>
      <c r="M3221" s="2" t="s">
        <v>80</v>
      </c>
      <c r="O3221" s="2" t="s">
        <v>2580</v>
      </c>
      <c r="P3221" s="2" t="s">
        <v>1038</v>
      </c>
      <c r="Q3221" s="2" t="s">
        <v>1952</v>
      </c>
      <c r="R3221" s="2" t="s">
        <v>1953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3225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3452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3267</v>
      </c>
      <c r="M3222" s="2" t="s">
        <v>80</v>
      </c>
      <c r="P3222" s="2" t="s">
        <v>1038</v>
      </c>
      <c r="Q3222" s="2" t="s">
        <v>2581</v>
      </c>
      <c r="R3222" s="2" t="s">
        <v>2582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3225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3318</v>
      </c>
      <c r="D3223" s="2" t="s">
        <v>1162</v>
      </c>
      <c r="E3223" s="2" t="s">
        <v>752</v>
      </c>
      <c r="F3223" s="2" t="s">
        <v>1216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2583</v>
      </c>
      <c r="R3223" s="2" t="s">
        <v>2584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3225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3225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3409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3225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2585</v>
      </c>
      <c r="P3226" s="2" t="s">
        <v>84</v>
      </c>
      <c r="Q3226" s="2" t="s">
        <v>2586</v>
      </c>
      <c r="R3226" s="2" t="s">
        <v>2587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3225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2588</v>
      </c>
      <c r="P3227" s="2" t="s">
        <v>1193</v>
      </c>
      <c r="Q3227" s="2" t="s">
        <v>2589</v>
      </c>
      <c r="R3227" s="2" t="s">
        <v>2590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1198</v>
      </c>
      <c r="AB3227" s="2" t="s">
        <v>119</v>
      </c>
      <c r="AC3227" s="2" t="s">
        <v>1193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3318</v>
      </c>
      <c r="D3228" s="2" t="s">
        <v>1784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2591</v>
      </c>
      <c r="P3228" s="2" t="s">
        <v>3392</v>
      </c>
      <c r="Q3228" s="2" t="s">
        <v>2592</v>
      </c>
      <c r="R3228" s="2" t="s">
        <v>2593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3392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2515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2516</v>
      </c>
      <c r="J3229" s="2" t="s">
        <v>2517</v>
      </c>
      <c r="K3229" s="2">
        <v>967032538</v>
      </c>
      <c r="L3229" s="2" t="s">
        <v>398</v>
      </c>
      <c r="M3229" s="2" t="s">
        <v>109</v>
      </c>
      <c r="O3229" s="2" t="s">
        <v>2551</v>
      </c>
      <c r="P3229" s="2" t="s">
        <v>3392</v>
      </c>
      <c r="Q3229" s="2" t="s">
        <v>2594</v>
      </c>
      <c r="R3229" s="2" t="s">
        <v>2595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3392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2596</v>
      </c>
      <c r="M3230" s="2" t="s">
        <v>80</v>
      </c>
      <c r="P3230" s="2" t="s">
        <v>1038</v>
      </c>
      <c r="Q3230" s="2" t="s">
        <v>1923</v>
      </c>
      <c r="R3230" s="2" t="s">
        <v>1924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3225</v>
      </c>
      <c r="AA3230" s="2" t="s">
        <v>1041</v>
      </c>
      <c r="AB3230" s="2" t="s">
        <v>1269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3409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2597</v>
      </c>
      <c r="R3231" s="2" t="s">
        <v>2598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3225</v>
      </c>
      <c r="AA3231" s="2" t="s">
        <v>1041</v>
      </c>
      <c r="AB3231" s="2" t="s">
        <v>1269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2509</v>
      </c>
      <c r="M3232" s="2" t="s">
        <v>80</v>
      </c>
      <c r="P3232" s="2" t="s">
        <v>1038</v>
      </c>
      <c r="Q3232" s="2" t="s">
        <v>2599</v>
      </c>
      <c r="R3232" s="2" t="s">
        <v>2600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3225</v>
      </c>
      <c r="AA3232" s="2" t="s">
        <v>1041</v>
      </c>
      <c r="AB3232" s="2" t="s">
        <v>2167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2601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2525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3318</v>
      </c>
      <c r="D3236" s="2" t="s">
        <v>1353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2499</v>
      </c>
      <c r="J3236" s="2" t="s">
        <v>2500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3318</v>
      </c>
      <c r="D3237" s="2" t="s">
        <v>1353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2499</v>
      </c>
      <c r="J3237" s="2" t="s">
        <v>2500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2230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2230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2602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2602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2332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2332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2303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2303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2473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2473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3448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3448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1240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1240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2508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2508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2603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2604</v>
      </c>
      <c r="K3258" s="2">
        <v>935402550</v>
      </c>
      <c r="L3258" s="2" t="s">
        <v>112</v>
      </c>
      <c r="M3258" s="2" t="s">
        <v>40</v>
      </c>
      <c r="O3258" s="2" t="s">
        <v>2605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2603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2604</v>
      </c>
      <c r="K3259" s="2">
        <v>935402550</v>
      </c>
      <c r="L3259" s="2" t="s">
        <v>112</v>
      </c>
      <c r="M3259" s="2" t="s">
        <v>40</v>
      </c>
      <c r="O3259" s="2" t="s">
        <v>2605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2606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2607</v>
      </c>
      <c r="J3260" s="2" t="s">
        <v>2608</v>
      </c>
      <c r="K3260" s="2">
        <v>912183782</v>
      </c>
      <c r="L3260" s="2" t="s">
        <v>201</v>
      </c>
      <c r="M3260" s="2" t="s">
        <v>40</v>
      </c>
      <c r="O3260" s="2" t="s">
        <v>2609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2606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2607</v>
      </c>
      <c r="J3261" s="2" t="s">
        <v>2608</v>
      </c>
      <c r="K3261" s="2">
        <v>912183782</v>
      </c>
      <c r="L3261" s="2" t="s">
        <v>201</v>
      </c>
      <c r="M3261" s="2" t="s">
        <v>40</v>
      </c>
      <c r="O3261" s="2" t="s">
        <v>2609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3448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3448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3318</v>
      </c>
      <c r="D3267" s="2" t="s">
        <v>1162</v>
      </c>
      <c r="E3267" s="2" t="s">
        <v>752</v>
      </c>
      <c r="F3267" s="2" t="s">
        <v>1216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2509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2577</v>
      </c>
      <c r="E3269" s="2" t="s">
        <v>183</v>
      </c>
      <c r="F3269" s="2" t="s">
        <v>2578</v>
      </c>
      <c r="G3269" s="2">
        <v>515259144</v>
      </c>
      <c r="H3269" s="2" t="s">
        <v>80</v>
      </c>
      <c r="I3269" s="2" t="s">
        <v>156</v>
      </c>
      <c r="J3269" s="2" t="s">
        <v>2579</v>
      </c>
      <c r="K3269" s="2">
        <v>968626165</v>
      </c>
      <c r="L3269" s="2" t="s">
        <v>99</v>
      </c>
      <c r="M3269" s="2" t="s">
        <v>80</v>
      </c>
      <c r="O3269" s="2" t="s">
        <v>2610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1553</v>
      </c>
      <c r="J3270" s="2" t="s">
        <v>2524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2535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1396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3215</v>
      </c>
      <c r="J3272" s="2" t="s">
        <v>3214</v>
      </c>
      <c r="K3272" s="2">
        <v>913814877</v>
      </c>
      <c r="L3272" s="2" t="s">
        <v>201</v>
      </c>
      <c r="M3272" s="2" t="s">
        <v>80</v>
      </c>
      <c r="O3272" s="2" t="s">
        <v>3211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2585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2152</v>
      </c>
      <c r="M3276" s="2" t="s">
        <v>40</v>
      </c>
      <c r="P3276" s="2" t="s">
        <v>187</v>
      </c>
      <c r="Q3276" s="2" t="s">
        <v>1307</v>
      </c>
      <c r="R3276" s="2" t="s">
        <v>1308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1309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3318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2611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3225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2536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3225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3318</v>
      </c>
      <c r="D3279" s="2" t="s">
        <v>1162</v>
      </c>
      <c r="E3279" s="2" t="s">
        <v>752</v>
      </c>
      <c r="F3279" s="2" t="s">
        <v>1216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3225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3297</v>
      </c>
      <c r="D3280" s="2" t="s">
        <v>2574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3225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2612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3225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2570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3225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C3283" s="2" t="s">
        <v>3452</v>
      </c>
      <c r="D3283" s="2" t="s">
        <v>2556</v>
      </c>
      <c r="E3283" s="2" t="s">
        <v>108</v>
      </c>
      <c r="F3283" s="2" t="s">
        <v>717</v>
      </c>
      <c r="G3283" s="2">
        <v>500228264</v>
      </c>
      <c r="H3283" s="2" t="s">
        <v>109</v>
      </c>
      <c r="I3283" s="2" t="s">
        <v>2936</v>
      </c>
      <c r="J3283" s="2" t="s">
        <v>2937</v>
      </c>
      <c r="K3283" s="2">
        <v>962004672</v>
      </c>
      <c r="L3283" s="2" t="s">
        <v>398</v>
      </c>
      <c r="M3283" s="2" t="s">
        <v>80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3225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3225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1993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3225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2577</v>
      </c>
      <c r="E3286" s="2" t="s">
        <v>183</v>
      </c>
      <c r="F3286" s="2" t="s">
        <v>2578</v>
      </c>
      <c r="G3286" s="2">
        <v>515259144</v>
      </c>
      <c r="H3286" s="2" t="s">
        <v>80</v>
      </c>
      <c r="I3286" s="2" t="s">
        <v>156</v>
      </c>
      <c r="J3286" s="2" t="s">
        <v>2579</v>
      </c>
      <c r="K3286" s="2">
        <v>968626165</v>
      </c>
      <c r="L3286" s="2" t="s">
        <v>99</v>
      </c>
      <c r="M3286" s="2" t="s">
        <v>80</v>
      </c>
      <c r="O3286" s="2" t="s">
        <v>2580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3225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1552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1553</v>
      </c>
      <c r="J3287" s="2" t="s">
        <v>1554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3225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1375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3225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3297</v>
      </c>
      <c r="D3289" s="2" t="s">
        <v>2566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2567</v>
      </c>
      <c r="J3289" s="2" t="s">
        <v>2568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3225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3225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3409</v>
      </c>
      <c r="D3291" s="2" t="s">
        <v>1255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2564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3225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2572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3225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1592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1593</v>
      </c>
      <c r="J3293" s="2" t="s">
        <v>1594</v>
      </c>
      <c r="L3293" s="2" t="s">
        <v>201</v>
      </c>
      <c r="M3293" s="2" t="s">
        <v>80</v>
      </c>
      <c r="O3293" s="2" t="s">
        <v>2559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3225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3225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2557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3225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2558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3225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2525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2613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3377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2615</v>
      </c>
      <c r="P3300" s="2" t="s">
        <v>114</v>
      </c>
      <c r="Q3300" s="2" t="s">
        <v>2224</v>
      </c>
      <c r="R3300" s="2" t="s">
        <v>2225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2257</v>
      </c>
      <c r="G3301" s="2">
        <v>503636002</v>
      </c>
      <c r="I3301" s="2" t="s">
        <v>2616</v>
      </c>
      <c r="M3301" s="2" t="s">
        <v>40</v>
      </c>
      <c r="O3301" s="2" t="s">
        <v>2617</v>
      </c>
      <c r="P3301" s="2" t="s">
        <v>114</v>
      </c>
      <c r="Q3301" s="2" t="s">
        <v>2226</v>
      </c>
      <c r="R3301" s="2" t="s">
        <v>2227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2618</v>
      </c>
      <c r="P3302" s="2" t="s">
        <v>114</v>
      </c>
      <c r="Q3302" s="2" t="s">
        <v>2619</v>
      </c>
      <c r="R3302" s="2" t="s">
        <v>2620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3503</v>
      </c>
      <c r="D3303" s="2" t="s">
        <v>2048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2778</v>
      </c>
      <c r="J3303" s="2" t="s">
        <v>2819</v>
      </c>
      <c r="K3303" s="2">
        <v>914732950</v>
      </c>
      <c r="L3303" s="2" t="s">
        <v>480</v>
      </c>
      <c r="M3303" s="2" t="s">
        <v>40</v>
      </c>
      <c r="O3303" s="2" t="s">
        <v>2621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2257</v>
      </c>
      <c r="M3304" s="2" t="s">
        <v>40</v>
      </c>
      <c r="O3304" s="2" t="s">
        <v>2617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2444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3317</v>
      </c>
      <c r="D3306" s="2" t="s">
        <v>2149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2622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2612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3225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3317</v>
      </c>
      <c r="D3308" s="2" t="s">
        <v>2623</v>
      </c>
      <c r="E3308" s="2" t="s">
        <v>3416</v>
      </c>
      <c r="F3308" s="2" t="s">
        <v>3417</v>
      </c>
      <c r="L3308" s="2" t="s">
        <v>293</v>
      </c>
      <c r="M3308" s="2" t="s">
        <v>40</v>
      </c>
      <c r="O3308" s="2" t="s">
        <v>2624</v>
      </c>
      <c r="P3308" s="2" t="s">
        <v>114</v>
      </c>
      <c r="Q3308" s="2" t="s">
        <v>2625</v>
      </c>
      <c r="R3308" s="2" t="s">
        <v>2626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2627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3317</v>
      </c>
      <c r="D3312" s="2" t="s">
        <v>906</v>
      </c>
      <c r="E3312" s="2" t="s">
        <v>3416</v>
      </c>
      <c r="F3312" s="2" t="s">
        <v>3417</v>
      </c>
      <c r="L3312" s="2" t="s">
        <v>339</v>
      </c>
      <c r="M3312" s="2" t="s">
        <v>40</v>
      </c>
      <c r="P3312" s="2" t="s">
        <v>114</v>
      </c>
      <c r="Q3312" s="2" t="s">
        <v>1470</v>
      </c>
      <c r="R3312" s="2" t="s">
        <v>1471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3317</v>
      </c>
      <c r="D3313" s="2" t="s">
        <v>2623</v>
      </c>
      <c r="E3313" s="2" t="s">
        <v>3416</v>
      </c>
      <c r="F3313" s="2" t="s">
        <v>3417</v>
      </c>
      <c r="L3313" s="2" t="s">
        <v>293</v>
      </c>
      <c r="M3313" s="2" t="s">
        <v>40</v>
      </c>
      <c r="P3313" s="2" t="s">
        <v>114</v>
      </c>
      <c r="Q3313" s="2" t="s">
        <v>1470</v>
      </c>
      <c r="R3313" s="2" t="s">
        <v>1471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114</v>
      </c>
      <c r="Q3314" s="2" t="s">
        <v>2113</v>
      </c>
      <c r="R3314" s="2" t="s">
        <v>2114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1589</v>
      </c>
      <c r="E3315" s="2" t="s">
        <v>38</v>
      </c>
      <c r="F3315" s="2" t="s">
        <v>39</v>
      </c>
      <c r="L3315" s="2" t="s">
        <v>571</v>
      </c>
      <c r="M3315" s="2" t="s">
        <v>40</v>
      </c>
      <c r="P3315" s="2" t="s">
        <v>114</v>
      </c>
      <c r="Q3315" s="2" t="s">
        <v>2629</v>
      </c>
      <c r="R3315" s="2" t="s">
        <v>2630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W3315" s="2">
        <v>64.87</v>
      </c>
      <c r="X3315" s="5">
        <f t="shared" si="515"/>
        <v>0.52382001027673775</v>
      </c>
      <c r="Z3315" s="2" t="s">
        <v>117</v>
      </c>
      <c r="AA3315" s="2" t="s">
        <v>118</v>
      </c>
      <c r="AB3315" s="2" t="s">
        <v>119</v>
      </c>
      <c r="AC3315" s="2" t="s">
        <v>114</v>
      </c>
      <c r="AF3315" s="2">
        <f t="shared" si="511"/>
        <v>0</v>
      </c>
      <c r="AJ3315" s="2">
        <f t="shared" si="512"/>
        <v>0</v>
      </c>
      <c r="AK3315" s="2">
        <f t="shared" si="516"/>
        <v>71.359999999999985</v>
      </c>
      <c r="AL3315" s="5">
        <f t="shared" si="517"/>
        <v>0.52382001027673775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1182</v>
      </c>
      <c r="R3316" s="2" t="s">
        <v>1183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3418</v>
      </c>
      <c r="D3317" s="2" t="s">
        <v>2628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1182</v>
      </c>
      <c r="R3317" s="2" t="s">
        <v>1183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3418</v>
      </c>
      <c r="D3318" s="2" t="s">
        <v>2631</v>
      </c>
      <c r="E3318" s="2" t="s">
        <v>38</v>
      </c>
      <c r="G3318" s="2">
        <v>508857562</v>
      </c>
      <c r="H3318" s="2" t="s">
        <v>109</v>
      </c>
      <c r="I3318" s="2" t="s">
        <v>2632</v>
      </c>
      <c r="J3318" s="2" t="s">
        <v>2633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3317</v>
      </c>
      <c r="D3319" s="2" t="s">
        <v>1883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2634</v>
      </c>
      <c r="P3319" s="2" t="s">
        <v>2635</v>
      </c>
      <c r="Q3319" s="2" t="s">
        <v>2636</v>
      </c>
      <c r="R3319" s="2" t="s">
        <v>2637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3225</v>
      </c>
      <c r="AA3319" s="2" t="s">
        <v>71</v>
      </c>
      <c r="AB3319" s="2" t="s">
        <v>119</v>
      </c>
      <c r="AC3319" s="2" t="s">
        <v>2635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2515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2516</v>
      </c>
      <c r="J3320" s="2" t="s">
        <v>2517</v>
      </c>
      <c r="K3320" s="2">
        <v>967032538</v>
      </c>
      <c r="L3320" s="2" t="s">
        <v>398</v>
      </c>
      <c r="M3320" s="2" t="s">
        <v>109</v>
      </c>
      <c r="O3320" s="2" t="s">
        <v>2638</v>
      </c>
      <c r="P3320" s="2" t="s">
        <v>282</v>
      </c>
      <c r="Q3320" s="2" t="s">
        <v>1204</v>
      </c>
      <c r="R3320" s="2" t="s">
        <v>1205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3225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3317</v>
      </c>
      <c r="D3321" s="2" t="s">
        <v>2639</v>
      </c>
      <c r="E3321" s="2" t="s">
        <v>752</v>
      </c>
      <c r="G3321" s="2">
        <v>504481991</v>
      </c>
      <c r="H3321" s="2" t="s">
        <v>40</v>
      </c>
      <c r="I3321" s="2" t="s">
        <v>2662</v>
      </c>
      <c r="J3321" s="2" t="s">
        <v>2663</v>
      </c>
      <c r="L3321" s="2" t="s">
        <v>201</v>
      </c>
      <c r="M3321" s="2" t="s">
        <v>40</v>
      </c>
      <c r="P3321" s="2" t="s">
        <v>282</v>
      </c>
      <c r="Q3321" s="2" t="s">
        <v>1661</v>
      </c>
      <c r="R3321" s="2" t="s">
        <v>1662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2640</v>
      </c>
      <c r="AC3321" s="2" t="s">
        <v>1326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3317</v>
      </c>
      <c r="D3322" s="2" t="s">
        <v>2639</v>
      </c>
      <c r="E3322" s="2" t="s">
        <v>752</v>
      </c>
      <c r="G3322" s="2">
        <v>504481991</v>
      </c>
      <c r="H3322" s="2" t="s">
        <v>40</v>
      </c>
      <c r="I3322" s="2" t="s">
        <v>2662</v>
      </c>
      <c r="J3322" s="2" t="s">
        <v>2663</v>
      </c>
      <c r="L3322" s="2" t="s">
        <v>201</v>
      </c>
      <c r="M3322" s="2" t="s">
        <v>40</v>
      </c>
      <c r="P3322" s="2" t="s">
        <v>282</v>
      </c>
      <c r="Q3322" s="2" t="s">
        <v>1663</v>
      </c>
      <c r="R3322" s="2" t="s">
        <v>1664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2640</v>
      </c>
      <c r="AC3322" s="2" t="s">
        <v>1326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3317</v>
      </c>
      <c r="D3323" s="2" t="s">
        <v>2641</v>
      </c>
      <c r="E3323" s="2" t="s">
        <v>38</v>
      </c>
      <c r="G3323" s="2">
        <v>506820378</v>
      </c>
      <c r="H3323" s="2" t="s">
        <v>41</v>
      </c>
      <c r="I3323" s="2" t="s">
        <v>2642</v>
      </c>
      <c r="J3323" s="2" t="s">
        <v>2643</v>
      </c>
      <c r="L3323" s="2" t="s">
        <v>418</v>
      </c>
      <c r="M3323" s="2" t="s">
        <v>41</v>
      </c>
      <c r="O3323" s="2" t="s">
        <v>2644</v>
      </c>
      <c r="P3323" s="2" t="s">
        <v>282</v>
      </c>
      <c r="Q3323" s="2" t="s">
        <v>1778</v>
      </c>
      <c r="R3323" s="2" t="s">
        <v>1779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1329</v>
      </c>
      <c r="AC3323" s="2" t="s">
        <v>1326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3256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2645</v>
      </c>
      <c r="L3324" s="2" t="s">
        <v>418</v>
      </c>
      <c r="M3324" s="2" t="s">
        <v>41</v>
      </c>
      <c r="O3324" s="2" t="s">
        <v>3255</v>
      </c>
      <c r="P3324" s="2" t="s">
        <v>282</v>
      </c>
      <c r="Q3324" s="2" t="s">
        <v>2646</v>
      </c>
      <c r="R3324" s="2" t="s">
        <v>2647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1573</v>
      </c>
      <c r="AB3324" s="2" t="s">
        <v>388</v>
      </c>
      <c r="AC3324" s="2" t="s">
        <v>1326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3256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2645</v>
      </c>
      <c r="L3325" s="2" t="s">
        <v>418</v>
      </c>
      <c r="M3325" s="2" t="s">
        <v>41</v>
      </c>
      <c r="O3325" s="2" t="s">
        <v>3255</v>
      </c>
      <c r="P3325" s="2" t="s">
        <v>282</v>
      </c>
      <c r="Q3325" s="2" t="s">
        <v>2648</v>
      </c>
      <c r="R3325" s="2" t="s">
        <v>2649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1573</v>
      </c>
      <c r="AB3325" s="2" t="s">
        <v>388</v>
      </c>
      <c r="AC3325" s="2" t="s">
        <v>1326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3256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2645</v>
      </c>
      <c r="L3326" s="2" t="s">
        <v>418</v>
      </c>
      <c r="M3326" s="2" t="s">
        <v>41</v>
      </c>
      <c r="O3326" s="2" t="s">
        <v>3255</v>
      </c>
      <c r="P3326" s="2" t="s">
        <v>282</v>
      </c>
      <c r="Q3326" s="2" t="s">
        <v>2650</v>
      </c>
      <c r="R3326" s="2" t="s">
        <v>2651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1573</v>
      </c>
      <c r="AB3326" s="2" t="s">
        <v>388</v>
      </c>
      <c r="AC3326" s="2" t="s">
        <v>1326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3418</v>
      </c>
      <c r="D3327" s="2" t="s">
        <v>3415</v>
      </c>
      <c r="E3327" s="2" t="s">
        <v>3416</v>
      </c>
      <c r="F3327" s="2" t="s">
        <v>3417</v>
      </c>
      <c r="L3327" s="2" t="s">
        <v>293</v>
      </c>
      <c r="M3327" s="2" t="s">
        <v>290</v>
      </c>
      <c r="O3327" s="2" t="s">
        <v>2652</v>
      </c>
      <c r="P3327" s="2" t="s">
        <v>282</v>
      </c>
      <c r="Q3327" s="2" t="s">
        <v>1281</v>
      </c>
      <c r="R3327" s="2" t="s">
        <v>1282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1573</v>
      </c>
      <c r="AB3327" s="2" t="s">
        <v>388</v>
      </c>
      <c r="AC3327" s="2" t="s">
        <v>1326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3418</v>
      </c>
      <c r="D3328" s="2" t="s">
        <v>3415</v>
      </c>
      <c r="E3328" s="2" t="s">
        <v>3416</v>
      </c>
      <c r="F3328" s="2" t="s">
        <v>3417</v>
      </c>
      <c r="L3328" s="2" t="s">
        <v>293</v>
      </c>
      <c r="M3328" s="2" t="s">
        <v>40</v>
      </c>
      <c r="O3328" s="2" t="s">
        <v>2652</v>
      </c>
      <c r="P3328" s="2" t="s">
        <v>282</v>
      </c>
      <c r="Q3328" s="2" t="s">
        <v>1283</v>
      </c>
      <c r="R3328" s="2" t="s">
        <v>1284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3378</v>
      </c>
      <c r="AC3328" s="2" t="s">
        <v>1326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3418</v>
      </c>
      <c r="D3329" s="2" t="s">
        <v>3415</v>
      </c>
      <c r="E3329" s="2" t="s">
        <v>3416</v>
      </c>
      <c r="F3329" s="2" t="s">
        <v>3417</v>
      </c>
      <c r="L3329" s="2" t="s">
        <v>293</v>
      </c>
      <c r="M3329" s="2" t="s">
        <v>290</v>
      </c>
      <c r="O3329" s="2" t="s">
        <v>2652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1573</v>
      </c>
      <c r="AB3329" s="2" t="s">
        <v>388</v>
      </c>
      <c r="AC3329" s="2" t="s">
        <v>1326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2653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2654</v>
      </c>
      <c r="J3330" s="2" t="s">
        <v>2655</v>
      </c>
      <c r="K3330" s="2">
        <v>917531684</v>
      </c>
      <c r="L3330" s="2" t="s">
        <v>177</v>
      </c>
      <c r="M3330" s="2" t="s">
        <v>40</v>
      </c>
      <c r="O3330" s="2" t="s">
        <v>2656</v>
      </c>
      <c r="P3330" s="2" t="s">
        <v>282</v>
      </c>
      <c r="Q3330" s="2" t="s">
        <v>1285</v>
      </c>
      <c r="R3330" s="2" t="s">
        <v>1286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1573</v>
      </c>
      <c r="AB3330" s="2" t="s">
        <v>388</v>
      </c>
      <c r="AC3330" s="2" t="s">
        <v>1326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3317</v>
      </c>
      <c r="D3331" s="2" t="s">
        <v>2639</v>
      </c>
      <c r="E3331" s="2" t="s">
        <v>752</v>
      </c>
      <c r="G3331" s="2">
        <v>504481991</v>
      </c>
      <c r="H3331" s="2" t="s">
        <v>40</v>
      </c>
      <c r="I3331" s="2" t="s">
        <v>2662</v>
      </c>
      <c r="J3331" s="2" t="s">
        <v>2663</v>
      </c>
      <c r="L3331" s="2" t="s">
        <v>201</v>
      </c>
      <c r="M3331" s="2" t="s">
        <v>40</v>
      </c>
      <c r="P3331" s="2" t="s">
        <v>282</v>
      </c>
      <c r="Q3331" s="2" t="s">
        <v>1285</v>
      </c>
      <c r="R3331" s="2" t="s">
        <v>1286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1573</v>
      </c>
      <c r="AB3331" s="2" t="s">
        <v>388</v>
      </c>
      <c r="AC3331" s="2" t="s">
        <v>1326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2657</v>
      </c>
      <c r="P3332" s="2" t="s">
        <v>282</v>
      </c>
      <c r="Q3332" s="2" t="s">
        <v>1285</v>
      </c>
      <c r="R3332" s="2" t="s">
        <v>1286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1573</v>
      </c>
      <c r="AB3332" s="2" t="s">
        <v>388</v>
      </c>
      <c r="AC3332" s="2" t="s">
        <v>1326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2658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2659</v>
      </c>
      <c r="J3333" s="2" t="s">
        <v>2660</v>
      </c>
      <c r="K3333" s="2">
        <v>934367883</v>
      </c>
      <c r="L3333" s="2" t="s">
        <v>418</v>
      </c>
      <c r="O3333" s="2" t="s">
        <v>2661</v>
      </c>
      <c r="P3333" s="2" t="s">
        <v>282</v>
      </c>
      <c r="Q3333" s="2" t="s">
        <v>1285</v>
      </c>
      <c r="R3333" s="2" t="s">
        <v>1286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1573</v>
      </c>
      <c r="AB3333" s="2" t="s">
        <v>388</v>
      </c>
      <c r="AC3333" s="2" t="s">
        <v>1326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2653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2654</v>
      </c>
      <c r="J3334" s="2" t="s">
        <v>2655</v>
      </c>
      <c r="K3334" s="2">
        <v>917531684</v>
      </c>
      <c r="L3334" s="2" t="s">
        <v>177</v>
      </c>
      <c r="M3334" s="2" t="s">
        <v>40</v>
      </c>
      <c r="O3334" s="2" t="s">
        <v>2656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1573</v>
      </c>
      <c r="AB3334" s="2" t="s">
        <v>388</v>
      </c>
      <c r="AC3334" s="2" t="s">
        <v>1326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3317</v>
      </c>
      <c r="D3335" s="2" t="s">
        <v>2639</v>
      </c>
      <c r="E3335" s="2" t="s">
        <v>752</v>
      </c>
      <c r="G3335" s="2">
        <v>504481991</v>
      </c>
      <c r="H3335" s="2" t="s">
        <v>40</v>
      </c>
      <c r="I3335" s="2" t="s">
        <v>2662</v>
      </c>
      <c r="J3335" s="2" t="s">
        <v>2663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1573</v>
      </c>
      <c r="AB3335" s="2" t="s">
        <v>388</v>
      </c>
      <c r="AC3335" s="2" t="s">
        <v>1326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3418</v>
      </c>
      <c r="D3336" s="2" t="s">
        <v>3415</v>
      </c>
      <c r="E3336" s="2" t="s">
        <v>3416</v>
      </c>
      <c r="F3336" s="2" t="s">
        <v>3417</v>
      </c>
      <c r="L3336" s="2" t="s">
        <v>293</v>
      </c>
      <c r="M3336" s="2" t="s">
        <v>290</v>
      </c>
      <c r="O3336" s="2" t="s">
        <v>2652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1573</v>
      </c>
      <c r="AB3336" s="2" t="s">
        <v>388</v>
      </c>
      <c r="AC3336" s="2" t="s">
        <v>1326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2657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1573</v>
      </c>
      <c r="AB3337" s="2" t="s">
        <v>388</v>
      </c>
      <c r="AC3337" s="2" t="s">
        <v>1326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2658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2659</v>
      </c>
      <c r="J3338" s="2" t="s">
        <v>2660</v>
      </c>
      <c r="K3338" s="2">
        <v>934367883</v>
      </c>
      <c r="L3338" s="2" t="s">
        <v>418</v>
      </c>
      <c r="O3338" s="2" t="s">
        <v>2661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1573</v>
      </c>
      <c r="AB3338" s="2" t="s">
        <v>388</v>
      </c>
      <c r="AC3338" s="2" t="s">
        <v>1326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2653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2654</v>
      </c>
      <c r="J3339" s="2" t="s">
        <v>2655</v>
      </c>
      <c r="K3339" s="2">
        <v>917531684</v>
      </c>
      <c r="L3339" s="2" t="s">
        <v>177</v>
      </c>
      <c r="M3339" s="2" t="s">
        <v>40</v>
      </c>
      <c r="O3339" s="2" t="s">
        <v>2656</v>
      </c>
      <c r="P3339" s="2" t="s">
        <v>282</v>
      </c>
      <c r="Q3339" s="2" t="s">
        <v>1287</v>
      </c>
      <c r="R3339" s="2" t="s">
        <v>1288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1573</v>
      </c>
      <c r="AB3339" s="2" t="s">
        <v>388</v>
      </c>
      <c r="AC3339" s="2" t="s">
        <v>1326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3317</v>
      </c>
      <c r="D3340" s="2" t="s">
        <v>2639</v>
      </c>
      <c r="E3340" s="2" t="s">
        <v>752</v>
      </c>
      <c r="G3340" s="2">
        <v>504481991</v>
      </c>
      <c r="H3340" s="2" t="s">
        <v>40</v>
      </c>
      <c r="I3340" s="2" t="s">
        <v>2662</v>
      </c>
      <c r="J3340" s="2" t="s">
        <v>2663</v>
      </c>
      <c r="L3340" s="2" t="s">
        <v>201</v>
      </c>
      <c r="M3340" s="2" t="s">
        <v>40</v>
      </c>
      <c r="P3340" s="2" t="s">
        <v>282</v>
      </c>
      <c r="Q3340" s="2" t="s">
        <v>1287</v>
      </c>
      <c r="R3340" s="2" t="s">
        <v>1288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1573</v>
      </c>
      <c r="AB3340" s="2" t="s">
        <v>388</v>
      </c>
      <c r="AC3340" s="2" t="s">
        <v>1326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2657</v>
      </c>
      <c r="E3341" s="2" t="s">
        <v>752</v>
      </c>
      <c r="G3341" s="2">
        <v>509674658</v>
      </c>
      <c r="H3341" s="2" t="s">
        <v>40</v>
      </c>
      <c r="I3341" s="2" t="s">
        <v>2664</v>
      </c>
      <c r="J3341" s="2" t="s">
        <v>2665</v>
      </c>
      <c r="L3341" s="2" t="s">
        <v>177</v>
      </c>
      <c r="P3341" s="2" t="s">
        <v>282</v>
      </c>
      <c r="Q3341" s="2" t="s">
        <v>1287</v>
      </c>
      <c r="R3341" s="2" t="s">
        <v>1288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1573</v>
      </c>
      <c r="AB3341" s="2" t="s">
        <v>388</v>
      </c>
      <c r="AC3341" s="2" t="s">
        <v>1326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2659</v>
      </c>
      <c r="J3342" s="2" t="s">
        <v>2660</v>
      </c>
      <c r="K3342" s="2">
        <v>934367883</v>
      </c>
      <c r="L3342" s="2" t="s">
        <v>418</v>
      </c>
      <c r="O3342" s="2" t="s">
        <v>2661</v>
      </c>
      <c r="P3342" s="2" t="s">
        <v>282</v>
      </c>
      <c r="Q3342" s="2" t="s">
        <v>1287</v>
      </c>
      <c r="R3342" s="2" t="s">
        <v>1288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1573</v>
      </c>
      <c r="AB3342" s="2" t="s">
        <v>388</v>
      </c>
      <c r="AC3342" s="2" t="s">
        <v>1326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3317</v>
      </c>
      <c r="D3343" s="2" t="s">
        <v>1883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1949</v>
      </c>
      <c r="R3343" s="2" t="s">
        <v>1950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3225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2666</v>
      </c>
      <c r="P3344" s="2" t="s">
        <v>282</v>
      </c>
      <c r="Q3344" s="2" t="s">
        <v>1435</v>
      </c>
      <c r="R3344" s="2" t="s">
        <v>1436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3225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2667</v>
      </c>
      <c r="P3345" s="2" t="s">
        <v>282</v>
      </c>
      <c r="Q3345" s="2" t="s">
        <v>1435</v>
      </c>
      <c r="R3345" s="2" t="s">
        <v>1436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3225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2668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1553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1546</v>
      </c>
      <c r="R3346" s="2" t="s">
        <v>1547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3256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2645</v>
      </c>
      <c r="L3347" s="2" t="s">
        <v>418</v>
      </c>
      <c r="M3347" s="2" t="s">
        <v>41</v>
      </c>
      <c r="O3347" s="2" t="s">
        <v>3255</v>
      </c>
      <c r="P3347" s="2" t="s">
        <v>282</v>
      </c>
      <c r="Q3347" s="2" t="s">
        <v>1251</v>
      </c>
      <c r="R3347" s="2" t="s">
        <v>1252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2668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1553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3225</v>
      </c>
      <c r="AA3348" s="2" t="s">
        <v>46</v>
      </c>
      <c r="AB3348" s="2" t="s">
        <v>60</v>
      </c>
      <c r="AC3348" s="2" t="s">
        <v>3329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1354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1355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3225</v>
      </c>
      <c r="AA3349" s="2" t="s">
        <v>46</v>
      </c>
      <c r="AB3349" s="2" t="s">
        <v>60</v>
      </c>
      <c r="AC3349" s="2" t="s">
        <v>3329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3225</v>
      </c>
      <c r="AA3350" s="2" t="s">
        <v>46</v>
      </c>
      <c r="AB3350" s="2" t="s">
        <v>60</v>
      </c>
      <c r="AC3350" s="2" t="s">
        <v>3329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1552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1553</v>
      </c>
      <c r="J3351" s="2" t="s">
        <v>1554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3225</v>
      </c>
      <c r="AA3351" s="2" t="s">
        <v>46</v>
      </c>
      <c r="AB3351" s="2" t="s">
        <v>60</v>
      </c>
      <c r="AC3351" s="2" t="s">
        <v>3329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2668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1553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3225</v>
      </c>
      <c r="AA3352" s="2" t="s">
        <v>46</v>
      </c>
      <c r="AB3352" s="2" t="s">
        <v>60</v>
      </c>
      <c r="AC3352" s="2" t="s">
        <v>3329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1354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1355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3225</v>
      </c>
      <c r="AA3353" s="2" t="s">
        <v>46</v>
      </c>
      <c r="AB3353" s="2" t="s">
        <v>60</v>
      </c>
      <c r="AC3353" s="2" t="s">
        <v>3329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3225</v>
      </c>
      <c r="AA3354" s="2" t="s">
        <v>46</v>
      </c>
      <c r="AB3354" s="2" t="s">
        <v>60</v>
      </c>
      <c r="AC3354" s="2" t="s">
        <v>3329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1552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1553</v>
      </c>
      <c r="J3355" s="2" t="s">
        <v>1554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3225</v>
      </c>
      <c r="AA3355" s="2" t="s">
        <v>46</v>
      </c>
      <c r="AB3355" s="2" t="s">
        <v>60</v>
      </c>
      <c r="AC3355" s="2" t="s">
        <v>3329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2515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2516</v>
      </c>
      <c r="J3356" s="2" t="s">
        <v>2517</v>
      </c>
      <c r="K3356" s="2">
        <v>967032538</v>
      </c>
      <c r="L3356" s="2" t="s">
        <v>398</v>
      </c>
      <c r="M3356" s="2" t="s">
        <v>109</v>
      </c>
      <c r="O3356" s="2" t="s">
        <v>2638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3225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3225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2515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2516</v>
      </c>
      <c r="J3358" s="2" t="s">
        <v>2517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3225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3225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2669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3225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2612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3225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2670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3225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2671</v>
      </c>
      <c r="J3363" s="2" t="s">
        <v>2672</v>
      </c>
      <c r="K3363" s="2">
        <v>962939747</v>
      </c>
      <c r="L3363" s="2" t="s">
        <v>99</v>
      </c>
      <c r="M3363" s="2" t="s">
        <v>41</v>
      </c>
      <c r="O3363" s="2" t="s">
        <v>2673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3225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3225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1311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1312</v>
      </c>
      <c r="L3365" s="2" t="s">
        <v>177</v>
      </c>
      <c r="M3365" s="2" t="s">
        <v>41</v>
      </c>
      <c r="O3365" s="2" t="s">
        <v>2675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3225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2676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3225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3225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2676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3225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3174</v>
      </c>
      <c r="K3369" s="2">
        <v>911577458</v>
      </c>
      <c r="L3369" s="2" t="s">
        <v>177</v>
      </c>
      <c r="M3369" s="2" t="s">
        <v>41</v>
      </c>
      <c r="O3369" s="2" t="s">
        <v>3178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3225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3225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2515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2516</v>
      </c>
      <c r="J3371" s="2" t="s">
        <v>2517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3225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2677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3225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2674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3225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2678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3225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2678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3225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3225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3225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2678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3225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2678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3225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2515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2516</v>
      </c>
      <c r="J3380" s="2" t="s">
        <v>2517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3225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2678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3225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1418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1271</v>
      </c>
      <c r="J3382" s="2" t="s">
        <v>2393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3225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2678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3225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2515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2516</v>
      </c>
      <c r="J3384" s="2" t="s">
        <v>2517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3225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1418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1271</v>
      </c>
      <c r="J3385" s="2" t="s">
        <v>2393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3225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2679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3225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2515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2516</v>
      </c>
      <c r="J3387" s="2" t="s">
        <v>2517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3225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1418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1271</v>
      </c>
      <c r="J3388" s="2" t="s">
        <v>2393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3225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1418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1271</v>
      </c>
      <c r="J3389" s="2" t="s">
        <v>2393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3225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2679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3225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1418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1271</v>
      </c>
      <c r="J3391" s="2" t="s">
        <v>2393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3225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2678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3225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3225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1418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1271</v>
      </c>
      <c r="J3394" s="2" t="s">
        <v>2393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3225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1418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1271</v>
      </c>
      <c r="J3395" s="2" t="s">
        <v>2393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3225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1418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1271</v>
      </c>
      <c r="J3396" s="2" t="s">
        <v>2393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3225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1418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1271</v>
      </c>
      <c r="J3397" s="2" t="s">
        <v>2393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3225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3225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2680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3225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2681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3225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3225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3503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3225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2669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3225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2612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3225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1396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3215</v>
      </c>
      <c r="J3405" s="2" t="s">
        <v>3214</v>
      </c>
      <c r="K3405" s="2">
        <v>913814877</v>
      </c>
      <c r="L3405" s="2" t="s">
        <v>201</v>
      </c>
      <c r="M3405" s="2" t="s">
        <v>80</v>
      </c>
      <c r="O3405" s="2" t="s">
        <v>3212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3225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3225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2670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3225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2682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3225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3418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3225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2683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3225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1311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1312</v>
      </c>
      <c r="L3411" s="2" t="s">
        <v>177</v>
      </c>
      <c r="M3411" s="2" t="s">
        <v>41</v>
      </c>
      <c r="O3411" s="2" t="s">
        <v>2675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3225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2684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3225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1311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1312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3225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3225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2515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2516</v>
      </c>
      <c r="J3415" s="2" t="s">
        <v>2517</v>
      </c>
      <c r="K3415" s="2">
        <v>967032538</v>
      </c>
      <c r="L3415" s="2" t="s">
        <v>398</v>
      </c>
      <c r="M3415" s="2" t="s">
        <v>109</v>
      </c>
      <c r="O3415" s="2" t="s">
        <v>2638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3225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3225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2681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3225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2515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2516</v>
      </c>
      <c r="J3418" s="2" t="s">
        <v>2517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3225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3225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3441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3225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2612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3225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3225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3225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3225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2674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3225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3418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3225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2681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3225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3225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3225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3225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3132</v>
      </c>
      <c r="L3431" s="2" t="s">
        <v>177</v>
      </c>
      <c r="M3431" s="2" t="s">
        <v>41</v>
      </c>
      <c r="O3431" s="2" t="s">
        <v>3140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3225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3225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2687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3225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3225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3225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3225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2674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3225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2688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3225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2515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2516</v>
      </c>
      <c r="J3439" s="2" t="s">
        <v>2517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3225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3225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2676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3225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3441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3225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2689</v>
      </c>
      <c r="M3443" s="2" t="s">
        <v>40</v>
      </c>
      <c r="P3443" s="2" t="s">
        <v>2690</v>
      </c>
      <c r="Q3443" s="2" t="s">
        <v>2691</v>
      </c>
      <c r="R3443" s="2" t="s">
        <v>2692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3225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3503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2693</v>
      </c>
      <c r="P3444" s="2" t="s">
        <v>3228</v>
      </c>
      <c r="Q3444" s="2" t="s">
        <v>2694</v>
      </c>
      <c r="R3444" s="2" t="s">
        <v>2695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2696</v>
      </c>
      <c r="AB3444" s="2" t="s">
        <v>2697</v>
      </c>
      <c r="AC3444" s="2" t="s">
        <v>3228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3441</v>
      </c>
      <c r="D3445" s="2" t="s">
        <v>1883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3228</v>
      </c>
      <c r="Q3445" s="2" t="s">
        <v>1785</v>
      </c>
      <c r="R3445" s="2" t="s">
        <v>1786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3228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3441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2698</v>
      </c>
      <c r="P3446" s="2" t="s">
        <v>3228</v>
      </c>
      <c r="Q3446" s="2" t="s">
        <v>2699</v>
      </c>
      <c r="R3446" s="2" t="s">
        <v>2700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3228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3441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2698</v>
      </c>
      <c r="P3447" s="2" t="s">
        <v>3228</v>
      </c>
      <c r="Q3447" s="2" t="s">
        <v>1944</v>
      </c>
      <c r="R3447" s="2" t="s">
        <v>1945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3228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3418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2701</v>
      </c>
      <c r="R3448" s="2" t="s">
        <v>2702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3225</v>
      </c>
      <c r="AA3448" s="2" t="s">
        <v>71</v>
      </c>
      <c r="AB3448" s="2" t="s">
        <v>68</v>
      </c>
      <c r="AC3448" s="2" t="s">
        <v>3229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1954</v>
      </c>
      <c r="M3449" s="2" t="s">
        <v>40</v>
      </c>
      <c r="P3449" s="2" t="s">
        <v>68</v>
      </c>
      <c r="Q3449" s="2" t="s">
        <v>2703</v>
      </c>
      <c r="R3449" s="2" t="s">
        <v>2704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3225</v>
      </c>
      <c r="AC3449" s="2" t="s">
        <v>3229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1694</v>
      </c>
      <c r="P3450" s="2" t="s">
        <v>68</v>
      </c>
      <c r="Q3450" s="2" t="s">
        <v>2705</v>
      </c>
      <c r="R3450" s="2" t="s">
        <v>2706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3225</v>
      </c>
      <c r="AC3450" s="2" t="s">
        <v>3229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3317</v>
      </c>
      <c r="D3451" s="2" t="s">
        <v>2631</v>
      </c>
      <c r="E3451" s="2" t="s">
        <v>38</v>
      </c>
      <c r="G3451" s="2">
        <v>508857562</v>
      </c>
      <c r="H3451" s="2" t="s">
        <v>109</v>
      </c>
      <c r="I3451" s="2" t="s">
        <v>2632</v>
      </c>
      <c r="J3451" s="2" t="s">
        <v>2633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3225</v>
      </c>
      <c r="AA3451" s="2" t="s">
        <v>71</v>
      </c>
      <c r="AB3451" s="2" t="s">
        <v>68</v>
      </c>
      <c r="AC3451" s="2" t="s">
        <v>3229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3317</v>
      </c>
      <c r="D3452" s="2" t="s">
        <v>1883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3229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2707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3225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3225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2708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3225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2709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3225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3317</v>
      </c>
      <c r="D3457" s="2" t="s">
        <v>1254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2710</v>
      </c>
      <c r="J3457" s="2" t="s">
        <v>2711</v>
      </c>
      <c r="K3457" s="2">
        <v>935047029</v>
      </c>
      <c r="L3457" s="2" t="s">
        <v>446</v>
      </c>
      <c r="M3457" s="2" t="s">
        <v>80</v>
      </c>
      <c r="O3457" s="2" t="s">
        <v>2712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3225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3317</v>
      </c>
      <c r="D3458" s="2" t="s">
        <v>1162</v>
      </c>
      <c r="E3458" s="2" t="s">
        <v>752</v>
      </c>
      <c r="F3458" s="2" t="s">
        <v>1216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1447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3225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3418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3225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2713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2714</v>
      </c>
      <c r="J3460" s="2" t="s">
        <v>2715</v>
      </c>
      <c r="K3460" s="2">
        <v>962576243</v>
      </c>
      <c r="L3460" s="2" t="s">
        <v>446</v>
      </c>
      <c r="M3460" s="2" t="s">
        <v>80</v>
      </c>
      <c r="O3460" s="2" t="s">
        <v>2716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3225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1417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2410</v>
      </c>
      <c r="J3461" s="2" t="s">
        <v>2411</v>
      </c>
      <c r="L3461" s="2" t="s">
        <v>201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3225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2718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3225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3225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2719</v>
      </c>
      <c r="P3464" s="2" t="s">
        <v>72</v>
      </c>
      <c r="Q3464" s="2" t="s">
        <v>2720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3225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1418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1271</v>
      </c>
      <c r="J3465" s="2" t="s">
        <v>2393</v>
      </c>
      <c r="L3465" s="2" t="s">
        <v>177</v>
      </c>
      <c r="M3465" s="2" t="s">
        <v>41</v>
      </c>
      <c r="P3465" s="2" t="s">
        <v>72</v>
      </c>
      <c r="Q3465" s="2" t="s">
        <v>2720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3225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3225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2721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3225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3225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2722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3225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2723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3225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3418</v>
      </c>
      <c r="D3471" s="2" t="s">
        <v>2724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3225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2558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3225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3418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1448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3225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3418</v>
      </c>
      <c r="D3474" s="2" t="s">
        <v>1255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2564</v>
      </c>
      <c r="L3474" s="2" t="s">
        <v>201</v>
      </c>
      <c r="M3474" s="2" t="s">
        <v>80</v>
      </c>
      <c r="P3474" s="2" t="s">
        <v>72</v>
      </c>
      <c r="Q3474" s="2" t="s">
        <v>1448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3225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2725</v>
      </c>
      <c r="P3475" s="2" t="s">
        <v>72</v>
      </c>
      <c r="Q3475" s="2" t="s">
        <v>1448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3225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2726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3225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3317</v>
      </c>
      <c r="D3477" s="2" t="s">
        <v>1254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2710</v>
      </c>
      <c r="J3477" s="2" t="s">
        <v>2711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3225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2727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3225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2728</v>
      </c>
      <c r="P3479" s="2" t="s">
        <v>72</v>
      </c>
      <c r="Q3479" s="2" t="s">
        <v>2729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3225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1191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3225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3132</v>
      </c>
      <c r="L3481" s="2" t="s">
        <v>177</v>
      </c>
      <c r="M3481" s="2" t="s">
        <v>41</v>
      </c>
      <c r="O3481" s="2" t="s">
        <v>2730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3225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2558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3225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2732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3225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2477</v>
      </c>
      <c r="J3484" s="2" t="s">
        <v>1472</v>
      </c>
      <c r="K3484" s="2">
        <v>938183284</v>
      </c>
      <c r="L3484" s="2" t="s">
        <v>133</v>
      </c>
      <c r="M3484" s="2" t="s">
        <v>109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3225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2734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3225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3225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3418</v>
      </c>
      <c r="D3487" s="2" t="s">
        <v>2142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2735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3225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2736</v>
      </c>
      <c r="R3488" s="2" t="s">
        <v>2737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3225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3153</v>
      </c>
      <c r="L3489" s="2" t="s">
        <v>99</v>
      </c>
      <c r="M3489" s="2" t="s">
        <v>80</v>
      </c>
      <c r="O3489" s="2" t="s">
        <v>3152</v>
      </c>
      <c r="P3489" s="2" t="s">
        <v>1038</v>
      </c>
      <c r="Q3489" s="2" t="s">
        <v>1832</v>
      </c>
      <c r="R3489" s="2" t="s">
        <v>1833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3225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1552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1553</v>
      </c>
      <c r="J3490" s="2" t="s">
        <v>1554</v>
      </c>
      <c r="L3490" s="2" t="s">
        <v>177</v>
      </c>
      <c r="M3490" s="2" t="s">
        <v>41</v>
      </c>
      <c r="P3490" s="2" t="s">
        <v>1038</v>
      </c>
      <c r="Q3490" s="2" t="s">
        <v>2738</v>
      </c>
      <c r="R3490" s="2" t="s">
        <v>2739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3225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2740</v>
      </c>
      <c r="P3491" s="2" t="s">
        <v>1038</v>
      </c>
      <c r="Q3491" s="2" t="s">
        <v>1853</v>
      </c>
      <c r="R3491" s="2" t="s">
        <v>1854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3225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C3492" s="2" t="s">
        <v>3503</v>
      </c>
      <c r="D3492" s="2" t="s">
        <v>2556</v>
      </c>
      <c r="E3492" s="2" t="s">
        <v>108</v>
      </c>
      <c r="F3492" s="2" t="s">
        <v>717</v>
      </c>
      <c r="G3492" s="2">
        <v>500228264</v>
      </c>
      <c r="H3492" s="2" t="s">
        <v>109</v>
      </c>
      <c r="I3492" s="2" t="s">
        <v>2936</v>
      </c>
      <c r="J3492" s="2" t="s">
        <v>2937</v>
      </c>
      <c r="K3492" s="2">
        <v>962004672</v>
      </c>
      <c r="L3492" s="2" t="s">
        <v>398</v>
      </c>
      <c r="M3492" s="2" t="s">
        <v>80</v>
      </c>
      <c r="O3492" s="2" t="s">
        <v>3159</v>
      </c>
      <c r="P3492" s="2" t="s">
        <v>1038</v>
      </c>
      <c r="Q3492" s="2" t="s">
        <v>2741</v>
      </c>
      <c r="R3492" s="2" t="s">
        <v>2742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3225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2515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2516</v>
      </c>
      <c r="J3493" s="2" t="s">
        <v>2517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3225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2674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3225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2515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2516</v>
      </c>
      <c r="J3495" s="2" t="s">
        <v>2517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3225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3225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3225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3503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2693</v>
      </c>
      <c r="P3498" s="2" t="s">
        <v>84</v>
      </c>
      <c r="Q3498" s="2" t="s">
        <v>2743</v>
      </c>
      <c r="R3498" s="2" t="s">
        <v>2744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3441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2698</v>
      </c>
      <c r="P3499" s="2" t="s">
        <v>1193</v>
      </c>
      <c r="Q3499" s="2" t="s">
        <v>1710</v>
      </c>
      <c r="R3499" s="2" t="s">
        <v>1711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2745</v>
      </c>
      <c r="AB3499" s="2" t="s">
        <v>2746</v>
      </c>
      <c r="AC3499" s="2" t="s">
        <v>1193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3441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2698</v>
      </c>
      <c r="P3500" s="2" t="s">
        <v>1193</v>
      </c>
      <c r="Q3500" s="2" t="s">
        <v>1196</v>
      </c>
      <c r="R3500" s="2" t="s">
        <v>1197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1198</v>
      </c>
      <c r="AB3500" s="2" t="s">
        <v>119</v>
      </c>
      <c r="AC3500" s="2" t="s">
        <v>1193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2747</v>
      </c>
      <c r="M3501" s="2" t="s">
        <v>41</v>
      </c>
      <c r="P3501" s="2" t="s">
        <v>1038</v>
      </c>
      <c r="Q3501" s="2" t="s">
        <v>2748</v>
      </c>
      <c r="R3501" s="2" t="s">
        <v>2749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3225</v>
      </c>
      <c r="AA3501" s="2" t="s">
        <v>1041</v>
      </c>
      <c r="AB3501" s="2" t="s">
        <v>2750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3441</v>
      </c>
      <c r="D3502" s="2" t="s">
        <v>2751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2752</v>
      </c>
      <c r="J3502" s="2" t="s">
        <v>2753</v>
      </c>
      <c r="K3502" s="2">
        <v>962332957</v>
      </c>
      <c r="L3502" s="2" t="s">
        <v>112</v>
      </c>
      <c r="M3502" s="2" t="s">
        <v>109</v>
      </c>
      <c r="O3502" s="2" t="s">
        <v>2754</v>
      </c>
      <c r="P3502" s="2" t="s">
        <v>40</v>
      </c>
      <c r="Q3502" s="2" t="s">
        <v>2755</v>
      </c>
      <c r="R3502" s="2" t="s">
        <v>2756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3441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2698</v>
      </c>
      <c r="P3503" s="2" t="s">
        <v>40</v>
      </c>
      <c r="Q3503" s="2" t="s">
        <v>2116</v>
      </c>
      <c r="R3503" s="2" t="s">
        <v>2117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3441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2698</v>
      </c>
      <c r="P3504" s="2" t="s">
        <v>40</v>
      </c>
      <c r="Q3504" s="2" t="s">
        <v>2757</v>
      </c>
      <c r="R3504" s="2" t="s">
        <v>2758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3441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2698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1906</v>
      </c>
      <c r="P3506" s="2" t="s">
        <v>40</v>
      </c>
      <c r="Q3506" s="2" t="s">
        <v>2759</v>
      </c>
      <c r="R3506" s="2" t="s">
        <v>2760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2761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2762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2762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2763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2763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2764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2764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2765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1396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3215</v>
      </c>
      <c r="J3517" s="2" t="s">
        <v>3214</v>
      </c>
      <c r="K3517" s="2">
        <v>913814877</v>
      </c>
      <c r="L3517" s="2" t="s">
        <v>201</v>
      </c>
      <c r="M3517" s="2" t="s">
        <v>40</v>
      </c>
      <c r="O3517" s="2" t="s">
        <v>3210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1396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3215</v>
      </c>
      <c r="J3518" s="2" t="s">
        <v>3214</v>
      </c>
      <c r="K3518" s="2">
        <v>913814877</v>
      </c>
      <c r="L3518" s="2" t="s">
        <v>201</v>
      </c>
      <c r="M3518" s="2" t="s">
        <v>40</v>
      </c>
      <c r="O3518" s="2" t="s">
        <v>3210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2766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2767</v>
      </c>
      <c r="L3519" s="2" t="s">
        <v>133</v>
      </c>
      <c r="M3519" s="2" t="s">
        <v>80</v>
      </c>
      <c r="O3519" s="2" t="s">
        <v>2768</v>
      </c>
      <c r="P3519" s="2" t="s">
        <v>1038</v>
      </c>
      <c r="Q3519" s="2" t="s">
        <v>1267</v>
      </c>
      <c r="R3519" s="2" t="s">
        <v>1268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3225</v>
      </c>
      <c r="AA3519" s="2" t="s">
        <v>1041</v>
      </c>
      <c r="AB3519" s="2" t="s">
        <v>1269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2769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2769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3317</v>
      </c>
      <c r="D3522" s="2" t="s">
        <v>2149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2770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2770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1581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1581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2152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2152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2740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C3534" s="2" t="s">
        <v>3503</v>
      </c>
      <c r="D3534" s="2" t="s">
        <v>2556</v>
      </c>
      <c r="E3534" s="2" t="s">
        <v>108</v>
      </c>
      <c r="F3534" s="2" t="s">
        <v>717</v>
      </c>
      <c r="G3534" s="2">
        <v>500228264</v>
      </c>
      <c r="H3534" s="2" t="s">
        <v>109</v>
      </c>
      <c r="I3534" s="2" t="s">
        <v>2936</v>
      </c>
      <c r="J3534" s="2" t="s">
        <v>2937</v>
      </c>
      <c r="K3534" s="2">
        <v>962004672</v>
      </c>
      <c r="L3534" s="2" t="s">
        <v>398</v>
      </c>
      <c r="M3534" s="2" t="s">
        <v>80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18">
        <f t="shared" ref="X3534" si="567">SIGN(T3534)*((ABS(T3534)-W3534)/ABS(T3534))</f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18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2669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2612</v>
      </c>
      <c r="P3536" s="2" t="s">
        <v>84</v>
      </c>
      <c r="Q3536" s="2" t="s">
        <v>1210</v>
      </c>
      <c r="R3536" s="2" t="s">
        <v>1211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3225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1659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1354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1355</v>
      </c>
      <c r="L3540" s="2" t="s">
        <v>418</v>
      </c>
      <c r="M3540" s="2" t="s">
        <v>40</v>
      </c>
      <c r="P3540" s="2" t="s">
        <v>187</v>
      </c>
      <c r="Q3540" s="2" t="s">
        <v>1307</v>
      </c>
      <c r="R3540" s="2" t="s">
        <v>1308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8">(T3540-W3540)/T3540</f>
        <v>1</v>
      </c>
      <c r="Z3540" s="2" t="s">
        <v>117</v>
      </c>
      <c r="AA3540" s="2" t="s">
        <v>1309</v>
      </c>
      <c r="AF3540" s="2">
        <f t="shared" si="562"/>
        <v>0</v>
      </c>
      <c r="AJ3540" s="2">
        <f t="shared" si="563"/>
        <v>0</v>
      </c>
      <c r="AK3540" s="2">
        <f t="shared" ref="AK3540:AK3546" si="569">T3540-W3540</f>
        <v>111</v>
      </c>
      <c r="AL3540" s="5">
        <f t="shared" ref="AL3540:AL3545" si="570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2771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8"/>
        <v>2.000401846171453E-16</v>
      </c>
      <c r="Z3541" s="2" t="s">
        <v>3225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9"/>
        <v>0</v>
      </c>
      <c r="AL3541" s="5">
        <f t="shared" si="570"/>
        <v>2.000401846171453E-16</v>
      </c>
    </row>
    <row r="3542" spans="1:38" x14ac:dyDescent="0.2">
      <c r="A3542" s="2">
        <v>2026</v>
      </c>
      <c r="B3542" s="2">
        <v>3</v>
      </c>
      <c r="D3542" s="2" t="s">
        <v>2726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8"/>
        <v>0</v>
      </c>
      <c r="Z3542" s="2" t="s">
        <v>3225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9"/>
        <v>0</v>
      </c>
      <c r="AL3542" s="5">
        <f t="shared" si="570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2740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8"/>
        <v>0</v>
      </c>
      <c r="Z3543" s="2" t="s">
        <v>3225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9"/>
        <v>0</v>
      </c>
      <c r="AL3543" s="5">
        <f t="shared" si="570"/>
        <v>0</v>
      </c>
    </row>
    <row r="3544" spans="1:38" x14ac:dyDescent="0.2">
      <c r="A3544" s="2">
        <v>2026</v>
      </c>
      <c r="B3544" s="2">
        <v>3</v>
      </c>
      <c r="D3544" s="2" t="s">
        <v>2722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8"/>
        <v>0</v>
      </c>
      <c r="Z3544" s="2" t="s">
        <v>3225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9"/>
        <v>0</v>
      </c>
      <c r="AL3544" s="5">
        <f t="shared" si="570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2477</v>
      </c>
      <c r="J3545" s="2" t="s">
        <v>1472</v>
      </c>
      <c r="K3545" s="2">
        <v>938183284</v>
      </c>
      <c r="L3545" s="2" t="s">
        <v>133</v>
      </c>
      <c r="M3545" s="2" t="s">
        <v>109</v>
      </c>
      <c r="O3545" s="2" t="s">
        <v>2733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8"/>
        <v>0</v>
      </c>
      <c r="Z3545" s="2" t="s">
        <v>3225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9"/>
        <v>0</v>
      </c>
      <c r="AL3545" s="5">
        <f t="shared" si="570"/>
        <v>0</v>
      </c>
    </row>
    <row r="3546" spans="1:38" x14ac:dyDescent="0.2">
      <c r="A3546" s="2">
        <v>2026</v>
      </c>
      <c r="B3546" s="2">
        <v>3</v>
      </c>
      <c r="C3546" s="2" t="s">
        <v>3317</v>
      </c>
      <c r="D3546" s="2" t="s">
        <v>1162</v>
      </c>
      <c r="E3546" s="2" t="s">
        <v>752</v>
      </c>
      <c r="F3546" s="2" t="s">
        <v>1216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3225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9"/>
        <v>0</v>
      </c>
      <c r="AL3546" s="18">
        <f t="shared" ref="AL3546" si="571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3418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2">(T3547-W3547)/T3547</f>
        <v>0</v>
      </c>
      <c r="Z3547" s="2" t="s">
        <v>3225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3">T3547-W3547</f>
        <v>0</v>
      </c>
      <c r="AL3547" s="5">
        <f t="shared" ref="AL3547:AL3578" si="574">(T3547-W3547)/T3547</f>
        <v>0</v>
      </c>
    </row>
    <row r="3548" spans="1:38" x14ac:dyDescent="0.2">
      <c r="A3548" s="2">
        <v>2026</v>
      </c>
      <c r="B3548" s="2">
        <v>3</v>
      </c>
      <c r="D3548" s="2" t="s">
        <v>2728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2"/>
        <v>0</v>
      </c>
      <c r="Z3548" s="2" t="s">
        <v>3225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3"/>
        <v>0</v>
      </c>
      <c r="AL3548" s="5">
        <f t="shared" si="574"/>
        <v>0</v>
      </c>
    </row>
    <row r="3549" spans="1:38" x14ac:dyDescent="0.2">
      <c r="A3549" s="2">
        <v>2026</v>
      </c>
      <c r="B3549" s="2">
        <v>3</v>
      </c>
      <c r="C3549" s="2" t="s">
        <v>3503</v>
      </c>
      <c r="D3549" s="2" t="s">
        <v>2556</v>
      </c>
      <c r="E3549" s="2" t="s">
        <v>108</v>
      </c>
      <c r="F3549" s="2" t="s">
        <v>717</v>
      </c>
      <c r="G3549" s="2">
        <v>500228264</v>
      </c>
      <c r="H3549" s="2" t="s">
        <v>109</v>
      </c>
      <c r="I3549" s="2" t="s">
        <v>2936</v>
      </c>
      <c r="J3549" s="2" t="s">
        <v>2937</v>
      </c>
      <c r="K3549" s="2">
        <v>962004672</v>
      </c>
      <c r="L3549" s="2" t="s">
        <v>398</v>
      </c>
      <c r="M3549" s="2" t="s">
        <v>80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2"/>
        <v>0</v>
      </c>
      <c r="Z3549" s="2" t="s">
        <v>3225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3"/>
        <v>0</v>
      </c>
      <c r="AL3549" s="5">
        <f t="shared" si="574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2"/>
        <v>0</v>
      </c>
      <c r="Z3550" s="2" t="s">
        <v>3225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3"/>
        <v>0</v>
      </c>
      <c r="AL3550" s="5">
        <f t="shared" si="574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2"/>
        <v>0</v>
      </c>
      <c r="Z3551" s="2" t="s">
        <v>3225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3"/>
        <v>0</v>
      </c>
      <c r="AL3551" s="5">
        <f t="shared" si="574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2"/>
        <v>0</v>
      </c>
      <c r="Z3552" s="2" t="s">
        <v>3225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3"/>
        <v>0</v>
      </c>
      <c r="AL3552" s="5">
        <f t="shared" si="574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2709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2"/>
        <v>0</v>
      </c>
      <c r="Z3553" s="2" t="s">
        <v>3225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3"/>
        <v>0</v>
      </c>
      <c r="AL3553" s="5">
        <f t="shared" si="574"/>
        <v>0</v>
      </c>
    </row>
    <row r="3554" spans="1:38" x14ac:dyDescent="0.2">
      <c r="A3554" s="2">
        <v>2026</v>
      </c>
      <c r="B3554" s="2">
        <v>3</v>
      </c>
      <c r="D3554" s="2" t="s">
        <v>1552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1553</v>
      </c>
      <c r="J3554" s="2" t="s">
        <v>1554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2"/>
        <v>0</v>
      </c>
      <c r="Z3554" s="2" t="s">
        <v>3225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3"/>
        <v>0</v>
      </c>
      <c r="AL3554" s="5">
        <f t="shared" si="574"/>
        <v>0</v>
      </c>
    </row>
    <row r="3555" spans="1:38" x14ac:dyDescent="0.2">
      <c r="A3555" s="2">
        <v>2026</v>
      </c>
      <c r="B3555" s="2">
        <v>3</v>
      </c>
      <c r="D3555" s="2" t="s">
        <v>2713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2"/>
        <v>0</v>
      </c>
      <c r="Z3555" s="2" t="s">
        <v>3225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3"/>
        <v>0</v>
      </c>
      <c r="AL3555" s="5">
        <f t="shared" si="574"/>
        <v>0</v>
      </c>
    </row>
    <row r="3556" spans="1:38" x14ac:dyDescent="0.2">
      <c r="A3556" s="2">
        <v>2026</v>
      </c>
      <c r="B3556" s="2">
        <v>3</v>
      </c>
      <c r="C3556" s="2" t="s">
        <v>3418</v>
      </c>
      <c r="D3556" s="2" t="s">
        <v>2142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2"/>
        <v>0</v>
      </c>
      <c r="Z3556" s="2" t="s">
        <v>3225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3"/>
        <v>0</v>
      </c>
      <c r="AL3556" s="5">
        <f t="shared" si="574"/>
        <v>0</v>
      </c>
    </row>
    <row r="3557" spans="1:38" x14ac:dyDescent="0.2">
      <c r="A3557" s="2">
        <v>2026</v>
      </c>
      <c r="B3557" s="2">
        <v>3</v>
      </c>
      <c r="C3557" s="2" t="s">
        <v>3418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2"/>
        <v>0</v>
      </c>
      <c r="Z3557" s="2" t="s">
        <v>3225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3"/>
        <v>0</v>
      </c>
      <c r="AL3557" s="5">
        <f t="shared" si="574"/>
        <v>0</v>
      </c>
    </row>
    <row r="3558" spans="1:38" x14ac:dyDescent="0.2">
      <c r="A3558" s="2">
        <v>2026</v>
      </c>
      <c r="B3558" s="2">
        <v>3</v>
      </c>
      <c r="C3558" s="2" t="s">
        <v>3317</v>
      </c>
      <c r="D3558" s="2" t="s">
        <v>1254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2710</v>
      </c>
      <c r="J3558" s="2" t="s">
        <v>2711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2"/>
        <v>0</v>
      </c>
      <c r="Z3558" s="2" t="s">
        <v>3225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3"/>
        <v>0</v>
      </c>
      <c r="AL3558" s="5">
        <f t="shared" si="574"/>
        <v>0</v>
      </c>
    </row>
    <row r="3559" spans="1:38" x14ac:dyDescent="0.2">
      <c r="A3559" s="2">
        <v>2026</v>
      </c>
      <c r="B3559" s="2">
        <v>3</v>
      </c>
      <c r="C3559" s="2" t="s">
        <v>3418</v>
      </c>
      <c r="D3559" s="2" t="s">
        <v>1255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2564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2"/>
        <v>0</v>
      </c>
      <c r="Z3559" s="2" t="s">
        <v>3225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3"/>
        <v>0</v>
      </c>
      <c r="AL3559" s="5">
        <f t="shared" si="574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2772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2"/>
        <v>0</v>
      </c>
      <c r="Z3560" s="2" t="s">
        <v>3225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3"/>
        <v>0</v>
      </c>
      <c r="AL3560" s="5">
        <f t="shared" si="574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3132</v>
      </c>
      <c r="L3561" s="2" t="s">
        <v>177</v>
      </c>
      <c r="M3561" s="2" t="s">
        <v>41</v>
      </c>
      <c r="O3561" s="2" t="s">
        <v>2730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2"/>
        <v>0</v>
      </c>
      <c r="Z3561" s="2" t="s">
        <v>3225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3"/>
        <v>0</v>
      </c>
      <c r="AL3561" s="5">
        <f t="shared" si="574"/>
        <v>0</v>
      </c>
    </row>
    <row r="3562" spans="1:38" x14ac:dyDescent="0.2">
      <c r="A3562" s="2">
        <v>2026</v>
      </c>
      <c r="B3562" s="2">
        <v>3</v>
      </c>
      <c r="C3562" s="2" t="s">
        <v>3418</v>
      </c>
      <c r="D3562" s="2" t="s">
        <v>2724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2"/>
        <v>0</v>
      </c>
      <c r="Z3562" s="2" t="s">
        <v>3225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3"/>
        <v>0</v>
      </c>
      <c r="AL3562" s="5">
        <f t="shared" si="574"/>
        <v>0</v>
      </c>
    </row>
    <row r="3563" spans="1:38" x14ac:dyDescent="0.2">
      <c r="A3563" s="2">
        <v>2026</v>
      </c>
      <c r="B3563" s="2">
        <v>3</v>
      </c>
      <c r="D3563" s="2" t="s">
        <v>1417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2410</v>
      </c>
      <c r="J3563" s="2" t="s">
        <v>2411</v>
      </c>
      <c r="L3563" s="2" t="s">
        <v>201</v>
      </c>
      <c r="M3563" s="2" t="s">
        <v>80</v>
      </c>
      <c r="O3563" s="2" t="s">
        <v>2717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2"/>
        <v>0</v>
      </c>
      <c r="Z3563" s="2" t="s">
        <v>3225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3"/>
        <v>0</v>
      </c>
      <c r="AL3563" s="5">
        <f t="shared" si="574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1271</v>
      </c>
      <c r="J3564" s="2" t="s">
        <v>2393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2"/>
        <v>0</v>
      </c>
      <c r="Z3564" s="2" t="s">
        <v>3225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3"/>
        <v>0</v>
      </c>
      <c r="AL3564" s="5">
        <f t="shared" si="574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2707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2"/>
        <v>0</v>
      </c>
      <c r="Z3565" s="2" t="s">
        <v>3225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3"/>
        <v>0</v>
      </c>
      <c r="AL3565" s="5">
        <f t="shared" si="574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2"/>
        <v>0</v>
      </c>
      <c r="Z3566" s="2" t="s">
        <v>3225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3"/>
        <v>0</v>
      </c>
      <c r="AL3566" s="5">
        <f t="shared" si="574"/>
        <v>0</v>
      </c>
    </row>
    <row r="3567" spans="1:38" x14ac:dyDescent="0.2">
      <c r="A3567" s="2">
        <v>2026</v>
      </c>
      <c r="B3567" s="2">
        <v>3</v>
      </c>
      <c r="D3567" s="2" t="s">
        <v>2558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2"/>
        <v>0</v>
      </c>
      <c r="Z3567" s="2" t="s">
        <v>3225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3"/>
        <v>0</v>
      </c>
      <c r="AL3567" s="5">
        <f t="shared" si="574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2"/>
        <v>0</v>
      </c>
      <c r="Z3568" s="2" t="s">
        <v>3225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3"/>
        <v>0</v>
      </c>
      <c r="AL3568" s="5">
        <f t="shared" si="574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2708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2"/>
        <v>0</v>
      </c>
      <c r="Z3569" s="2" t="s">
        <v>3225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3"/>
        <v>0</v>
      </c>
      <c r="AL3569" s="5">
        <f t="shared" si="574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2"/>
        <v>0</v>
      </c>
      <c r="Z3570" s="2" t="s">
        <v>3225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3"/>
        <v>0</v>
      </c>
      <c r="AL3570" s="5">
        <f t="shared" si="574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2721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2"/>
        <v>0</v>
      </c>
      <c r="Z3571" s="2" t="s">
        <v>3225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3"/>
        <v>0</v>
      </c>
      <c r="AL3571" s="5">
        <f t="shared" si="574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5">T3572*70%</f>
        <v>403.2</v>
      </c>
      <c r="X3572" s="5">
        <f t="shared" si="572"/>
        <v>0.30000000000000004</v>
      </c>
      <c r="Z3572" s="2" t="s">
        <v>119</v>
      </c>
      <c r="AA3572" s="2" t="s">
        <v>3377</v>
      </c>
      <c r="AF3572" s="2">
        <f t="shared" si="562"/>
        <v>0</v>
      </c>
      <c r="AJ3572" s="2">
        <f t="shared" si="563"/>
        <v>0</v>
      </c>
      <c r="AK3572" s="2">
        <f t="shared" si="573"/>
        <v>172.8</v>
      </c>
      <c r="AL3572" s="5">
        <f t="shared" si="574"/>
        <v>0.30000000000000004</v>
      </c>
    </row>
    <row r="3573" spans="1:38" x14ac:dyDescent="0.2">
      <c r="A3573" s="2">
        <v>2026</v>
      </c>
      <c r="B3573" s="2">
        <v>3</v>
      </c>
      <c r="C3573" s="2" t="s">
        <v>3441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2698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5"/>
        <v>140</v>
      </c>
      <c r="X3573" s="5">
        <f t="shared" si="572"/>
        <v>0.3</v>
      </c>
      <c r="Z3573" s="2" t="s">
        <v>119</v>
      </c>
      <c r="AA3573" s="2" t="s">
        <v>3377</v>
      </c>
      <c r="AF3573" s="2">
        <f t="shared" si="562"/>
        <v>0</v>
      </c>
      <c r="AJ3573" s="2">
        <f t="shared" si="563"/>
        <v>0</v>
      </c>
      <c r="AK3573" s="2">
        <f t="shared" si="573"/>
        <v>60</v>
      </c>
      <c r="AL3573" s="5">
        <f t="shared" si="574"/>
        <v>0.3</v>
      </c>
    </row>
    <row r="3574" spans="1:38" x14ac:dyDescent="0.2">
      <c r="A3574" s="2">
        <v>2026</v>
      </c>
      <c r="B3574" s="2">
        <v>3</v>
      </c>
      <c r="C3574" s="2" t="s">
        <v>3418</v>
      </c>
      <c r="D3574" s="2" t="s">
        <v>2773</v>
      </c>
      <c r="E3574" s="2" t="s">
        <v>108</v>
      </c>
      <c r="F3574" s="2" t="s">
        <v>39</v>
      </c>
      <c r="L3574" s="2" t="s">
        <v>2437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5"/>
        <v>125.99999999999999</v>
      </c>
      <c r="X3574" s="5">
        <f t="shared" si="572"/>
        <v>0.3000000000000001</v>
      </c>
      <c r="Z3574" s="2" t="s">
        <v>104</v>
      </c>
      <c r="AA3574" s="2" t="s">
        <v>3419</v>
      </c>
      <c r="AB3574" s="2" t="s">
        <v>3420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3"/>
        <v>54.000000000000014</v>
      </c>
      <c r="AL3574" s="5">
        <f t="shared" si="574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5"/>
        <v>125.99999999999999</v>
      </c>
      <c r="X3575" s="5">
        <f t="shared" si="572"/>
        <v>0.3000000000000001</v>
      </c>
      <c r="Z3575" s="2" t="s">
        <v>119</v>
      </c>
      <c r="AA3575" s="2" t="s">
        <v>3377</v>
      </c>
      <c r="AF3575" s="2">
        <f t="shared" si="562"/>
        <v>0</v>
      </c>
      <c r="AJ3575" s="2">
        <f t="shared" si="563"/>
        <v>0</v>
      </c>
      <c r="AK3575" s="2">
        <f t="shared" si="573"/>
        <v>54.000000000000014</v>
      </c>
      <c r="AL3575" s="5">
        <f t="shared" si="574"/>
        <v>0.3000000000000001</v>
      </c>
    </row>
    <row r="3576" spans="1:38" x14ac:dyDescent="0.2">
      <c r="A3576" s="2">
        <v>2026</v>
      </c>
      <c r="B3576" s="2">
        <v>3</v>
      </c>
      <c r="C3576" s="2" t="s">
        <v>3502</v>
      </c>
      <c r="D3576" s="2" t="s">
        <v>2048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2778</v>
      </c>
      <c r="J3576" s="2" t="s">
        <v>2819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5"/>
        <v>47.04</v>
      </c>
      <c r="X3576" s="5">
        <f t="shared" si="572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3"/>
        <v>20.160000000000004</v>
      </c>
      <c r="AL3576" s="5">
        <f t="shared" si="574"/>
        <v>0.30000000000000004</v>
      </c>
    </row>
    <row r="3577" spans="1:38" x14ac:dyDescent="0.2">
      <c r="A3577" s="2">
        <v>2026</v>
      </c>
      <c r="B3577" s="2">
        <v>4</v>
      </c>
      <c r="C3577" s="2" t="s">
        <v>3316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2774</v>
      </c>
      <c r="P3577" s="2" t="s">
        <v>114</v>
      </c>
      <c r="Q3577" s="2" t="s">
        <v>2775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2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3"/>
        <v>12.439999999999998</v>
      </c>
      <c r="AL3577" s="5">
        <f t="shared" si="574"/>
        <v>0.6550816219062664</v>
      </c>
    </row>
    <row r="3578" spans="1:38" x14ac:dyDescent="0.2">
      <c r="A3578" s="2">
        <v>2026</v>
      </c>
      <c r="B3578" s="2">
        <v>4</v>
      </c>
      <c r="C3578" s="2" t="s">
        <v>3316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2776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2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3"/>
        <v>445.75559999999996</v>
      </c>
      <c r="AL3578" s="5">
        <f t="shared" si="574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2777</v>
      </c>
      <c r="P3579" s="2" t="s">
        <v>114</v>
      </c>
      <c r="Q3579" s="2" t="s">
        <v>2296</v>
      </c>
      <c r="R3579" s="2" t="s">
        <v>2297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6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7">T3579-W3579</f>
        <v>117.51000000000002</v>
      </c>
      <c r="AL3579" s="5">
        <f t="shared" ref="AL3579:AL3610" si="578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3502</v>
      </c>
      <c r="D3580" s="2" t="s">
        <v>2048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2778</v>
      </c>
      <c r="J3580" s="2" t="s">
        <v>2819</v>
      </c>
      <c r="K3580" s="2">
        <v>914732950</v>
      </c>
      <c r="L3580" s="2" t="s">
        <v>480</v>
      </c>
      <c r="M3580" s="2" t="s">
        <v>40</v>
      </c>
      <c r="O3580" s="2" t="s">
        <v>2779</v>
      </c>
      <c r="P3580" s="2" t="s">
        <v>114</v>
      </c>
      <c r="Q3580" s="2" t="s">
        <v>2001</v>
      </c>
      <c r="R3580" s="2" t="s">
        <v>2002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6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7"/>
        <v>5.43</v>
      </c>
      <c r="AL3580" s="5">
        <f t="shared" si="578"/>
        <v>0.14659827213822893</v>
      </c>
    </row>
    <row r="3581" spans="1:38" x14ac:dyDescent="0.2">
      <c r="A3581" s="2">
        <v>2026</v>
      </c>
      <c r="B3581" s="2">
        <v>4</v>
      </c>
      <c r="C3581" s="2" t="s">
        <v>3448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1513</v>
      </c>
      <c r="R3581" s="2" t="s">
        <v>1514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6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7"/>
        <v>9.1433</v>
      </c>
      <c r="AL3581" s="5">
        <f t="shared" si="578"/>
        <v>0.44842079450711131</v>
      </c>
    </row>
    <row r="3582" spans="1:38" x14ac:dyDescent="0.2">
      <c r="A3582" s="2">
        <v>2026</v>
      </c>
      <c r="B3582" s="2">
        <v>4</v>
      </c>
      <c r="D3582" s="2" t="s">
        <v>2780</v>
      </c>
      <c r="G3582" s="2">
        <v>219031614</v>
      </c>
      <c r="I3582" s="2" t="s">
        <v>2198</v>
      </c>
      <c r="M3582" s="2" t="s">
        <v>40</v>
      </c>
      <c r="O3582" s="2" t="s">
        <v>2781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6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7"/>
        <v>84.728400000000008</v>
      </c>
      <c r="AL3582" s="5">
        <f t="shared" si="578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2782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6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7"/>
        <v>17.91</v>
      </c>
      <c r="AL3583" s="5">
        <f t="shared" si="578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2783</v>
      </c>
      <c r="P3584" s="2" t="s">
        <v>114</v>
      </c>
      <c r="Q3584" s="2" t="s">
        <v>2784</v>
      </c>
      <c r="R3584" s="2" t="s">
        <v>2785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6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7"/>
        <v>22.2</v>
      </c>
      <c r="AL3584" s="5">
        <f t="shared" si="578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2783</v>
      </c>
      <c r="P3585" s="2" t="s">
        <v>114</v>
      </c>
      <c r="Q3585" s="2" t="s">
        <v>2786</v>
      </c>
      <c r="R3585" s="2" t="s">
        <v>2486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6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9">AJ3585</f>
        <v>0</v>
      </c>
      <c r="AG3585" s="2">
        <f>63.89+1.02</f>
        <v>64.91</v>
      </c>
      <c r="AJ3585" s="2">
        <f t="shared" ref="AJ3585:AJ3648" si="580">AI3585*T3585</f>
        <v>0</v>
      </c>
      <c r="AK3585" s="2">
        <f t="shared" si="577"/>
        <v>69.259999999999991</v>
      </c>
      <c r="AL3585" s="5">
        <f t="shared" si="578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6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9"/>
        <v>0</v>
      </c>
      <c r="AG3586" s="2">
        <f>W3586</f>
        <v>100</v>
      </c>
      <c r="AJ3586" s="2">
        <f t="shared" si="580"/>
        <v>0</v>
      </c>
      <c r="AK3586" s="2">
        <f t="shared" si="577"/>
        <v>100</v>
      </c>
      <c r="AL3586" s="5">
        <f t="shared" si="578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2475</v>
      </c>
      <c r="J3587" s="2" t="s">
        <v>3121</v>
      </c>
      <c r="K3587" s="2">
        <v>965864665</v>
      </c>
      <c r="L3587" s="2" t="s">
        <v>344</v>
      </c>
      <c r="M3587" s="2" t="s">
        <v>40</v>
      </c>
      <c r="O3587" s="2" t="s">
        <v>2787</v>
      </c>
      <c r="P3587" s="2" t="s">
        <v>114</v>
      </c>
      <c r="Q3587" s="2" t="s">
        <v>1249</v>
      </c>
      <c r="R3587" s="2" t="s">
        <v>1250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6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9"/>
        <v>0</v>
      </c>
      <c r="AG3587" s="2">
        <v>183.26</v>
      </c>
      <c r="AJ3587" s="2">
        <f t="shared" si="580"/>
        <v>0</v>
      </c>
      <c r="AK3587" s="2">
        <f t="shared" si="577"/>
        <v>151.26999999999998</v>
      </c>
      <c r="AL3587" s="5">
        <f t="shared" si="578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2788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6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9"/>
        <v>0</v>
      </c>
      <c r="AG3588" s="2">
        <v>22.2</v>
      </c>
      <c r="AJ3588" s="2">
        <f t="shared" si="580"/>
        <v>0</v>
      </c>
      <c r="AK3588" s="2">
        <f t="shared" si="577"/>
        <v>51.816000000000003</v>
      </c>
      <c r="AL3588" s="5">
        <f t="shared" si="578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6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9"/>
        <v>0</v>
      </c>
      <c r="AG3589" s="2">
        <v>22.2</v>
      </c>
      <c r="AJ3589" s="2">
        <f t="shared" si="580"/>
        <v>0</v>
      </c>
      <c r="AK3589" s="2">
        <f t="shared" si="577"/>
        <v>25.908000000000001</v>
      </c>
      <c r="AL3589" s="5">
        <f t="shared" si="578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2790</v>
      </c>
      <c r="R3590" s="2" t="s">
        <v>2791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6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9"/>
        <v>0</v>
      </c>
      <c r="AG3590" s="2">
        <f>249.84+4</f>
        <v>253.84</v>
      </c>
      <c r="AJ3590" s="2">
        <f t="shared" si="580"/>
        <v>0</v>
      </c>
      <c r="AK3590" s="2">
        <f t="shared" si="577"/>
        <v>270.81999999999994</v>
      </c>
      <c r="AL3590" s="5">
        <f t="shared" si="578"/>
        <v>0.51618190828345967</v>
      </c>
    </row>
    <row r="3591" spans="1:38" x14ac:dyDescent="0.2">
      <c r="A3591" s="2">
        <v>2026</v>
      </c>
      <c r="B3591" s="2">
        <v>4</v>
      </c>
      <c r="C3591" s="2" t="s">
        <v>3316</v>
      </c>
      <c r="D3591" s="2" t="s">
        <v>2318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2792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6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9"/>
        <v>0</v>
      </c>
      <c r="AG3591" s="2">
        <v>30.22</v>
      </c>
      <c r="AJ3591" s="2">
        <f t="shared" si="580"/>
        <v>0</v>
      </c>
      <c r="AK3591" s="2">
        <f t="shared" si="577"/>
        <v>32.85</v>
      </c>
      <c r="AL3591" s="5">
        <f t="shared" si="578"/>
        <v>0.51764891270091395</v>
      </c>
    </row>
    <row r="3592" spans="1:38" x14ac:dyDescent="0.2">
      <c r="A3592" s="2">
        <v>2026</v>
      </c>
      <c r="B3592" s="2">
        <v>3</v>
      </c>
      <c r="D3592" s="2" t="s">
        <v>2765</v>
      </c>
      <c r="M3592" s="2" t="s">
        <v>40</v>
      </c>
      <c r="O3592" s="2" t="s">
        <v>2793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6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9"/>
        <v>0</v>
      </c>
      <c r="AG3592" s="2">
        <v>342.22</v>
      </c>
      <c r="AJ3592" s="2">
        <f t="shared" si="580"/>
        <v>0</v>
      </c>
      <c r="AK3592" s="2">
        <f t="shared" si="577"/>
        <v>354.09659999999997</v>
      </c>
      <c r="AL3592" s="5">
        <f t="shared" si="578"/>
        <v>0.50635864435864431</v>
      </c>
    </row>
    <row r="3593" spans="1:38" x14ac:dyDescent="0.2">
      <c r="A3593" s="2">
        <v>2026</v>
      </c>
      <c r="B3593" s="2">
        <v>4</v>
      </c>
      <c r="D3593" s="2" t="s">
        <v>2794</v>
      </c>
      <c r="M3593" s="2" t="s">
        <v>40</v>
      </c>
      <c r="O3593" s="2" t="s">
        <v>2795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6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9"/>
        <v>0</v>
      </c>
      <c r="AG3593" s="2">
        <v>342.22</v>
      </c>
      <c r="AJ3593" s="2">
        <f t="shared" si="580"/>
        <v>0</v>
      </c>
      <c r="AK3593" s="2">
        <f t="shared" si="577"/>
        <v>354.09659999999997</v>
      </c>
      <c r="AL3593" s="5">
        <f t="shared" si="578"/>
        <v>0.50635864435864431</v>
      </c>
    </row>
    <row r="3594" spans="1:38" x14ac:dyDescent="0.2">
      <c r="A3594" s="2">
        <v>2026</v>
      </c>
      <c r="B3594" s="2">
        <v>4</v>
      </c>
      <c r="D3594" s="2" t="s">
        <v>2796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2797</v>
      </c>
      <c r="J3594" s="2" t="s">
        <v>2798</v>
      </c>
      <c r="L3594" s="2" t="s">
        <v>201</v>
      </c>
      <c r="M3594" s="2" t="s">
        <v>40</v>
      </c>
      <c r="O3594" s="2" t="s">
        <v>2799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6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9"/>
        <v>0</v>
      </c>
      <c r="AG3594" s="2">
        <v>342.22</v>
      </c>
      <c r="AJ3594" s="2">
        <f t="shared" si="580"/>
        <v>0</v>
      </c>
      <c r="AK3594" s="2">
        <f t="shared" si="577"/>
        <v>354.09659999999997</v>
      </c>
      <c r="AL3594" s="5">
        <f t="shared" si="578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2800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6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9"/>
        <v>0</v>
      </c>
      <c r="AJ3595" s="2">
        <f t="shared" si="580"/>
        <v>0</v>
      </c>
      <c r="AK3595" s="2">
        <f t="shared" si="577"/>
        <v>352.72999999999996</v>
      </c>
      <c r="AL3595" s="5">
        <f t="shared" si="578"/>
        <v>0.50440440440440437</v>
      </c>
    </row>
    <row r="3596" spans="1:38" x14ac:dyDescent="0.2">
      <c r="A3596" s="2">
        <v>2026</v>
      </c>
      <c r="B3596" s="2">
        <v>4</v>
      </c>
      <c r="D3596" s="2" t="s">
        <v>2603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2604</v>
      </c>
      <c r="K3596" s="2">
        <v>935402550</v>
      </c>
      <c r="L3596" s="2" t="s">
        <v>112</v>
      </c>
      <c r="M3596" s="2" t="s">
        <v>40</v>
      </c>
      <c r="O3596" s="2" t="s">
        <v>2605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6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9"/>
        <v>0</v>
      </c>
      <c r="AG3596" s="2">
        <v>346.57</v>
      </c>
      <c r="AJ3596" s="2">
        <f t="shared" si="580"/>
        <v>0</v>
      </c>
      <c r="AK3596" s="2">
        <f t="shared" si="577"/>
        <v>352.72999999999996</v>
      </c>
      <c r="AL3596" s="5">
        <f t="shared" si="578"/>
        <v>0.50440440440440437</v>
      </c>
    </row>
    <row r="3597" spans="1:38" x14ac:dyDescent="0.2">
      <c r="A3597" s="2">
        <v>2026</v>
      </c>
      <c r="B3597" s="2">
        <v>4</v>
      </c>
      <c r="D3597" s="2" t="s">
        <v>2606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2607</v>
      </c>
      <c r="J3597" s="2" t="s">
        <v>2608</v>
      </c>
      <c r="K3597" s="2">
        <v>912183782</v>
      </c>
      <c r="L3597" s="2" t="s">
        <v>201</v>
      </c>
      <c r="M3597" s="2" t="s">
        <v>40</v>
      </c>
      <c r="O3597" s="2" t="s">
        <v>2609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6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9"/>
        <v>0</v>
      </c>
      <c r="AG3597" s="2">
        <v>346.57</v>
      </c>
      <c r="AJ3597" s="2">
        <f t="shared" si="580"/>
        <v>0</v>
      </c>
      <c r="AK3597" s="2">
        <f t="shared" si="577"/>
        <v>352.72999999999996</v>
      </c>
      <c r="AL3597" s="5">
        <f t="shared" si="578"/>
        <v>0.50440440440440437</v>
      </c>
    </row>
    <row r="3598" spans="1:38" x14ac:dyDescent="0.2">
      <c r="A3598" s="2">
        <v>2026</v>
      </c>
      <c r="B3598" s="2">
        <v>4</v>
      </c>
      <c r="D3598" s="2" t="s">
        <v>2613</v>
      </c>
      <c r="M3598" s="2" t="s">
        <v>40</v>
      </c>
      <c r="O3598" s="2" t="s">
        <v>2801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6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9"/>
        <v>0</v>
      </c>
      <c r="AJ3598" s="2">
        <f t="shared" si="580"/>
        <v>0</v>
      </c>
      <c r="AK3598" s="2">
        <f t="shared" si="577"/>
        <v>352.72999999999996</v>
      </c>
      <c r="AL3598" s="5">
        <f t="shared" si="578"/>
        <v>0.50440440440440437</v>
      </c>
    </row>
    <row r="3599" spans="1:38" x14ac:dyDescent="0.2">
      <c r="A3599" s="2">
        <v>2026</v>
      </c>
      <c r="B3599" s="2">
        <v>4</v>
      </c>
      <c r="C3599" s="2" t="s">
        <v>3316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2774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6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9"/>
        <v>0</v>
      </c>
      <c r="AJ3599" s="2">
        <f t="shared" si="580"/>
        <v>0</v>
      </c>
      <c r="AK3599" s="2">
        <f t="shared" si="577"/>
        <v>229.38000000000005</v>
      </c>
      <c r="AL3599" s="5">
        <f t="shared" si="578"/>
        <v>0.39826373817171634</v>
      </c>
    </row>
    <row r="3600" spans="1:38" x14ac:dyDescent="0.2">
      <c r="A3600" s="2">
        <v>2026</v>
      </c>
      <c r="B3600" s="2">
        <v>4</v>
      </c>
      <c r="D3600" s="2" t="s">
        <v>1598</v>
      </c>
      <c r="M3600" s="2" t="s">
        <v>40</v>
      </c>
      <c r="O3600" s="2" t="s">
        <v>2802</v>
      </c>
      <c r="P3600" s="2" t="s">
        <v>114</v>
      </c>
      <c r="Q3600" s="2" t="s">
        <v>1199</v>
      </c>
      <c r="R3600" s="2" t="s">
        <v>1200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6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9"/>
        <v>0</v>
      </c>
      <c r="AG3600" s="2">
        <f>167.92</f>
        <v>167.92</v>
      </c>
      <c r="AJ3600" s="2">
        <f t="shared" si="580"/>
        <v>0</v>
      </c>
      <c r="AK3600" s="2">
        <f t="shared" si="577"/>
        <v>188.89000000000001</v>
      </c>
      <c r="AL3600" s="5">
        <f t="shared" si="578"/>
        <v>0.5293853871808526</v>
      </c>
    </row>
    <row r="3601" spans="1:38" x14ac:dyDescent="0.2">
      <c r="A3601" s="2">
        <v>2026</v>
      </c>
      <c r="B3601" s="2">
        <v>4</v>
      </c>
      <c r="D3601" s="2" t="s">
        <v>2794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6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9"/>
        <v>0</v>
      </c>
      <c r="AG3601" s="2">
        <f>W3601</f>
        <v>36.800000000000004</v>
      </c>
      <c r="AJ3601" s="2">
        <f t="shared" si="580"/>
        <v>0</v>
      </c>
      <c r="AK3601" s="2">
        <f t="shared" si="577"/>
        <v>55.199999999999996</v>
      </c>
      <c r="AL3601" s="5">
        <f t="shared" si="578"/>
        <v>0.6</v>
      </c>
    </row>
    <row r="3602" spans="1:38" x14ac:dyDescent="0.2">
      <c r="A3602" s="2">
        <v>2026</v>
      </c>
      <c r="B3602" s="2">
        <v>4</v>
      </c>
      <c r="D3602" s="2" t="s">
        <v>2282</v>
      </c>
      <c r="M3602" s="2" t="s">
        <v>40</v>
      </c>
      <c r="O3602" s="2" t="s">
        <v>2803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6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9"/>
        <v>0</v>
      </c>
      <c r="AG3602" s="2">
        <f>231.78+0.96</f>
        <v>232.74</v>
      </c>
      <c r="AJ3602" s="2">
        <f t="shared" si="580"/>
        <v>0</v>
      </c>
      <c r="AK3602" s="2">
        <f t="shared" si="577"/>
        <v>250.9734</v>
      </c>
      <c r="AL3602" s="5">
        <f t="shared" si="578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2602</v>
      </c>
      <c r="P3603" s="2" t="s">
        <v>114</v>
      </c>
      <c r="Q3603" s="2" t="s">
        <v>1654</v>
      </c>
      <c r="R3603" s="2" t="s">
        <v>1655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6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9"/>
        <v>0</v>
      </c>
      <c r="AG3603" s="2">
        <v>565.755</v>
      </c>
      <c r="AJ3603" s="2">
        <f t="shared" si="580"/>
        <v>0</v>
      </c>
      <c r="AK3603" s="2">
        <f t="shared" si="577"/>
        <v>1279.1445000000001</v>
      </c>
      <c r="AL3603" s="5">
        <f t="shared" si="578"/>
        <v>0.69334083148138115</v>
      </c>
    </row>
    <row r="3604" spans="1:38" x14ac:dyDescent="0.2">
      <c r="A3604" s="2">
        <v>2026</v>
      </c>
      <c r="B3604" s="2">
        <v>4</v>
      </c>
      <c r="C3604" s="2" t="s">
        <v>3441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2804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6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9"/>
        <v>0</v>
      </c>
      <c r="AG3604" s="2">
        <v>255.65</v>
      </c>
      <c r="AJ3604" s="2">
        <f t="shared" si="580"/>
        <v>0</v>
      </c>
      <c r="AK3604" s="2">
        <f t="shared" si="577"/>
        <v>514.59</v>
      </c>
      <c r="AL3604" s="5">
        <f t="shared" si="578"/>
        <v>0.66809046530951399</v>
      </c>
    </row>
    <row r="3605" spans="1:38" x14ac:dyDescent="0.2">
      <c r="A3605" s="2">
        <v>2026</v>
      </c>
      <c r="B3605" s="2">
        <v>4</v>
      </c>
      <c r="C3605" s="2" t="s">
        <v>3448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2805</v>
      </c>
      <c r="P3605" s="2" t="s">
        <v>114</v>
      </c>
      <c r="Q3605" s="2" t="s">
        <v>2485</v>
      </c>
      <c r="R3605" s="2" t="s">
        <v>2486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6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9"/>
        <v>0</v>
      </c>
      <c r="AG3605" s="2">
        <v>102.88249999999999</v>
      </c>
      <c r="AJ3605" s="2">
        <f t="shared" si="580"/>
        <v>0</v>
      </c>
      <c r="AK3605" s="2">
        <f t="shared" si="577"/>
        <v>112.075</v>
      </c>
      <c r="AL3605" s="5">
        <f t="shared" si="578"/>
        <v>0.52137606996650543</v>
      </c>
    </row>
    <row r="3606" spans="1:38" x14ac:dyDescent="0.2">
      <c r="A3606" s="2">
        <v>2026</v>
      </c>
      <c r="B3606" s="2">
        <v>4</v>
      </c>
      <c r="D3606" s="2" t="s">
        <v>1598</v>
      </c>
      <c r="M3606" s="2" t="s">
        <v>40</v>
      </c>
      <c r="O3606" s="2" t="s">
        <v>2802</v>
      </c>
      <c r="P3606" s="2" t="s">
        <v>114</v>
      </c>
      <c r="Q3606" s="2" t="s">
        <v>2806</v>
      </c>
      <c r="R3606" s="2" t="s">
        <v>2807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6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9"/>
        <v>0</v>
      </c>
      <c r="AG3606" s="2">
        <v>42.436799999999998</v>
      </c>
      <c r="AJ3606" s="2">
        <f t="shared" si="580"/>
        <v>0</v>
      </c>
      <c r="AK3606" s="2">
        <f t="shared" si="577"/>
        <v>46.603200000000008</v>
      </c>
      <c r="AL3606" s="5">
        <f t="shared" si="578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2808</v>
      </c>
      <c r="R3607" s="2" t="s">
        <v>2809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6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9"/>
        <v>0</v>
      </c>
      <c r="AG3607" s="2">
        <v>42.436799999999998</v>
      </c>
      <c r="AJ3607" s="2">
        <f t="shared" si="580"/>
        <v>0</v>
      </c>
      <c r="AK3607" s="2">
        <f t="shared" si="577"/>
        <v>11.613199999999999</v>
      </c>
      <c r="AL3607" s="5">
        <f t="shared" si="578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2783</v>
      </c>
      <c r="P3608" s="2" t="s">
        <v>114</v>
      </c>
      <c r="Q3608" s="2" t="s">
        <v>2810</v>
      </c>
      <c r="R3608" s="2" t="s">
        <v>2811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6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9"/>
        <v>0</v>
      </c>
      <c r="AG3608" s="2">
        <f>15.49+0.25</f>
        <v>15.74</v>
      </c>
      <c r="AJ3608" s="2">
        <f t="shared" si="580"/>
        <v>0</v>
      </c>
      <c r="AK3608" s="2">
        <f t="shared" si="577"/>
        <v>16.79</v>
      </c>
      <c r="AL3608" s="5">
        <f t="shared" si="578"/>
        <v>0.51613894866277277</v>
      </c>
    </row>
    <row r="3609" spans="1:38" x14ac:dyDescent="0.2">
      <c r="A3609" s="2">
        <v>2026</v>
      </c>
      <c r="B3609" s="2">
        <v>4</v>
      </c>
      <c r="D3609" s="2" t="s">
        <v>1589</v>
      </c>
      <c r="E3609" s="2" t="s">
        <v>38</v>
      </c>
      <c r="F3609" s="2" t="s">
        <v>39</v>
      </c>
      <c r="L3609" s="2" t="s">
        <v>571</v>
      </c>
      <c r="M3609" s="2" t="s">
        <v>40</v>
      </c>
      <c r="O3609" s="2" t="s">
        <v>2812</v>
      </c>
      <c r="P3609" s="2" t="s">
        <v>114</v>
      </c>
      <c r="Q3609" s="2" t="s">
        <v>1590</v>
      </c>
      <c r="R3609" s="2" t="s">
        <v>1591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6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9"/>
        <v>0</v>
      </c>
      <c r="AG3609" s="2">
        <v>21.32</v>
      </c>
      <c r="AJ3609" s="2">
        <f t="shared" si="580"/>
        <v>0</v>
      </c>
      <c r="AK3609" s="2">
        <f t="shared" si="577"/>
        <v>25.270000000000003</v>
      </c>
      <c r="AL3609" s="5">
        <f t="shared" si="578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2813</v>
      </c>
      <c r="P3610" s="2" t="s">
        <v>114</v>
      </c>
      <c r="Q3610" s="2" t="s">
        <v>2814</v>
      </c>
      <c r="R3610" s="2" t="s">
        <v>2815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6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9"/>
        <v>0</v>
      </c>
      <c r="AG3610" s="2">
        <v>19.5167</v>
      </c>
      <c r="AJ3610" s="2">
        <f t="shared" si="580"/>
        <v>0</v>
      </c>
      <c r="AK3610" s="2">
        <f t="shared" si="577"/>
        <v>21.823300000000003</v>
      </c>
      <c r="AL3610" s="5">
        <f t="shared" si="578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2816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9"/>
        <v>0</v>
      </c>
      <c r="AJ3611" s="2">
        <f t="shared" si="580"/>
        <v>0</v>
      </c>
      <c r="AK3611" s="2">
        <f t="shared" si="577"/>
        <v>-121.31</v>
      </c>
      <c r="AL3611" s="18">
        <f t="shared" ref="AL3611" si="581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1331</v>
      </c>
      <c r="R3612" s="2" t="s">
        <v>1332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2">(T3612-W3612)/T3612</f>
        <v>1</v>
      </c>
      <c r="Z3612" s="2" t="s">
        <v>117</v>
      </c>
      <c r="AF3612" s="2">
        <f t="shared" si="579"/>
        <v>0</v>
      </c>
      <c r="AJ3612" s="2">
        <f t="shared" si="580"/>
        <v>0</v>
      </c>
      <c r="AK3612" s="2">
        <f t="shared" ref="AK3612:AK3635" si="583">T3612-W3612</f>
        <v>140.24</v>
      </c>
      <c r="AL3612" s="5">
        <f t="shared" ref="AL3612:AL3634" si="584">(T3612-W3612)/T3612</f>
        <v>1</v>
      </c>
    </row>
    <row r="3613" spans="1:38" x14ac:dyDescent="0.2">
      <c r="A3613" s="2">
        <v>2026</v>
      </c>
      <c r="B3613" s="2">
        <v>4</v>
      </c>
      <c r="C3613" s="2" t="s">
        <v>3466</v>
      </c>
      <c r="D3613" s="2" t="s">
        <v>1437</v>
      </c>
      <c r="E3613" s="2" t="s">
        <v>3416</v>
      </c>
      <c r="F3613" s="2" t="s">
        <v>3417</v>
      </c>
      <c r="L3613" s="2" t="s">
        <v>133</v>
      </c>
      <c r="M3613" s="2" t="s">
        <v>40</v>
      </c>
      <c r="P3613" s="2" t="s">
        <v>114</v>
      </c>
      <c r="Q3613" s="2" t="s">
        <v>1901</v>
      </c>
      <c r="R3613" s="2" t="s">
        <v>1902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2"/>
        <v>1</v>
      </c>
      <c r="Z3613" s="2" t="s">
        <v>117</v>
      </c>
      <c r="AF3613" s="2">
        <f t="shared" si="579"/>
        <v>0</v>
      </c>
      <c r="AJ3613" s="2">
        <f t="shared" si="580"/>
        <v>0</v>
      </c>
      <c r="AK3613" s="2">
        <f t="shared" si="583"/>
        <v>1031.94</v>
      </c>
      <c r="AL3613" s="5">
        <f t="shared" si="584"/>
        <v>1</v>
      </c>
    </row>
    <row r="3614" spans="1:38" x14ac:dyDescent="0.2">
      <c r="A3614" s="2">
        <v>2026</v>
      </c>
      <c r="B3614" s="2">
        <v>4</v>
      </c>
      <c r="C3614" s="2" t="s">
        <v>3448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2501</v>
      </c>
      <c r="R3614" s="2" t="s">
        <v>2502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2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9"/>
        <v>0</v>
      </c>
      <c r="AJ3614" s="2">
        <f t="shared" si="580"/>
        <v>0</v>
      </c>
      <c r="AK3614" s="2">
        <f t="shared" si="583"/>
        <v>1028.0500000000002</v>
      </c>
      <c r="AL3614" s="5">
        <f t="shared" si="584"/>
        <v>0.64465862345740954</v>
      </c>
    </row>
    <row r="3615" spans="1:38" x14ac:dyDescent="0.2">
      <c r="A3615" s="2">
        <v>2026</v>
      </c>
      <c r="B3615" s="2">
        <v>4</v>
      </c>
      <c r="C3615" s="2" t="s">
        <v>3316</v>
      </c>
      <c r="D3615" s="2" t="s">
        <v>1162</v>
      </c>
      <c r="E3615" s="2" t="s">
        <v>752</v>
      </c>
      <c r="F3615" s="2" t="s">
        <v>1216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2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9"/>
        <v>0</v>
      </c>
      <c r="AJ3615" s="2">
        <f t="shared" si="580"/>
        <v>0</v>
      </c>
      <c r="AK3615" s="2">
        <f t="shared" si="583"/>
        <v>5320.6</v>
      </c>
      <c r="AL3615" s="5">
        <f t="shared" si="584"/>
        <v>0.33274546591619764</v>
      </c>
    </row>
    <row r="3616" spans="1:38" x14ac:dyDescent="0.2">
      <c r="A3616" s="2">
        <v>2026</v>
      </c>
      <c r="B3616" s="2">
        <v>4</v>
      </c>
      <c r="D3616" s="2" t="s">
        <v>3257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2645</v>
      </c>
      <c r="L3616" s="2" t="s">
        <v>398</v>
      </c>
      <c r="M3616" s="2" t="s">
        <v>40</v>
      </c>
      <c r="O3616" s="2" t="s">
        <v>3258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2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9"/>
        <v>0</v>
      </c>
      <c r="AJ3616" s="2">
        <f t="shared" si="580"/>
        <v>0</v>
      </c>
      <c r="AK3616" s="2">
        <f t="shared" si="583"/>
        <v>4004.8500000000004</v>
      </c>
      <c r="AL3616" s="5">
        <f t="shared" si="584"/>
        <v>0.26716811207471652</v>
      </c>
    </row>
    <row r="3617" spans="1:38" x14ac:dyDescent="0.2">
      <c r="A3617" s="2">
        <v>2026</v>
      </c>
      <c r="B3617" s="2">
        <v>4</v>
      </c>
      <c r="C3617" s="2" t="s">
        <v>3316</v>
      </c>
      <c r="D3617" s="2" t="s">
        <v>1162</v>
      </c>
      <c r="E3617" s="2" t="s">
        <v>752</v>
      </c>
      <c r="F3617" s="2" t="s">
        <v>1216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2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9"/>
        <v>0</v>
      </c>
      <c r="AG3617" s="2">
        <f>6193.4+275.33</f>
        <v>6468.73</v>
      </c>
      <c r="AJ3617" s="2">
        <f t="shared" si="580"/>
        <v>0</v>
      </c>
      <c r="AK3617" s="2">
        <f t="shared" si="583"/>
        <v>2461.2700000000004</v>
      </c>
      <c r="AL3617" s="5">
        <f t="shared" si="584"/>
        <v>0.27561814109742444</v>
      </c>
    </row>
    <row r="3618" spans="1:38" x14ac:dyDescent="0.2">
      <c r="A3618" s="2">
        <v>2026</v>
      </c>
      <c r="B3618" s="2">
        <v>4</v>
      </c>
      <c r="C3618" s="2" t="s">
        <v>3448</v>
      </c>
      <c r="D3618" s="2" t="s">
        <v>3455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2817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2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9"/>
        <v>0</v>
      </c>
      <c r="AG3618" s="2">
        <v>6468.73</v>
      </c>
      <c r="AJ3618" s="2">
        <f t="shared" si="580"/>
        <v>0</v>
      </c>
      <c r="AK3618" s="2">
        <f t="shared" si="583"/>
        <v>2461.2700000000004</v>
      </c>
      <c r="AL3618" s="5">
        <f t="shared" si="584"/>
        <v>0.27561814109742444</v>
      </c>
    </row>
    <row r="3619" spans="1:38" x14ac:dyDescent="0.2">
      <c r="A3619" s="2">
        <v>2026</v>
      </c>
      <c r="B3619" s="2">
        <v>4</v>
      </c>
      <c r="C3619" s="2" t="s">
        <v>3316</v>
      </c>
      <c r="D3619" s="2" t="s">
        <v>1162</v>
      </c>
      <c r="E3619" s="2" t="s">
        <v>752</v>
      </c>
      <c r="F3619" s="2" t="s">
        <v>1216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1577</v>
      </c>
      <c r="R3619" s="2" t="s">
        <v>1578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2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9"/>
        <v>0</v>
      </c>
      <c r="AG3619" s="2">
        <f>4893.23+171</f>
        <v>5064.2299999999996</v>
      </c>
      <c r="AJ3619" s="2">
        <f t="shared" si="580"/>
        <v>0</v>
      </c>
      <c r="AK3619" s="2">
        <f t="shared" si="583"/>
        <v>2275.7700000000004</v>
      </c>
      <c r="AL3619" s="5">
        <f t="shared" si="584"/>
        <v>0.31005040871934608</v>
      </c>
    </row>
    <row r="3620" spans="1:38" x14ac:dyDescent="0.2">
      <c r="A3620" s="2">
        <v>2026</v>
      </c>
      <c r="B3620" s="2">
        <v>4</v>
      </c>
      <c r="C3620" s="2" t="s">
        <v>3448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2818</v>
      </c>
      <c r="P3620" s="2" t="s">
        <v>114</v>
      </c>
      <c r="Q3620" s="2" t="s">
        <v>1577</v>
      </c>
      <c r="R3620" s="2" t="s">
        <v>1578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2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9"/>
        <v>0</v>
      </c>
      <c r="AG3620" s="2">
        <f>4893.23+171</f>
        <v>5064.2299999999996</v>
      </c>
      <c r="AJ3620" s="2">
        <f t="shared" si="580"/>
        <v>0</v>
      </c>
      <c r="AK3620" s="2">
        <f t="shared" si="583"/>
        <v>1925.7700000000004</v>
      </c>
      <c r="AL3620" s="5">
        <f t="shared" si="584"/>
        <v>0.27550357653791135</v>
      </c>
    </row>
    <row r="3621" spans="1:38" x14ac:dyDescent="0.2">
      <c r="A3621" s="2">
        <v>2026</v>
      </c>
      <c r="B3621" s="2">
        <v>4</v>
      </c>
      <c r="C3621" s="2" t="s">
        <v>3441</v>
      </c>
      <c r="D3621" s="2" t="s">
        <v>2048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2778</v>
      </c>
      <c r="J3621" s="2" t="s">
        <v>2819</v>
      </c>
      <c r="K3621" s="2">
        <v>914732950</v>
      </c>
      <c r="L3621" s="2" t="s">
        <v>480</v>
      </c>
      <c r="M3621" s="2" t="s">
        <v>40</v>
      </c>
      <c r="O3621" s="2" t="s">
        <v>2820</v>
      </c>
      <c r="P3621" s="2" t="s">
        <v>1603</v>
      </c>
      <c r="Q3621" s="2" t="s">
        <v>1601</v>
      </c>
      <c r="R3621" s="2" t="s">
        <v>1602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2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1603</v>
      </c>
      <c r="AF3621" s="2">
        <f t="shared" si="579"/>
        <v>0</v>
      </c>
      <c r="AG3621" s="2">
        <v>10.15</v>
      </c>
      <c r="AJ3621" s="2">
        <f t="shared" si="580"/>
        <v>0</v>
      </c>
      <c r="AK3621" s="2">
        <f t="shared" si="583"/>
        <v>58.71</v>
      </c>
      <c r="AL3621" s="5">
        <f t="shared" si="584"/>
        <v>0.8525994772001162</v>
      </c>
    </row>
    <row r="3622" spans="1:38" x14ac:dyDescent="0.2">
      <c r="A3622" s="2">
        <v>2026</v>
      </c>
      <c r="B3622" s="2">
        <v>4</v>
      </c>
      <c r="C3622" s="2" t="s">
        <v>3443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1607</v>
      </c>
      <c r="Q3622" s="2" t="s">
        <v>2821</v>
      </c>
      <c r="R3622" s="2" t="s">
        <v>2822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2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1607</v>
      </c>
      <c r="AF3622" s="2">
        <f t="shared" si="579"/>
        <v>0</v>
      </c>
      <c r="AJ3622" s="2">
        <f t="shared" si="580"/>
        <v>0</v>
      </c>
      <c r="AK3622" s="2">
        <f t="shared" si="583"/>
        <v>1963.1800000000003</v>
      </c>
      <c r="AL3622" s="5">
        <f t="shared" si="584"/>
        <v>0.2130417797069995</v>
      </c>
    </row>
    <row r="3623" spans="1:38" x14ac:dyDescent="0.2">
      <c r="A3623" s="2">
        <v>2026</v>
      </c>
      <c r="B3623" s="2">
        <v>4</v>
      </c>
      <c r="D3623" s="2" t="s">
        <v>1620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2823</v>
      </c>
      <c r="J3623" s="2" t="s">
        <v>2824</v>
      </c>
      <c r="L3623" s="2" t="s">
        <v>112</v>
      </c>
      <c r="M3623" s="2" t="s">
        <v>109</v>
      </c>
      <c r="O3623" s="2" t="s">
        <v>2825</v>
      </c>
      <c r="P3623" s="2" t="s">
        <v>282</v>
      </c>
      <c r="Q3623" s="2" t="s">
        <v>1204</v>
      </c>
      <c r="R3623" s="2" t="s">
        <v>1205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2"/>
        <v>0.50380622837370237</v>
      </c>
      <c r="Z3623" s="2" t="s">
        <v>3225</v>
      </c>
      <c r="AA3623" s="2" t="s">
        <v>71</v>
      </c>
      <c r="AB3623" s="2" t="s">
        <v>119</v>
      </c>
      <c r="AC3623" s="2" t="s">
        <v>119</v>
      </c>
      <c r="AF3623" s="2">
        <f t="shared" si="579"/>
        <v>0</v>
      </c>
      <c r="AG3623" s="2">
        <v>14.34</v>
      </c>
      <c r="AJ3623" s="2">
        <f t="shared" si="580"/>
        <v>0</v>
      </c>
      <c r="AK3623" s="2">
        <f t="shared" si="583"/>
        <v>29.119999999999997</v>
      </c>
      <c r="AL3623" s="5">
        <f t="shared" si="584"/>
        <v>0.50380622837370237</v>
      </c>
    </row>
    <row r="3624" spans="1:38" x14ac:dyDescent="0.2">
      <c r="A3624" s="2">
        <v>2026</v>
      </c>
      <c r="B3624" s="2">
        <v>4</v>
      </c>
      <c r="C3624" s="2" t="s">
        <v>3443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2826</v>
      </c>
      <c r="R3624" s="2" t="s">
        <v>2827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2"/>
        <v>0.10089285714285706</v>
      </c>
      <c r="Z3624" s="2" t="s">
        <v>3225</v>
      </c>
      <c r="AA3624" s="2" t="s">
        <v>155</v>
      </c>
      <c r="AB3624" s="2" t="s">
        <v>3400</v>
      </c>
      <c r="AC3624" s="2" t="s">
        <v>1326</v>
      </c>
      <c r="AF3624" s="2">
        <f t="shared" si="579"/>
        <v>0</v>
      </c>
      <c r="AJ3624" s="2">
        <f t="shared" si="580"/>
        <v>0</v>
      </c>
      <c r="AK3624" s="2">
        <f t="shared" si="583"/>
        <v>1.129999999999999</v>
      </c>
      <c r="AL3624" s="5">
        <f t="shared" si="584"/>
        <v>0.10089285714285706</v>
      </c>
    </row>
    <row r="3625" spans="1:38" x14ac:dyDescent="0.2">
      <c r="A3625" s="2">
        <v>2026</v>
      </c>
      <c r="B3625" s="2">
        <v>4</v>
      </c>
      <c r="C3625" s="2" t="s">
        <v>3443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2828</v>
      </c>
      <c r="R3625" s="2" t="s">
        <v>2829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2"/>
        <v>0.10078828828828816</v>
      </c>
      <c r="Z3625" s="2" t="s">
        <v>3225</v>
      </c>
      <c r="AA3625" s="2" t="s">
        <v>578</v>
      </c>
      <c r="AB3625" s="2" t="s">
        <v>119</v>
      </c>
      <c r="AC3625" s="2" t="s">
        <v>1326</v>
      </c>
      <c r="AF3625" s="2">
        <f t="shared" si="579"/>
        <v>0</v>
      </c>
      <c r="AJ3625" s="2">
        <f t="shared" si="580"/>
        <v>0</v>
      </c>
      <c r="AK3625" s="2">
        <f t="shared" si="583"/>
        <v>8.9499999999999886</v>
      </c>
      <c r="AL3625" s="5">
        <f t="shared" si="584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2830</v>
      </c>
      <c r="P3626" s="2" t="s">
        <v>282</v>
      </c>
      <c r="Q3626" s="2" t="s">
        <v>1778</v>
      </c>
      <c r="R3626" s="2" t="s">
        <v>1779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2"/>
        <v>0.26733668341708544</v>
      </c>
      <c r="Z3626" s="2" t="s">
        <v>104</v>
      </c>
      <c r="AA3626" s="2" t="s">
        <v>387</v>
      </c>
      <c r="AB3626" s="2" t="s">
        <v>1329</v>
      </c>
      <c r="AC3626" s="2" t="s">
        <v>1326</v>
      </c>
      <c r="AF3626" s="2">
        <f t="shared" si="579"/>
        <v>0</v>
      </c>
      <c r="AG3626" s="2">
        <v>1458</v>
      </c>
      <c r="AJ3626" s="2">
        <f t="shared" si="580"/>
        <v>0</v>
      </c>
      <c r="AK3626" s="2">
        <f t="shared" si="583"/>
        <v>532</v>
      </c>
      <c r="AL3626" s="5">
        <f t="shared" si="584"/>
        <v>0.26733668341708544</v>
      </c>
    </row>
    <row r="3627" spans="1:38" x14ac:dyDescent="0.2">
      <c r="A3627" s="2">
        <v>2026</v>
      </c>
      <c r="B3627" s="2">
        <v>4</v>
      </c>
      <c r="C3627" s="2" t="s">
        <v>3443</v>
      </c>
      <c r="D3627" s="2" t="s">
        <v>2831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1778</v>
      </c>
      <c r="R3627" s="2" t="s">
        <v>1779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2"/>
        <v>0.24989949748743717</v>
      </c>
      <c r="Z3627" s="2" t="s">
        <v>104</v>
      </c>
      <c r="AA3627" s="2" t="s">
        <v>387</v>
      </c>
      <c r="AB3627" s="2" t="s">
        <v>1329</v>
      </c>
      <c r="AC3627" s="2" t="s">
        <v>1326</v>
      </c>
      <c r="AF3627" s="2">
        <f t="shared" si="579"/>
        <v>0</v>
      </c>
      <c r="AJ3627" s="2">
        <f t="shared" si="580"/>
        <v>0</v>
      </c>
      <c r="AK3627" s="2">
        <f t="shared" si="583"/>
        <v>497.29999999999995</v>
      </c>
      <c r="AL3627" s="5">
        <f t="shared" si="584"/>
        <v>0.24989949748743717</v>
      </c>
    </row>
    <row r="3628" spans="1:38" x14ac:dyDescent="0.2">
      <c r="A3628" s="2">
        <v>2026</v>
      </c>
      <c r="B3628" s="2">
        <v>4</v>
      </c>
      <c r="C3628" s="2" t="s">
        <v>3448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1778</v>
      </c>
      <c r="R3628" s="2" t="s">
        <v>1779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2"/>
        <v>0.16655499720826353</v>
      </c>
      <c r="Z3628" s="2" t="s">
        <v>104</v>
      </c>
      <c r="AA3628" s="2" t="s">
        <v>387</v>
      </c>
      <c r="AB3628" s="2" t="s">
        <v>1329</v>
      </c>
      <c r="AC3628" s="2" t="s">
        <v>1326</v>
      </c>
      <c r="AF3628" s="2">
        <f t="shared" si="579"/>
        <v>0</v>
      </c>
      <c r="AJ3628" s="2">
        <f t="shared" si="580"/>
        <v>0</v>
      </c>
      <c r="AK3628" s="2">
        <f t="shared" si="583"/>
        <v>298.29999999999995</v>
      </c>
      <c r="AL3628" s="5">
        <f t="shared" si="584"/>
        <v>0.16655499720826353</v>
      </c>
    </row>
    <row r="3629" spans="1:38" x14ac:dyDescent="0.2">
      <c r="A3629" s="2">
        <v>2026</v>
      </c>
      <c r="B3629" s="2">
        <v>4</v>
      </c>
      <c r="D3629" s="2" t="s">
        <v>2751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2752</v>
      </c>
      <c r="J3629" s="2" t="s">
        <v>2753</v>
      </c>
      <c r="K3629" s="2">
        <v>962332957</v>
      </c>
      <c r="L3629" s="2" t="s">
        <v>112</v>
      </c>
      <c r="M3629" s="2" t="s">
        <v>109</v>
      </c>
      <c r="O3629" s="2" t="s">
        <v>2832</v>
      </c>
      <c r="P3629" s="2" t="s">
        <v>282</v>
      </c>
      <c r="Q3629" s="2" t="s">
        <v>1778</v>
      </c>
      <c r="R3629" s="2" t="s">
        <v>1779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2"/>
        <v>0.26733668341708544</v>
      </c>
      <c r="Z3629" s="2" t="s">
        <v>104</v>
      </c>
      <c r="AA3629" s="2" t="s">
        <v>387</v>
      </c>
      <c r="AB3629" s="2" t="s">
        <v>1329</v>
      </c>
      <c r="AC3629" s="2" t="s">
        <v>1326</v>
      </c>
      <c r="AF3629" s="2">
        <f t="shared" si="579"/>
        <v>0</v>
      </c>
      <c r="AG3629" s="2">
        <v>1458</v>
      </c>
      <c r="AJ3629" s="2">
        <f t="shared" si="580"/>
        <v>0</v>
      </c>
      <c r="AK3629" s="2">
        <f t="shared" si="583"/>
        <v>532</v>
      </c>
      <c r="AL3629" s="5">
        <f t="shared" si="584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2830</v>
      </c>
      <c r="P3630" s="2" t="s">
        <v>282</v>
      </c>
      <c r="Q3630" s="2" t="s">
        <v>1327</v>
      </c>
      <c r="R3630" s="2" t="s">
        <v>1328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2"/>
        <v>0.20703517587939699</v>
      </c>
      <c r="Z3630" s="2" t="s">
        <v>104</v>
      </c>
      <c r="AA3630" s="2" t="s">
        <v>387</v>
      </c>
      <c r="AB3630" s="2" t="s">
        <v>1329</v>
      </c>
      <c r="AC3630" s="2" t="s">
        <v>1326</v>
      </c>
      <c r="AF3630" s="2">
        <f t="shared" si="579"/>
        <v>0</v>
      </c>
      <c r="AG3630" s="2">
        <v>1578</v>
      </c>
      <c r="AJ3630" s="2">
        <f t="shared" si="580"/>
        <v>0</v>
      </c>
      <c r="AK3630" s="2">
        <f t="shared" si="583"/>
        <v>412</v>
      </c>
      <c r="AL3630" s="5">
        <f t="shared" si="584"/>
        <v>0.20703517587939699</v>
      </c>
    </row>
    <row r="3631" spans="1:38" x14ac:dyDescent="0.2">
      <c r="A3631" s="2">
        <v>2026</v>
      </c>
      <c r="B3631" s="2">
        <v>4</v>
      </c>
      <c r="C3631" s="2" t="s">
        <v>3443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1327</v>
      </c>
      <c r="R3631" s="2" t="s">
        <v>1328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2"/>
        <v>0.18449612403100776</v>
      </c>
      <c r="Z3631" s="2" t="s">
        <v>104</v>
      </c>
      <c r="AA3631" s="2" t="s">
        <v>387</v>
      </c>
      <c r="AB3631" s="2" t="s">
        <v>1329</v>
      </c>
      <c r="AC3631" s="2" t="s">
        <v>1326</v>
      </c>
      <c r="AF3631" s="2">
        <f t="shared" si="579"/>
        <v>0</v>
      </c>
      <c r="AJ3631" s="2">
        <f t="shared" si="580"/>
        <v>0</v>
      </c>
      <c r="AK3631" s="2">
        <f t="shared" si="583"/>
        <v>357</v>
      </c>
      <c r="AL3631" s="5">
        <f t="shared" si="584"/>
        <v>0.18449612403100776</v>
      </c>
    </row>
    <row r="3632" spans="1:38" x14ac:dyDescent="0.2">
      <c r="A3632" s="2">
        <v>2026</v>
      </c>
      <c r="B3632" s="2">
        <v>4</v>
      </c>
      <c r="D3632" s="2" t="s">
        <v>1572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1283</v>
      </c>
      <c r="R3632" s="2" t="s">
        <v>1284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2"/>
        <v>0.15</v>
      </c>
      <c r="Z3632" s="2" t="s">
        <v>117</v>
      </c>
      <c r="AA3632" s="2" t="s">
        <v>181</v>
      </c>
      <c r="AB3632" s="2" t="s">
        <v>3378</v>
      </c>
      <c r="AC3632" s="2" t="s">
        <v>1326</v>
      </c>
      <c r="AF3632" s="2">
        <f t="shared" si="579"/>
        <v>0</v>
      </c>
      <c r="AJ3632" s="2">
        <f t="shared" si="580"/>
        <v>0</v>
      </c>
      <c r="AK3632" s="2">
        <f t="shared" si="583"/>
        <v>37.5</v>
      </c>
      <c r="AL3632" s="5">
        <f t="shared" si="584"/>
        <v>0.15</v>
      </c>
    </row>
    <row r="3633" spans="1:38" x14ac:dyDescent="0.2">
      <c r="A3633" s="2">
        <v>2026</v>
      </c>
      <c r="B3633" s="2">
        <v>4</v>
      </c>
      <c r="D3633" s="2" t="s">
        <v>2833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2834</v>
      </c>
      <c r="J3633" s="2" t="s">
        <v>2835</v>
      </c>
      <c r="K3633" s="2">
        <v>918896903</v>
      </c>
      <c r="L3633" s="2" t="s">
        <v>99</v>
      </c>
      <c r="M3633" s="2" t="s">
        <v>41</v>
      </c>
      <c r="O3633" s="2" t="s">
        <v>2836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2"/>
        <v>0.22680412371134015</v>
      </c>
      <c r="Z3633" s="2" t="s">
        <v>3225</v>
      </c>
      <c r="AA3633" s="2" t="s">
        <v>71</v>
      </c>
      <c r="AB3633" s="2" t="s">
        <v>119</v>
      </c>
      <c r="AC3633" s="2" t="s">
        <v>119</v>
      </c>
      <c r="AF3633" s="2">
        <f t="shared" si="579"/>
        <v>0</v>
      </c>
      <c r="AG3633" s="2">
        <v>299.25</v>
      </c>
      <c r="AJ3633" s="2">
        <f t="shared" si="580"/>
        <v>0</v>
      </c>
      <c r="AK3633" s="2">
        <f t="shared" si="583"/>
        <v>87.779999999999973</v>
      </c>
      <c r="AL3633" s="5">
        <f t="shared" si="584"/>
        <v>0.22680412371134015</v>
      </c>
    </row>
    <row r="3634" spans="1:38" x14ac:dyDescent="0.2">
      <c r="A3634" s="2">
        <v>2026</v>
      </c>
      <c r="B3634" s="2">
        <v>4</v>
      </c>
      <c r="D3634" s="2" t="s">
        <v>2833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2834</v>
      </c>
      <c r="J3634" s="2" t="s">
        <v>2835</v>
      </c>
      <c r="K3634" s="2">
        <v>918896903</v>
      </c>
      <c r="L3634" s="2" t="s">
        <v>99</v>
      </c>
      <c r="M3634" s="2" t="s">
        <v>41</v>
      </c>
      <c r="O3634" s="2" t="s">
        <v>2836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2"/>
        <v>0.38144329896907209</v>
      </c>
      <c r="Z3634" s="2" t="s">
        <v>3225</v>
      </c>
      <c r="AA3634" s="2" t="s">
        <v>71</v>
      </c>
      <c r="AB3634" s="2" t="s">
        <v>119</v>
      </c>
      <c r="AC3634" s="2" t="s">
        <v>119</v>
      </c>
      <c r="AF3634" s="2">
        <f t="shared" si="579"/>
        <v>0</v>
      </c>
      <c r="AG3634" s="2">
        <v>77.400000000000006</v>
      </c>
      <c r="AJ3634" s="2">
        <f t="shared" si="580"/>
        <v>0</v>
      </c>
      <c r="AK3634" s="2">
        <f t="shared" si="583"/>
        <v>47.72999999999999</v>
      </c>
      <c r="AL3634" s="5">
        <f t="shared" si="584"/>
        <v>0.38144329896907209</v>
      </c>
    </row>
    <row r="3635" spans="1:38" x14ac:dyDescent="0.2">
      <c r="A3635" s="2">
        <v>2026</v>
      </c>
      <c r="B3635" s="2">
        <v>4</v>
      </c>
      <c r="D3635" s="2" t="s">
        <v>2520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3225</v>
      </c>
      <c r="AA3635" s="2" t="s">
        <v>46</v>
      </c>
      <c r="AB3635" s="2" t="s">
        <v>60</v>
      </c>
      <c r="AC3635" s="2" t="s">
        <v>3329</v>
      </c>
      <c r="AF3635" s="2">
        <f t="shared" si="579"/>
        <v>0</v>
      </c>
      <c r="AJ3635" s="2">
        <f t="shared" si="580"/>
        <v>0</v>
      </c>
      <c r="AK3635" s="2">
        <f t="shared" si="583"/>
        <v>-345</v>
      </c>
      <c r="AL3635" s="18">
        <f t="shared" ref="AL3635" si="585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1552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1553</v>
      </c>
      <c r="J3636" s="2" t="s">
        <v>1554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3225</v>
      </c>
      <c r="AA3636" s="2" t="s">
        <v>46</v>
      </c>
      <c r="AB3636" s="2" t="s">
        <v>60</v>
      </c>
      <c r="AC3636" s="2" t="s">
        <v>3329</v>
      </c>
      <c r="AF3636" s="2">
        <f t="shared" si="579"/>
        <v>0</v>
      </c>
      <c r="AJ3636" s="2">
        <f t="shared" si="580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2520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3225</v>
      </c>
      <c r="AA3637" s="2" t="s">
        <v>46</v>
      </c>
      <c r="AB3637" s="2" t="s">
        <v>60</v>
      </c>
      <c r="AC3637" s="2" t="s">
        <v>3329</v>
      </c>
      <c r="AF3637" s="2">
        <f t="shared" si="579"/>
        <v>0</v>
      </c>
      <c r="AJ3637" s="2">
        <f t="shared" si="580"/>
        <v>0</v>
      </c>
      <c r="AK3637" s="2">
        <f t="shared" ref="AK3637" si="586">T3637-W3637</f>
        <v>-345</v>
      </c>
      <c r="AL3637" s="18">
        <f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2837</v>
      </c>
      <c r="E3638" s="2" t="s">
        <v>38</v>
      </c>
      <c r="G3638" s="2">
        <v>184822033</v>
      </c>
      <c r="I3638" s="2" t="s">
        <v>2838</v>
      </c>
      <c r="L3638" s="2" t="s">
        <v>461</v>
      </c>
      <c r="M3638" s="2" t="s">
        <v>109</v>
      </c>
      <c r="O3638" s="2" t="s">
        <v>2839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3225</v>
      </c>
      <c r="AA3638" s="2" t="s">
        <v>46</v>
      </c>
      <c r="AB3638" s="2" t="s">
        <v>47</v>
      </c>
      <c r="AC3638" s="2" t="s">
        <v>57</v>
      </c>
      <c r="AF3638" s="2">
        <f t="shared" si="579"/>
        <v>0</v>
      </c>
      <c r="AG3638" s="2">
        <v>14.535</v>
      </c>
      <c r="AH3638" s="2">
        <v>25.2</v>
      </c>
      <c r="AJ3638" s="2">
        <f t="shared" si="580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2840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3225</v>
      </c>
      <c r="AA3639" s="2" t="s">
        <v>46</v>
      </c>
      <c r="AB3639" s="2" t="s">
        <v>47</v>
      </c>
      <c r="AC3639" s="2" t="s">
        <v>57</v>
      </c>
      <c r="AF3639" s="2">
        <f t="shared" si="579"/>
        <v>0</v>
      </c>
      <c r="AG3639" s="2">
        <v>10</v>
      </c>
      <c r="AH3639" s="2">
        <v>21</v>
      </c>
      <c r="AJ3639" s="2">
        <f t="shared" si="580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2837</v>
      </c>
      <c r="E3640" s="2" t="s">
        <v>38</v>
      </c>
      <c r="G3640" s="2">
        <v>184822033</v>
      </c>
      <c r="I3640" s="2" t="s">
        <v>2841</v>
      </c>
      <c r="L3640" s="2" t="s">
        <v>461</v>
      </c>
      <c r="M3640" s="2" t="s">
        <v>109</v>
      </c>
      <c r="O3640" s="2" t="s">
        <v>2842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3225</v>
      </c>
      <c r="AA3640" s="2" t="s">
        <v>46</v>
      </c>
      <c r="AB3640" s="2" t="s">
        <v>47</v>
      </c>
      <c r="AC3640" s="2" t="s">
        <v>57</v>
      </c>
      <c r="AF3640" s="2">
        <f t="shared" si="579"/>
        <v>0</v>
      </c>
      <c r="AG3640" s="2">
        <v>10.67</v>
      </c>
      <c r="AH3640" s="2">
        <v>21</v>
      </c>
      <c r="AJ3640" s="2">
        <f t="shared" si="580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2843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3225</v>
      </c>
      <c r="AA3641" s="2" t="s">
        <v>75</v>
      </c>
      <c r="AB3641" s="2" t="s">
        <v>76</v>
      </c>
      <c r="AC3641" s="2" t="s">
        <v>77</v>
      </c>
      <c r="AF3641" s="2">
        <f t="shared" si="579"/>
        <v>0</v>
      </c>
      <c r="AG3641" s="2">
        <v>122.446</v>
      </c>
      <c r="AH3641" s="2">
        <v>230</v>
      </c>
      <c r="AJ3641" s="2">
        <f t="shared" si="580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2843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3225</v>
      </c>
      <c r="AA3642" s="2" t="s">
        <v>96</v>
      </c>
      <c r="AB3642" s="2" t="s">
        <v>76</v>
      </c>
      <c r="AC3642" s="2" t="s">
        <v>93</v>
      </c>
      <c r="AF3642" s="2">
        <f t="shared" si="579"/>
        <v>0</v>
      </c>
      <c r="AG3642" s="2">
        <v>1.48</v>
      </c>
      <c r="AH3642" s="2">
        <v>1.48</v>
      </c>
      <c r="AJ3642" s="2">
        <f t="shared" si="580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3225</v>
      </c>
      <c r="AA3643" s="2" t="s">
        <v>46</v>
      </c>
      <c r="AB3643" s="2" t="s">
        <v>47</v>
      </c>
      <c r="AC3643" s="2" t="s">
        <v>57</v>
      </c>
      <c r="AF3643" s="2">
        <f t="shared" si="579"/>
        <v>0</v>
      </c>
      <c r="AG3643" s="2">
        <v>6.6266999999999996</v>
      </c>
      <c r="AH3643" s="2">
        <v>12</v>
      </c>
      <c r="AJ3643" s="2">
        <f t="shared" si="580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3225</v>
      </c>
      <c r="AA3644" s="2" t="s">
        <v>46</v>
      </c>
      <c r="AB3644" s="2" t="s">
        <v>47</v>
      </c>
      <c r="AC3644" s="2" t="s">
        <v>57</v>
      </c>
      <c r="AF3644" s="2">
        <f t="shared" si="579"/>
        <v>0</v>
      </c>
      <c r="AG3644" s="2">
        <v>6.6266999999999996</v>
      </c>
      <c r="AH3644" s="2">
        <v>12</v>
      </c>
      <c r="AJ3644" s="2">
        <f t="shared" si="580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2537</v>
      </c>
      <c r="L3645" s="2" t="s">
        <v>99</v>
      </c>
      <c r="M3645" s="2" t="s">
        <v>80</v>
      </c>
      <c r="O3645" s="2" t="s">
        <v>2844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3225</v>
      </c>
      <c r="AA3645" s="2" t="s">
        <v>46</v>
      </c>
      <c r="AB3645" s="2" t="s">
        <v>47</v>
      </c>
      <c r="AC3645" s="2" t="s">
        <v>57</v>
      </c>
      <c r="AF3645" s="2">
        <f t="shared" si="579"/>
        <v>0</v>
      </c>
      <c r="AG3645" s="2">
        <v>6.6266999999999996</v>
      </c>
      <c r="AH3645" s="2">
        <v>12</v>
      </c>
      <c r="AJ3645" s="2">
        <f t="shared" si="580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2845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3225</v>
      </c>
      <c r="AA3646" s="2" t="s">
        <v>46</v>
      </c>
      <c r="AB3646" s="2" t="s">
        <v>47</v>
      </c>
      <c r="AC3646" s="2" t="s">
        <v>57</v>
      </c>
      <c r="AF3646" s="2">
        <f t="shared" si="579"/>
        <v>0</v>
      </c>
      <c r="AG3646" s="2">
        <v>6.6266999999999996</v>
      </c>
      <c r="AH3646" s="2">
        <v>12</v>
      </c>
      <c r="AJ3646" s="2">
        <f t="shared" si="580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3225</v>
      </c>
      <c r="AA3647" s="2" t="s">
        <v>46</v>
      </c>
      <c r="AB3647" s="2" t="s">
        <v>47</v>
      </c>
      <c r="AC3647" s="2" t="s">
        <v>57</v>
      </c>
      <c r="AF3647" s="2">
        <f t="shared" si="579"/>
        <v>0</v>
      </c>
      <c r="AG3647" s="2">
        <v>6.6266999999999996</v>
      </c>
      <c r="AH3647" s="2">
        <v>12</v>
      </c>
      <c r="AJ3647" s="2">
        <f t="shared" si="580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2846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3225</v>
      </c>
      <c r="AA3648" s="2" t="s">
        <v>46</v>
      </c>
      <c r="AB3648" s="2" t="s">
        <v>47</v>
      </c>
      <c r="AC3648" s="2" t="s">
        <v>57</v>
      </c>
      <c r="AF3648" s="2">
        <f t="shared" si="579"/>
        <v>0</v>
      </c>
      <c r="AG3648" s="2">
        <v>6.6266999999999996</v>
      </c>
      <c r="AH3648" s="2">
        <v>12</v>
      </c>
      <c r="AJ3648" s="2">
        <f t="shared" si="580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1362</v>
      </c>
      <c r="R3649" s="2" t="s">
        <v>1363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3225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3225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3225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2847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3225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3443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2848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3225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2847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3225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3225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2845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3225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2837</v>
      </c>
      <c r="E3657" s="2" t="s">
        <v>38</v>
      </c>
      <c r="G3657" s="2">
        <v>184822033</v>
      </c>
      <c r="I3657" s="2" t="s">
        <v>2841</v>
      </c>
      <c r="L3657" s="2" t="s">
        <v>461</v>
      </c>
      <c r="M3657" s="2" t="s">
        <v>109</v>
      </c>
      <c r="O3657" s="2" t="s">
        <v>2839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3225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2840</v>
      </c>
      <c r="P3658" s="2" t="s">
        <v>43</v>
      </c>
      <c r="Q3658" s="2" t="s">
        <v>2849</v>
      </c>
      <c r="R3658" s="2" t="s">
        <v>2850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3225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3441</v>
      </c>
      <c r="D3659" s="2" t="s">
        <v>1886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3225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2515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2516</v>
      </c>
      <c r="J3660" s="2" t="s">
        <v>2517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3225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2515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2516</v>
      </c>
      <c r="J3661" s="2" t="s">
        <v>2517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3225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2851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3225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3225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2852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3225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3225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2852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3225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3225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2852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3225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1177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1178</v>
      </c>
      <c r="J3669" s="2" t="s">
        <v>1179</v>
      </c>
      <c r="L3669" s="2" t="s">
        <v>461</v>
      </c>
      <c r="M3669" s="2" t="s">
        <v>41</v>
      </c>
      <c r="O3669" s="2" t="s">
        <v>2853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3225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2852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3225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1177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1178</v>
      </c>
      <c r="J3671" s="2" t="s">
        <v>1179</v>
      </c>
      <c r="L3671" s="2" t="s">
        <v>461</v>
      </c>
      <c r="M3671" s="2" t="s">
        <v>41</v>
      </c>
      <c r="O3671" s="2" t="s">
        <v>2853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3225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2852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3225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1177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1178</v>
      </c>
      <c r="J3673" s="2" t="s">
        <v>1179</v>
      </c>
      <c r="L3673" s="2" t="s">
        <v>461</v>
      </c>
      <c r="M3673" s="2" t="s">
        <v>41</v>
      </c>
      <c r="O3673" s="2" t="s">
        <v>2853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3225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2852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3225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3225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3316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3225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3225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3225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3225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1311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1312</v>
      </c>
      <c r="L3680" s="2" t="s">
        <v>177</v>
      </c>
      <c r="M3680" s="2" t="s">
        <v>41</v>
      </c>
      <c r="O3680" s="2" t="s">
        <v>2854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3225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2855</v>
      </c>
      <c r="P3681" s="2" t="s">
        <v>43</v>
      </c>
      <c r="Q3681" s="2" t="s">
        <v>2856</v>
      </c>
      <c r="R3681" s="2" t="s">
        <v>2857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3225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2858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3225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2859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3225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3225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3225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3466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2861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3225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3441</v>
      </c>
      <c r="D3687" s="2" t="s">
        <v>1886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3225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3466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3225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3225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3316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3225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1311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1312</v>
      </c>
      <c r="L3691" s="2" t="s">
        <v>177</v>
      </c>
      <c r="M3691" s="2" t="s">
        <v>41</v>
      </c>
      <c r="O3691" s="2" t="s">
        <v>2854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3225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3443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2848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3225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1553</v>
      </c>
      <c r="J3693" s="2" t="s">
        <v>2524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3225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3225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3443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2848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3225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3443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2848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3225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1553</v>
      </c>
      <c r="J3697" s="2" t="s">
        <v>2524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3225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3225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2520</v>
      </c>
      <c r="P3699" s="2" t="s">
        <v>43</v>
      </c>
      <c r="Q3699" s="2" t="s">
        <v>2377</v>
      </c>
      <c r="R3699" s="2" t="s">
        <v>2378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3225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2862</v>
      </c>
      <c r="P3700" s="2" t="s">
        <v>43</v>
      </c>
      <c r="Q3700" s="2" t="s">
        <v>2863</v>
      </c>
      <c r="R3700" s="2" t="s">
        <v>2864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3225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3443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2848</v>
      </c>
      <c r="P3701" s="2" t="s">
        <v>43</v>
      </c>
      <c r="Q3701" s="2" t="s">
        <v>2863</v>
      </c>
      <c r="R3701" s="2" t="s">
        <v>2864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3225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2865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3225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2865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3225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3225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3441</v>
      </c>
      <c r="D3705" s="2" t="s">
        <v>1886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3225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3225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3225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3443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3225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3225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2866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3225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3225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3225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2515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2516</v>
      </c>
      <c r="J3713" s="2" t="s">
        <v>2517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3225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3441</v>
      </c>
      <c r="D3714" s="2" t="s">
        <v>1886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2867</v>
      </c>
      <c r="P3714" s="2" t="s">
        <v>43</v>
      </c>
      <c r="Q3714" s="2" t="s">
        <v>2868</v>
      </c>
      <c r="R3714" s="2" t="s">
        <v>2869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3225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3316</v>
      </c>
      <c r="D3715" s="2" t="s">
        <v>1162</v>
      </c>
      <c r="E3715" s="2" t="s">
        <v>752</v>
      </c>
      <c r="F3715" s="2" t="s">
        <v>1216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3228</v>
      </c>
      <c r="Q3715" s="2" t="s">
        <v>2870</v>
      </c>
      <c r="R3715" s="2" t="s">
        <v>2871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3228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2872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3225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1986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3225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3225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3443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3225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3316</v>
      </c>
      <c r="D3720" s="2" t="s">
        <v>1255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2564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3225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2873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3225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3441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3225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1294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1295</v>
      </c>
      <c r="L3723" s="2" t="s">
        <v>339</v>
      </c>
      <c r="M3723" s="2" t="s">
        <v>80</v>
      </c>
      <c r="O3723" s="2" t="s">
        <v>2874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3225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1954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3225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2875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3225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2876</v>
      </c>
      <c r="M3726" s="2" t="s">
        <v>41</v>
      </c>
      <c r="P3726" s="2" t="s">
        <v>72</v>
      </c>
      <c r="Q3726" s="2" t="s">
        <v>2877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3225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1418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1271</v>
      </c>
      <c r="J3727" s="2" t="s">
        <v>2393</v>
      </c>
      <c r="L3727" s="2" t="s">
        <v>177</v>
      </c>
      <c r="M3727" s="2" t="s">
        <v>41</v>
      </c>
      <c r="O3727" s="2" t="s">
        <v>2878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3225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2879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3225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3466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3225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1294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1295</v>
      </c>
      <c r="L3730" s="2" t="s">
        <v>339</v>
      </c>
      <c r="M3730" s="2" t="s">
        <v>80</v>
      </c>
      <c r="O3730" s="2" t="s">
        <v>2880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3225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2881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3225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2882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3225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3225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2883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3225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2558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3225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2884</v>
      </c>
      <c r="P3736" s="2" t="s">
        <v>1038</v>
      </c>
      <c r="Q3736" s="2" t="s">
        <v>2885</v>
      </c>
      <c r="R3736" s="2" t="s">
        <v>2886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3225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1294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1295</v>
      </c>
      <c r="L3737" s="2" t="s">
        <v>339</v>
      </c>
      <c r="M3737" s="2" t="s">
        <v>80</v>
      </c>
      <c r="O3737" s="2" t="s">
        <v>2887</v>
      </c>
      <c r="P3737" s="2" t="s">
        <v>1038</v>
      </c>
      <c r="Q3737" s="2" t="s">
        <v>2888</v>
      </c>
      <c r="R3737" s="2" t="s">
        <v>2889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3225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3155</v>
      </c>
      <c r="L3738" s="2" t="s">
        <v>112</v>
      </c>
      <c r="M3738" s="2" t="s">
        <v>80</v>
      </c>
      <c r="O3738" s="2" t="s">
        <v>3157</v>
      </c>
      <c r="P3738" s="2" t="s">
        <v>1038</v>
      </c>
      <c r="Q3738" s="2" t="s">
        <v>2890</v>
      </c>
      <c r="R3738" s="2" t="s">
        <v>2891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3225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2525</v>
      </c>
      <c r="G3739" s="2">
        <v>503687014</v>
      </c>
      <c r="L3739" s="2" t="s">
        <v>133</v>
      </c>
      <c r="M3739" s="2" t="s">
        <v>109</v>
      </c>
      <c r="O3739" s="2" t="s">
        <v>3156</v>
      </c>
      <c r="P3739" s="2" t="s">
        <v>1038</v>
      </c>
      <c r="Q3739" s="2" t="s">
        <v>2890</v>
      </c>
      <c r="R3739" s="2" t="s">
        <v>2891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3225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2558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3161</v>
      </c>
      <c r="P3740" s="2" t="s">
        <v>1038</v>
      </c>
      <c r="Q3740" s="2" t="s">
        <v>2892</v>
      </c>
      <c r="R3740" s="2" t="s">
        <v>2893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3225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2894</v>
      </c>
      <c r="P3741" s="2" t="s">
        <v>1038</v>
      </c>
      <c r="Q3741" s="2" t="s">
        <v>2738</v>
      </c>
      <c r="R3741" s="2" t="s">
        <v>2739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3225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1552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1553</v>
      </c>
      <c r="J3742" s="2" t="s">
        <v>1554</v>
      </c>
      <c r="L3742" s="2" t="s">
        <v>177</v>
      </c>
      <c r="M3742" s="2" t="s">
        <v>41</v>
      </c>
      <c r="P3742" s="2" t="s">
        <v>1038</v>
      </c>
      <c r="Q3742" s="2" t="s">
        <v>2738</v>
      </c>
      <c r="R3742" s="2" t="s">
        <v>2739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3225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1970</v>
      </c>
      <c r="R3743" s="2" t="s">
        <v>1971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3225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2851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3225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3225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3225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2537</v>
      </c>
      <c r="L3747" s="2" t="s">
        <v>99</v>
      </c>
      <c r="M3747" s="2" t="s">
        <v>80</v>
      </c>
      <c r="O3747" s="2" t="s">
        <v>2844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3225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2845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3225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3225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2537</v>
      </c>
      <c r="L3750" s="2" t="s">
        <v>99</v>
      </c>
      <c r="M3750" s="2" t="s">
        <v>80</v>
      </c>
      <c r="O3750" s="2" t="s">
        <v>2844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3225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2845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3225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2895</v>
      </c>
      <c r="P3752" s="2" t="s">
        <v>2896</v>
      </c>
      <c r="Q3752" s="2" t="s">
        <v>2897</v>
      </c>
      <c r="R3752" s="2" t="s">
        <v>2898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3225</v>
      </c>
      <c r="AA3752" s="2" t="s">
        <v>71</v>
      </c>
      <c r="AB3752" s="2" t="s">
        <v>2896</v>
      </c>
      <c r="AC3752" s="2" t="s">
        <v>2896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2899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2900</v>
      </c>
      <c r="R3753" s="2" t="s">
        <v>2901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2902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2794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1553</v>
      </c>
      <c r="J3756" s="2" t="s">
        <v>1823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2851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3225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1553</v>
      </c>
      <c r="J3758" s="2" t="s">
        <v>1823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1598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1598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3502</v>
      </c>
      <c r="D3761" s="2" t="s">
        <v>2048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2778</v>
      </c>
      <c r="J3761" s="2" t="s">
        <v>2819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3502</v>
      </c>
      <c r="D3762" s="2" t="s">
        <v>2048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2778</v>
      </c>
      <c r="J3762" s="2" t="s">
        <v>2819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3448</v>
      </c>
      <c r="D3763" s="2" t="s">
        <v>2048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2778</v>
      </c>
      <c r="J3763" s="2" t="s">
        <v>2819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3448</v>
      </c>
      <c r="D3764" s="2" t="s">
        <v>2048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2778</v>
      </c>
      <c r="J3764" s="2" t="s">
        <v>2819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3443</v>
      </c>
      <c r="D3765" s="2" t="s">
        <v>2903</v>
      </c>
      <c r="E3765" s="2" t="s">
        <v>38</v>
      </c>
      <c r="F3765" s="2" t="s">
        <v>3442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3298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2904</v>
      </c>
      <c r="E3766" s="2" t="s">
        <v>38</v>
      </c>
      <c r="G3766" s="2">
        <v>506272524</v>
      </c>
      <c r="H3766" s="2" t="s">
        <v>40</v>
      </c>
      <c r="I3766" s="2" t="s">
        <v>2905</v>
      </c>
      <c r="J3766" s="2" t="s">
        <v>2906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2904</v>
      </c>
      <c r="E3767" s="2" t="s">
        <v>38</v>
      </c>
      <c r="G3767" s="2">
        <v>506272524</v>
      </c>
      <c r="H3767" s="2" t="s">
        <v>40</v>
      </c>
      <c r="I3767" s="2" t="s">
        <v>2905</v>
      </c>
      <c r="J3767" s="2" t="s">
        <v>2906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2614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2614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1621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1622</v>
      </c>
      <c r="J3770" s="2" t="s">
        <v>1623</v>
      </c>
      <c r="L3770" s="2" t="s">
        <v>293</v>
      </c>
      <c r="M3770" s="2" t="s">
        <v>40</v>
      </c>
      <c r="O3770" s="2" t="s">
        <v>2336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1621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1622</v>
      </c>
      <c r="J3771" s="2" t="s">
        <v>1623</v>
      </c>
      <c r="L3771" s="2" t="s">
        <v>293</v>
      </c>
      <c r="M3771" s="2" t="s">
        <v>40</v>
      </c>
      <c r="O3771" s="2" t="s">
        <v>2336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2907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2907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2671</v>
      </c>
      <c r="J3774" s="2" t="s">
        <v>2672</v>
      </c>
      <c r="K3774" s="2">
        <v>962939747</v>
      </c>
      <c r="L3774" s="2" t="s">
        <v>99</v>
      </c>
      <c r="M3774" s="2" t="s">
        <v>40</v>
      </c>
      <c r="O3774" s="2" t="s">
        <v>2908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2671</v>
      </c>
      <c r="J3775" s="2" t="s">
        <v>2672</v>
      </c>
      <c r="K3775" s="2">
        <v>962939747</v>
      </c>
      <c r="L3775" s="2" t="s">
        <v>99</v>
      </c>
      <c r="M3775" s="2" t="s">
        <v>40</v>
      </c>
      <c r="O3775" s="2" t="s">
        <v>2908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2333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2333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2326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2326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2326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2851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2326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2481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2481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2780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2780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2282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2282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1659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1659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1659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1659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3317</v>
      </c>
      <c r="D3797" s="2" t="s">
        <v>2623</v>
      </c>
      <c r="E3797" s="2" t="s">
        <v>3416</v>
      </c>
      <c r="F3797" s="2" t="s">
        <v>3417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3317</v>
      </c>
      <c r="D3798" s="2" t="s">
        <v>2623</v>
      </c>
      <c r="E3798" s="2" t="s">
        <v>3416</v>
      </c>
      <c r="F3798" s="2" t="s">
        <v>3417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2490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2490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1438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1438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1438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1438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2796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2797</v>
      </c>
      <c r="J3805" s="2" t="s">
        <v>2798</v>
      </c>
      <c r="L3805" s="2" t="s">
        <v>201</v>
      </c>
      <c r="M3805" s="2" t="s">
        <v>40</v>
      </c>
      <c r="O3805" s="2" t="s">
        <v>2799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2796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2797</v>
      </c>
      <c r="J3806" s="2" t="s">
        <v>2798</v>
      </c>
      <c r="L3806" s="2" t="s">
        <v>201</v>
      </c>
      <c r="M3806" s="2" t="s">
        <v>40</v>
      </c>
      <c r="O3806" s="2" t="s">
        <v>2799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2293</v>
      </c>
      <c r="J3807" s="2" t="s">
        <v>2294</v>
      </c>
      <c r="K3807" s="2">
        <v>965790183</v>
      </c>
      <c r="L3807" s="2" t="s">
        <v>177</v>
      </c>
      <c r="M3807" s="2" t="s">
        <v>40</v>
      </c>
      <c r="O3807" s="2" t="s">
        <v>2909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2293</v>
      </c>
      <c r="J3808" s="2" t="s">
        <v>2294</v>
      </c>
      <c r="K3808" s="2">
        <v>965790183</v>
      </c>
      <c r="L3808" s="2" t="s">
        <v>177</v>
      </c>
      <c r="M3808" s="2" t="s">
        <v>40</v>
      </c>
      <c r="O3808" s="2" t="s">
        <v>2909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3448</v>
      </c>
      <c r="D3811" s="2" t="s">
        <v>2048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2778</v>
      </c>
      <c r="J3811" s="2" t="s">
        <v>2819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2525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2558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1294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1295</v>
      </c>
      <c r="L3815" s="2" t="s">
        <v>339</v>
      </c>
      <c r="M3815" s="2" t="s">
        <v>80</v>
      </c>
      <c r="O3815" s="2" t="s">
        <v>2887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3466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2881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3225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3225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3466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3225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1986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3225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2884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3225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3225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2876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3225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2894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3225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2872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3225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1552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1553</v>
      </c>
      <c r="J3826" s="2" t="s">
        <v>1554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3225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2879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3225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3225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3443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3225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3316</v>
      </c>
      <c r="D3830" s="2" t="s">
        <v>1255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2564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3225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2883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3225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2525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3225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1418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1271</v>
      </c>
      <c r="J3833" s="2" t="s">
        <v>2393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3225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2875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3225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3518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3225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2558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3225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1294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1295</v>
      </c>
      <c r="L3837" s="2" t="s">
        <v>339</v>
      </c>
      <c r="M3837" s="2" t="s">
        <v>80</v>
      </c>
      <c r="O3837" s="2" t="s">
        <v>2910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3225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1954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3225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2902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18"/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3377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3466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2911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3225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2907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3377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3367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1939</v>
      </c>
      <c r="R3843" s="2" t="s">
        <v>1940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3225</v>
      </c>
      <c r="AA3843" s="2" t="s">
        <v>155</v>
      </c>
      <c r="AB3843" s="2" t="s">
        <v>1940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3225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3225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3225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3225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3225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3225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2912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3225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3225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1448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3225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1377</v>
      </c>
      <c r="Q3853" s="2" t="s">
        <v>2915</v>
      </c>
      <c r="R3853" s="2" t="s">
        <v>2916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3225</v>
      </c>
      <c r="AA3853" s="2" t="s">
        <v>1041</v>
      </c>
      <c r="AB3853" s="2" t="s">
        <v>1269</v>
      </c>
      <c r="AC3853" s="2" t="s">
        <v>1377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2917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3225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2918</v>
      </c>
      <c r="R3855" s="2" t="s">
        <v>2919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2920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1323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3225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3367</v>
      </c>
      <c r="D3857" s="2" t="s">
        <v>1323</v>
      </c>
      <c r="E3857" s="2" t="s">
        <v>38</v>
      </c>
      <c r="F3857" s="2" t="s">
        <v>39</v>
      </c>
      <c r="H3857" s="2" t="s">
        <v>41</v>
      </c>
      <c r="I3857" s="2" t="s">
        <v>3366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3225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2921</v>
      </c>
      <c r="P3858" s="2" t="s">
        <v>282</v>
      </c>
      <c r="Q3858" s="2" t="s">
        <v>2123</v>
      </c>
      <c r="R3858" s="2" t="s">
        <v>2124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3225</v>
      </c>
      <c r="AA3858" s="2" t="s">
        <v>71</v>
      </c>
      <c r="AB3858" s="2" t="s">
        <v>1599</v>
      </c>
      <c r="AC3858" s="2" t="s">
        <v>1599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2921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3225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2921</v>
      </c>
      <c r="P3860" s="2" t="s">
        <v>43</v>
      </c>
      <c r="Q3860" s="2" t="s">
        <v>2922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3225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2921</v>
      </c>
      <c r="P3861" s="2" t="s">
        <v>43</v>
      </c>
      <c r="Q3861" s="2" t="s">
        <v>2923</v>
      </c>
      <c r="R3861" s="2" t="s">
        <v>2924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3225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2921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3225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2921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3225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2921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3225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2921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3225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2921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3225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2921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3225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2921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3225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2921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3225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2921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3225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2921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3225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2921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3225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3369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2921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3225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2921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3225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2921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3225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2921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3225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2921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3225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2921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3225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2921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3225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2921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3225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2921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3225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2921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3225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2921</v>
      </c>
      <c r="P3883" s="2" t="s">
        <v>84</v>
      </c>
      <c r="Q3883" s="2" t="s">
        <v>1210</v>
      </c>
      <c r="R3883" s="2" t="s">
        <v>1211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3225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2921</v>
      </c>
      <c r="P3884" s="2" t="s">
        <v>2896</v>
      </c>
      <c r="Q3884" s="2" t="s">
        <v>2925</v>
      </c>
      <c r="R3884" s="2" t="s">
        <v>2926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3225</v>
      </c>
      <c r="AA3884" s="2" t="s">
        <v>71</v>
      </c>
      <c r="AB3884" s="2" t="s">
        <v>2896</v>
      </c>
      <c r="AC3884" s="2" t="s">
        <v>2896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2927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3225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2445</v>
      </c>
      <c r="F3886" s="2" t="s">
        <v>39</v>
      </c>
      <c r="G3886" s="2">
        <v>505814030</v>
      </c>
      <c r="H3886" s="2" t="s">
        <v>290</v>
      </c>
      <c r="I3886" s="2" t="s">
        <v>2446</v>
      </c>
      <c r="J3886" s="2" t="s">
        <v>2447</v>
      </c>
      <c r="L3886" s="2" t="s">
        <v>339</v>
      </c>
      <c r="M3886" s="2" t="s">
        <v>80</v>
      </c>
      <c r="O3886" s="2" t="s">
        <v>2928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3225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2445</v>
      </c>
      <c r="F3887" s="2" t="s">
        <v>39</v>
      </c>
      <c r="G3887" s="2">
        <v>505814030</v>
      </c>
      <c r="H3887" s="2" t="s">
        <v>290</v>
      </c>
      <c r="I3887" s="2" t="s">
        <v>2446</v>
      </c>
      <c r="J3887" s="2" t="s">
        <v>2447</v>
      </c>
      <c r="L3887" s="2" t="s">
        <v>339</v>
      </c>
      <c r="M3887" s="2" t="s">
        <v>80</v>
      </c>
      <c r="O3887" s="2" t="s">
        <v>2928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3225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2445</v>
      </c>
      <c r="F3888" s="2" t="s">
        <v>39</v>
      </c>
      <c r="G3888" s="2">
        <v>505814030</v>
      </c>
      <c r="H3888" s="2" t="s">
        <v>290</v>
      </c>
      <c r="I3888" s="2" t="s">
        <v>2446</v>
      </c>
      <c r="J3888" s="2" t="s">
        <v>2447</v>
      </c>
      <c r="L3888" s="2" t="s">
        <v>339</v>
      </c>
      <c r="M3888" s="2" t="s">
        <v>80</v>
      </c>
      <c r="O3888" s="2" t="s">
        <v>2928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3369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3228</v>
      </c>
      <c r="Q3889" s="2" t="s">
        <v>1785</v>
      </c>
      <c r="R3889" s="2" t="s">
        <v>1786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3228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3377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3367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2929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1346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2930</v>
      </c>
      <c r="J3894" s="2" t="s">
        <v>2931</v>
      </c>
      <c r="K3894" s="2">
        <v>915170083</v>
      </c>
      <c r="L3894" s="2" t="s">
        <v>461</v>
      </c>
      <c r="M3894" s="2" t="s">
        <v>80</v>
      </c>
      <c r="O3894" s="2" t="s">
        <v>2932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3225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1346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3225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2933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3225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2933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3225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3369</v>
      </c>
      <c r="D3898" s="2" t="s">
        <v>2934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3225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3225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2935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3225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2935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3225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2935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3225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1354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1355</v>
      </c>
      <c r="L3903" s="2" t="s">
        <v>418</v>
      </c>
      <c r="M3903" s="2" t="s">
        <v>41</v>
      </c>
      <c r="P3903" s="2" t="s">
        <v>282</v>
      </c>
      <c r="Q3903" s="2" t="s">
        <v>1509</v>
      </c>
      <c r="R3903" s="2" t="s">
        <v>1510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3225</v>
      </c>
      <c r="AA3903" s="2" t="s">
        <v>71</v>
      </c>
      <c r="AB3903" s="2" t="s">
        <v>1599</v>
      </c>
      <c r="AC3903" s="2" t="s">
        <v>1599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C3904" s="2" t="s">
        <v>3432</v>
      </c>
      <c r="D3904" s="2" t="s">
        <v>2556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2936</v>
      </c>
      <c r="J3904" s="2" t="s">
        <v>2937</v>
      </c>
      <c r="K3904" s="2">
        <v>962004672</v>
      </c>
      <c r="L3904" s="2" t="s">
        <v>398</v>
      </c>
      <c r="M3904" s="2" t="s">
        <v>80</v>
      </c>
      <c r="O3904" s="2" t="s">
        <v>2938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3225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C3905" s="2" t="s">
        <v>3432</v>
      </c>
      <c r="D3905" s="2" t="s">
        <v>2556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2936</v>
      </c>
      <c r="J3905" s="2" t="s">
        <v>2937</v>
      </c>
      <c r="K3905" s="2">
        <v>962004672</v>
      </c>
      <c r="L3905" s="2" t="s">
        <v>398</v>
      </c>
      <c r="M3905" s="2" t="s">
        <v>80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W3905" s="2">
        <v>1.48</v>
      </c>
      <c r="X3905" s="5">
        <f t="shared" si="645"/>
        <v>0</v>
      </c>
      <c r="Z3905" s="2" t="s">
        <v>3225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0</v>
      </c>
      <c r="AL3905" s="5">
        <f t="shared" si="646"/>
        <v>0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2939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3225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3225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2939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3225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1523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1524</v>
      </c>
      <c r="J3909" s="2" t="s">
        <v>1525</v>
      </c>
      <c r="K3909" s="2">
        <v>962461409</v>
      </c>
      <c r="L3909" s="2" t="s">
        <v>344</v>
      </c>
      <c r="M3909" s="2" t="s">
        <v>40</v>
      </c>
      <c r="O3909" s="2" t="s">
        <v>2941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1309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2942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3225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2230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3225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2230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3432</v>
      </c>
      <c r="D3913" s="2" t="s">
        <v>2943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3225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2943</v>
      </c>
      <c r="M3914" s="2" t="s">
        <v>40</v>
      </c>
      <c r="P3914" s="2" t="s">
        <v>187</v>
      </c>
      <c r="Q3914" s="2" t="s">
        <v>1307</v>
      </c>
      <c r="R3914" s="2" t="s">
        <v>1308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1309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3432</v>
      </c>
      <c r="D3915" s="2" t="s">
        <v>2943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3225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2876</v>
      </c>
      <c r="G3916" s="2">
        <v>506647188</v>
      </c>
      <c r="I3916" s="2" t="s">
        <v>2944</v>
      </c>
      <c r="M3916" s="2" t="s">
        <v>40</v>
      </c>
      <c r="O3916" s="2" t="s">
        <v>2945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2876</v>
      </c>
      <c r="M3917" s="2" t="s">
        <v>40</v>
      </c>
      <c r="O3917" s="2" t="s">
        <v>2945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2130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2130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2946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3367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2947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3225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3367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2948</v>
      </c>
      <c r="P3922" s="2" t="s">
        <v>43</v>
      </c>
      <c r="Q3922" s="2" t="s">
        <v>2868</v>
      </c>
      <c r="R3922" s="2" t="s">
        <v>2869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3225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2949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3369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3225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2950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2951</v>
      </c>
      <c r="J3925" s="2" t="s">
        <v>2952</v>
      </c>
      <c r="K3925" s="2">
        <v>962543971</v>
      </c>
      <c r="L3925" s="2" t="s">
        <v>133</v>
      </c>
      <c r="M3925" s="2" t="s">
        <v>109</v>
      </c>
      <c r="O3925" s="2" t="s">
        <v>2953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3225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2950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3225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2954</v>
      </c>
      <c r="P3927" s="2" t="s">
        <v>43</v>
      </c>
      <c r="Q3927" s="2" t="s">
        <v>2922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3225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2954</v>
      </c>
      <c r="P3928" s="2" t="s">
        <v>43</v>
      </c>
      <c r="Q3928" s="2" t="s">
        <v>2923</v>
      </c>
      <c r="R3928" s="2" t="s">
        <v>2924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3225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3225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3225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3225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3225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3225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3432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3225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3432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3225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3367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2955</v>
      </c>
      <c r="P3936" s="2" t="s">
        <v>1038</v>
      </c>
      <c r="Q3936" s="2" t="s">
        <v>2956</v>
      </c>
      <c r="R3936" s="2" t="s">
        <v>2957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3225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3367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2955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3225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3447</v>
      </c>
      <c r="D3938" s="2" t="s">
        <v>1900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2958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3225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3447</v>
      </c>
      <c r="D3939" s="2" t="s">
        <v>1900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3225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3432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2959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2960</v>
      </c>
      <c r="J3941" s="2" t="s">
        <v>2961</v>
      </c>
      <c r="K3941" s="2">
        <v>966567958</v>
      </c>
      <c r="L3941" s="2" t="s">
        <v>344</v>
      </c>
      <c r="M3941" s="2" t="s">
        <v>80</v>
      </c>
      <c r="O3941" s="2" t="s">
        <v>2962</v>
      </c>
      <c r="P3941" s="2" t="s">
        <v>282</v>
      </c>
      <c r="Q3941" s="2" t="s">
        <v>1435</v>
      </c>
      <c r="R3941" s="2" t="s">
        <v>1436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3225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2959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2960</v>
      </c>
      <c r="J3942" s="2" t="s">
        <v>2961</v>
      </c>
      <c r="K3942" s="2">
        <v>966567958</v>
      </c>
      <c r="L3942" s="2" t="s">
        <v>344</v>
      </c>
      <c r="M3942" s="2" t="s">
        <v>80</v>
      </c>
      <c r="O3942" s="2" t="s">
        <v>2962</v>
      </c>
      <c r="P3942" s="2" t="s">
        <v>282</v>
      </c>
      <c r="Q3942" s="2" t="s">
        <v>1587</v>
      </c>
      <c r="R3942" s="2" t="s">
        <v>1588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3225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2959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2960</v>
      </c>
      <c r="J3943" s="2" t="s">
        <v>2961</v>
      </c>
      <c r="K3943" s="2">
        <v>966567958</v>
      </c>
      <c r="L3943" s="2" t="s">
        <v>344</v>
      </c>
      <c r="M3943" s="2" t="s">
        <v>80</v>
      </c>
      <c r="O3943" s="2" t="s">
        <v>2962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3225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2959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2960</v>
      </c>
      <c r="J3944" s="2" t="s">
        <v>2961</v>
      </c>
      <c r="K3944" s="2">
        <v>966567958</v>
      </c>
      <c r="L3944" s="2" t="s">
        <v>344</v>
      </c>
      <c r="M3944" s="2" t="s">
        <v>80</v>
      </c>
      <c r="O3944" s="2" t="s">
        <v>2962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3225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2959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2960</v>
      </c>
      <c r="J3945" s="2" t="s">
        <v>2961</v>
      </c>
      <c r="K3945" s="2">
        <v>966567958</v>
      </c>
      <c r="L3945" s="2" t="s">
        <v>344</v>
      </c>
      <c r="M3945" s="2" t="s">
        <v>80</v>
      </c>
      <c r="O3945" s="2" t="s">
        <v>2962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3225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2959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2960</v>
      </c>
      <c r="J3946" s="2" t="s">
        <v>2961</v>
      </c>
      <c r="K3946" s="2">
        <v>966567958</v>
      </c>
      <c r="L3946" s="2" t="s">
        <v>344</v>
      </c>
      <c r="M3946" s="2" t="s">
        <v>80</v>
      </c>
      <c r="O3946" s="2" t="s">
        <v>2962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3225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2959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2960</v>
      </c>
      <c r="J3947" s="2" t="s">
        <v>2961</v>
      </c>
      <c r="K3947" s="2">
        <v>966567958</v>
      </c>
      <c r="L3947" s="2" t="s">
        <v>344</v>
      </c>
      <c r="M3947" s="2" t="s">
        <v>80</v>
      </c>
      <c r="O3947" s="2" t="s">
        <v>2962</v>
      </c>
      <c r="P3947" s="2" t="s">
        <v>43</v>
      </c>
      <c r="Q3947" s="2" t="s">
        <v>2963</v>
      </c>
      <c r="R3947" s="2" t="s">
        <v>2964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3225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2959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2960</v>
      </c>
      <c r="J3948" s="2" t="s">
        <v>2961</v>
      </c>
      <c r="K3948" s="2">
        <v>966567958</v>
      </c>
      <c r="L3948" s="2" t="s">
        <v>344</v>
      </c>
      <c r="M3948" s="2" t="s">
        <v>80</v>
      </c>
      <c r="O3948" s="2" t="s">
        <v>2962</v>
      </c>
      <c r="P3948" s="2" t="s">
        <v>43</v>
      </c>
      <c r="Q3948" s="2" t="s">
        <v>2965</v>
      </c>
      <c r="R3948" s="2" t="s">
        <v>2966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3225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2237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2967</v>
      </c>
      <c r="J3949" s="2" t="s">
        <v>2968</v>
      </c>
      <c r="K3949" s="2">
        <v>939310247</v>
      </c>
      <c r="L3949" s="2" t="s">
        <v>461</v>
      </c>
      <c r="M3949" s="2" t="s">
        <v>40</v>
      </c>
      <c r="O3949" s="2" t="s">
        <v>2969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3369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2970</v>
      </c>
      <c r="P3950" s="2" t="s">
        <v>114</v>
      </c>
      <c r="Q3950" s="2" t="s">
        <v>1577</v>
      </c>
      <c r="R3950" s="2" t="s">
        <v>1578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3447</v>
      </c>
      <c r="D3951" s="2" t="s">
        <v>3445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3490</v>
      </c>
      <c r="O3951" s="2" t="s">
        <v>2971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3367</v>
      </c>
      <c r="D3952" s="2" t="s">
        <v>3446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2972</v>
      </c>
      <c r="P3952" s="2" t="s">
        <v>3228</v>
      </c>
      <c r="Q3952" s="2" t="s">
        <v>2973</v>
      </c>
      <c r="R3952" s="2" t="s">
        <v>2974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3228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3447</v>
      </c>
      <c r="D3953" s="2" t="s">
        <v>2566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2567</v>
      </c>
      <c r="J3953" s="2" t="s">
        <v>2568</v>
      </c>
      <c r="L3953" s="2" t="s">
        <v>133</v>
      </c>
      <c r="M3953" s="2" t="s">
        <v>109</v>
      </c>
      <c r="P3953" s="2" t="s">
        <v>72</v>
      </c>
      <c r="Q3953" s="2" t="s">
        <v>1448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3225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3447</v>
      </c>
      <c r="D3954" s="2" t="s">
        <v>2566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2567</v>
      </c>
      <c r="J3954" s="2" t="s">
        <v>2568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3225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2975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3225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2975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3225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3367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2976</v>
      </c>
      <c r="P3957" s="2" t="s">
        <v>114</v>
      </c>
      <c r="Q3957" s="2" t="s">
        <v>1382</v>
      </c>
      <c r="R3957" s="2" t="s">
        <v>1383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3367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2976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3432</v>
      </c>
      <c r="D3959" s="2" t="s">
        <v>1254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2710</v>
      </c>
      <c r="J3959" s="2" t="s">
        <v>2711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1448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3225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3367</v>
      </c>
      <c r="D3960" s="2" t="s">
        <v>1254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2710</v>
      </c>
      <c r="J3960" s="2" t="s">
        <v>2711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2977</v>
      </c>
      <c r="R3960" s="2" t="s">
        <v>2978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3225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3367</v>
      </c>
      <c r="D3961" s="2" t="s">
        <v>1254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2710</v>
      </c>
      <c r="J3961" s="2" t="s">
        <v>2711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3225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2979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2980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2981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2982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2980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2981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2982</v>
      </c>
      <c r="P3964" s="2" t="s">
        <v>114</v>
      </c>
      <c r="Q3964" s="2" t="s">
        <v>795</v>
      </c>
      <c r="R3964" s="2" t="s">
        <v>2983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2980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2981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2982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2980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2981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2982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2980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2981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2982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1309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2984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3225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2984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3225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2985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3225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2985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3225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2986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3225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2986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3225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1592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1593</v>
      </c>
      <c r="J3974" s="2" t="s">
        <v>1594</v>
      </c>
      <c r="L3974" s="2" t="s">
        <v>201</v>
      </c>
      <c r="M3974" s="2" t="s">
        <v>80</v>
      </c>
      <c r="O3974" s="2" t="s">
        <v>2987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3225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1592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1593</v>
      </c>
      <c r="J3975" s="2" t="s">
        <v>1594</v>
      </c>
      <c r="L3975" s="2" t="s">
        <v>201</v>
      </c>
      <c r="M3975" s="2" t="s">
        <v>80</v>
      </c>
      <c r="O3975" s="2" t="s">
        <v>2987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3225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1718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3232</v>
      </c>
      <c r="J3976" s="2" t="s">
        <v>3233</v>
      </c>
      <c r="L3976" s="2" t="s">
        <v>571</v>
      </c>
      <c r="M3976" s="2" t="s">
        <v>80</v>
      </c>
      <c r="O3976" s="2" t="s">
        <v>3235</v>
      </c>
      <c r="P3976" s="2" t="s">
        <v>72</v>
      </c>
      <c r="Q3976" s="2" t="s">
        <v>2413</v>
      </c>
      <c r="R3976" s="2" t="s">
        <v>2414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3225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1718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3232</v>
      </c>
      <c r="J3977" s="2" t="s">
        <v>3233</v>
      </c>
      <c r="L3977" s="2" t="s">
        <v>571</v>
      </c>
      <c r="M3977" s="2" t="s">
        <v>80</v>
      </c>
      <c r="O3977" s="2" t="s">
        <v>3235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3225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3367</v>
      </c>
      <c r="D3980" s="2" t="s">
        <v>2048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2778</v>
      </c>
      <c r="J3980" s="2" t="s">
        <v>2819</v>
      </c>
      <c r="K3980" s="2">
        <v>914732950</v>
      </c>
      <c r="L3980" s="2" t="s">
        <v>480</v>
      </c>
      <c r="M3980" s="2" t="s">
        <v>40</v>
      </c>
      <c r="O3980" s="2" t="s">
        <v>2988</v>
      </c>
      <c r="P3980" s="2" t="s">
        <v>1603</v>
      </c>
      <c r="Q3980" s="2" t="s">
        <v>1601</v>
      </c>
      <c r="R3980" s="2" t="s">
        <v>1602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1603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3367</v>
      </c>
      <c r="D3981" s="2" t="s">
        <v>2048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2778</v>
      </c>
      <c r="J3981" s="2" t="s">
        <v>2819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3367</v>
      </c>
      <c r="D3982" s="2" t="s">
        <v>2048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2778</v>
      </c>
      <c r="J3982" s="2" t="s">
        <v>2819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3225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1344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3225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3225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3225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2989</v>
      </c>
      <c r="R3987" s="2" t="s">
        <v>2990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3225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3225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3225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3225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3225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3225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1621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1622</v>
      </c>
      <c r="J3994" s="2" t="s">
        <v>1623</v>
      </c>
      <c r="L3994" s="2" t="s">
        <v>293</v>
      </c>
      <c r="M3994" s="2" t="s">
        <v>40</v>
      </c>
      <c r="O3994" s="2" t="s">
        <v>2991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1621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1622</v>
      </c>
      <c r="J3995" s="2" t="s">
        <v>1623</v>
      </c>
      <c r="L3995" s="2" t="s">
        <v>293</v>
      </c>
      <c r="M3995" s="2" t="s">
        <v>40</v>
      </c>
      <c r="O3995" s="2" t="s">
        <v>2991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1280</v>
      </c>
      <c r="E3996" s="2" t="s">
        <v>183</v>
      </c>
      <c r="F3996" s="2" t="s">
        <v>2992</v>
      </c>
      <c r="G3996" s="2">
        <v>517805383</v>
      </c>
      <c r="H3996" s="2" t="s">
        <v>40</v>
      </c>
      <c r="I3996" s="2" t="s">
        <v>99</v>
      </c>
      <c r="J3996" s="2" t="s">
        <v>2993</v>
      </c>
      <c r="K3996" s="2">
        <v>964651239</v>
      </c>
      <c r="L3996" s="2" t="s">
        <v>99</v>
      </c>
      <c r="M3996" s="2" t="s">
        <v>40</v>
      </c>
      <c r="O3996" s="2" t="s">
        <v>2994</v>
      </c>
      <c r="P3996" s="2" t="s">
        <v>282</v>
      </c>
      <c r="Q3996" s="2" t="s">
        <v>2995</v>
      </c>
      <c r="R3996" s="2" t="s">
        <v>2996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3378</v>
      </c>
      <c r="AC3996" s="2" t="s">
        <v>1326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3447</v>
      </c>
      <c r="D3997" s="2" t="s">
        <v>2997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2998</v>
      </c>
      <c r="J3997" s="2" t="s">
        <v>2999</v>
      </c>
      <c r="K3997" s="2">
        <v>969030161</v>
      </c>
      <c r="L3997" s="2" t="s">
        <v>3000</v>
      </c>
      <c r="M3997" s="2" t="s">
        <v>40</v>
      </c>
      <c r="O3997" s="2" t="s">
        <v>3001</v>
      </c>
      <c r="P3997" s="2" t="s">
        <v>114</v>
      </c>
      <c r="Q3997" s="2" t="s">
        <v>1470</v>
      </c>
      <c r="R3997" s="2" t="s">
        <v>1471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2998</v>
      </c>
      <c r="J3998" s="2" t="s">
        <v>2999</v>
      </c>
      <c r="K3998" s="2">
        <v>969030161</v>
      </c>
      <c r="L3998" s="2" t="s">
        <v>3000</v>
      </c>
      <c r="M3998" s="2" t="s">
        <v>40</v>
      </c>
      <c r="O3998" s="2" t="s">
        <v>3001</v>
      </c>
      <c r="P3998" s="2" t="s">
        <v>114</v>
      </c>
      <c r="Q3998" s="2" t="s">
        <v>1577</v>
      </c>
      <c r="R3998" s="2" t="s">
        <v>1578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2333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3002</v>
      </c>
      <c r="L3999" s="2" t="s">
        <v>177</v>
      </c>
      <c r="M3999" s="2" t="s">
        <v>41</v>
      </c>
      <c r="O3999" s="2" t="s">
        <v>3003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3225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2333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3225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3004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3238</v>
      </c>
      <c r="L4001" s="2" t="s">
        <v>112</v>
      </c>
      <c r="M4001" s="2" t="s">
        <v>109</v>
      </c>
      <c r="O4001" s="2" t="s">
        <v>3239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3225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3004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3238</v>
      </c>
      <c r="L4002" s="2" t="s">
        <v>112</v>
      </c>
      <c r="M4002" s="2" t="s">
        <v>109</v>
      </c>
      <c r="O4002" s="2" t="s">
        <v>3239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3225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3005</v>
      </c>
      <c r="P4003" s="2" t="s">
        <v>114</v>
      </c>
      <c r="Q4003" s="2" t="s">
        <v>2210</v>
      </c>
      <c r="R4003" s="2" t="s">
        <v>2211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3006</v>
      </c>
      <c r="R4005" s="2" t="s">
        <v>3007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3434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3008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3225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3225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3225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3009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3225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3009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3447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3225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3367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3225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3367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3225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3377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3367</v>
      </c>
      <c r="D4017" s="2" t="s">
        <v>1739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1740</v>
      </c>
      <c r="K4017" s="2">
        <v>968602188</v>
      </c>
      <c r="L4017" s="2" t="s">
        <v>461</v>
      </c>
      <c r="M4017" s="2" t="s">
        <v>40</v>
      </c>
      <c r="O4017" s="2" t="s">
        <v>3010</v>
      </c>
      <c r="P4017" s="2" t="s">
        <v>114</v>
      </c>
      <c r="Q4017" s="2" t="s">
        <v>1470</v>
      </c>
      <c r="R4017" s="2" t="s">
        <v>1471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1739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1740</v>
      </c>
      <c r="K4018" s="2">
        <v>968602188</v>
      </c>
      <c r="L4018" s="2" t="s">
        <v>461</v>
      </c>
      <c r="M4018" s="2" t="s">
        <v>40</v>
      </c>
      <c r="O4018" s="2" t="s">
        <v>3010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1739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1740</v>
      </c>
      <c r="K4019" s="2">
        <v>968602188</v>
      </c>
      <c r="L4019" s="2" t="s">
        <v>461</v>
      </c>
      <c r="M4019" s="2" t="s">
        <v>40</v>
      </c>
      <c r="O4019" s="2" t="s">
        <v>3010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1294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1295</v>
      </c>
      <c r="L4020" s="2" t="s">
        <v>339</v>
      </c>
      <c r="M4020" s="2" t="s">
        <v>80</v>
      </c>
      <c r="O4020" s="2" t="s">
        <v>3011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3225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1294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1295</v>
      </c>
      <c r="L4021" s="2" t="s">
        <v>339</v>
      </c>
      <c r="M4021" s="2" t="s">
        <v>80</v>
      </c>
      <c r="O4021" s="2" t="s">
        <v>3011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3225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1362</v>
      </c>
      <c r="R4022" s="2" t="s">
        <v>1363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3225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3225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3225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3012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3225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3225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3013</v>
      </c>
      <c r="P4027" s="2" t="s">
        <v>43</v>
      </c>
      <c r="Q4027" s="2" t="s">
        <v>3014</v>
      </c>
      <c r="R4027" s="2" t="s">
        <v>3015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3225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3013</v>
      </c>
      <c r="P4028" s="2" t="s">
        <v>43</v>
      </c>
      <c r="Q4028" s="2" t="s">
        <v>3016</v>
      </c>
      <c r="R4028" s="2" t="s">
        <v>3017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3225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3447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3018</v>
      </c>
      <c r="P4029" s="2" t="s">
        <v>114</v>
      </c>
      <c r="Q4029" s="2" t="s">
        <v>3019</v>
      </c>
      <c r="R4029" s="2" t="s">
        <v>3020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3369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3021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3022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3225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3022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3225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3023</v>
      </c>
      <c r="M4033" s="2" t="s">
        <v>40</v>
      </c>
      <c r="O4033" s="2" t="s">
        <v>3024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3023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3023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3025</v>
      </c>
      <c r="P4036" s="2" t="s">
        <v>72</v>
      </c>
      <c r="Q4036" s="2" t="s">
        <v>3026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3225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3225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3027</v>
      </c>
      <c r="R4038" s="2" t="s">
        <v>3028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3225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3225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2363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2364</v>
      </c>
      <c r="J4040" s="2" t="s">
        <v>2365</v>
      </c>
      <c r="K4040" s="2">
        <v>963062174</v>
      </c>
      <c r="L4040" s="2" t="s">
        <v>418</v>
      </c>
      <c r="M4040" s="2" t="s">
        <v>41</v>
      </c>
      <c r="O4040" s="2" t="s">
        <v>3029</v>
      </c>
      <c r="P4040" s="2" t="s">
        <v>282</v>
      </c>
      <c r="Q4040" s="2" t="s">
        <v>3030</v>
      </c>
      <c r="R4040" s="2" t="s">
        <v>3031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2363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2364</v>
      </c>
      <c r="J4041" s="2" t="s">
        <v>2365</v>
      </c>
      <c r="K4041" s="2">
        <v>963062174</v>
      </c>
      <c r="L4041" s="2" t="s">
        <v>418</v>
      </c>
      <c r="M4041" s="2" t="s">
        <v>41</v>
      </c>
      <c r="O4041" s="2" t="s">
        <v>3029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3225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3369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3032</v>
      </c>
      <c r="P4042" s="2" t="s">
        <v>114</v>
      </c>
      <c r="Q4042" s="2" t="s">
        <v>1577</v>
      </c>
      <c r="R4042" s="2" t="s">
        <v>1578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3033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3033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3225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3225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3320</v>
      </c>
      <c r="D4047" s="2" t="s">
        <v>1449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3320</v>
      </c>
      <c r="D4048" s="2" t="s">
        <v>1449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2479</v>
      </c>
      <c r="R4048" s="2" t="s">
        <v>1386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3320</v>
      </c>
      <c r="D4049" s="2" t="s">
        <v>1449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3320</v>
      </c>
      <c r="D4050" s="2" t="s">
        <v>1449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1322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3225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1322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3225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1322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3225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3375</v>
      </c>
      <c r="D4054" s="2" t="s">
        <v>3099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3034</v>
      </c>
      <c r="R4054" s="2" t="s">
        <v>3035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3225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3375</v>
      </c>
      <c r="D4055" s="2" t="s">
        <v>3099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3225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3291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3225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3291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3225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3291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3225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3291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3225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3225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3225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1976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3225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3225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3260</v>
      </c>
      <c r="E4067" s="2" t="s">
        <v>38</v>
      </c>
      <c r="F4067" s="2" t="s">
        <v>3417</v>
      </c>
      <c r="G4067" s="2">
        <v>500844321</v>
      </c>
      <c r="H4067" s="2" t="s">
        <v>40</v>
      </c>
      <c r="I4067" s="2" t="s">
        <v>339</v>
      </c>
      <c r="J4067" s="2" t="s">
        <v>2645</v>
      </c>
      <c r="L4067" s="2" t="s">
        <v>339</v>
      </c>
      <c r="M4067" s="2" t="s">
        <v>290</v>
      </c>
      <c r="O4067" s="2" t="s">
        <v>3259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3256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2645</v>
      </c>
      <c r="L4068" s="2" t="s">
        <v>418</v>
      </c>
      <c r="M4068" s="2" t="s">
        <v>41</v>
      </c>
      <c r="O4068" s="2" t="s">
        <v>3261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3256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2645</v>
      </c>
      <c r="L4069" s="2" t="s">
        <v>418</v>
      </c>
      <c r="M4069" s="2" t="s">
        <v>41</v>
      </c>
      <c r="O4069" s="2" t="s">
        <v>3261</v>
      </c>
      <c r="P4069" s="2" t="s">
        <v>114</v>
      </c>
      <c r="Q4069" s="2" t="s">
        <v>1577</v>
      </c>
      <c r="R4069" s="2" t="s">
        <v>1578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3103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3103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3103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3377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2122</v>
      </c>
      <c r="E4073" s="2" t="s">
        <v>108</v>
      </c>
      <c r="F4073" s="2" t="s">
        <v>39</v>
      </c>
      <c r="L4073" s="2" t="s">
        <v>461</v>
      </c>
      <c r="M4073" s="2" t="s">
        <v>80</v>
      </c>
      <c r="P4073" s="2" t="s">
        <v>1038</v>
      </c>
      <c r="Q4073" s="2" t="s">
        <v>3036</v>
      </c>
      <c r="R4073" s="2" t="s">
        <v>3037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3225</v>
      </c>
      <c r="AA4073" s="2" t="s">
        <v>1041</v>
      </c>
      <c r="AB4073" s="2" t="s">
        <v>1269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3225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3444</v>
      </c>
      <c r="D4075" s="2" t="s">
        <v>3097</v>
      </c>
      <c r="E4075" s="2" t="s">
        <v>38</v>
      </c>
      <c r="F4075" s="2" t="s">
        <v>3514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3444</v>
      </c>
      <c r="D4076" s="2" t="s">
        <v>3097</v>
      </c>
      <c r="E4076" s="2" t="s">
        <v>38</v>
      </c>
      <c r="F4076" s="2" t="s">
        <v>3514</v>
      </c>
      <c r="L4076" s="2" t="s">
        <v>99</v>
      </c>
      <c r="M4076" s="2" t="s">
        <v>40</v>
      </c>
      <c r="P4076" s="2" t="s">
        <v>114</v>
      </c>
      <c r="Q4076" s="2" t="s">
        <v>2113</v>
      </c>
      <c r="R4076" s="2" t="s">
        <v>2114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3444</v>
      </c>
      <c r="D4077" s="2" t="s">
        <v>3097</v>
      </c>
      <c r="E4077" s="2" t="s">
        <v>38</v>
      </c>
      <c r="F4077" s="2" t="s">
        <v>3514</v>
      </c>
      <c r="L4077" s="2" t="s">
        <v>99</v>
      </c>
      <c r="M4077" s="2" t="s">
        <v>40</v>
      </c>
      <c r="P4077" s="2" t="s">
        <v>114</v>
      </c>
      <c r="Q4077" s="2" t="s">
        <v>1182</v>
      </c>
      <c r="R4077" s="2" t="s">
        <v>1183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3375</v>
      </c>
      <c r="D4078" s="2" t="s">
        <v>1354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1355</v>
      </c>
      <c r="L4078" s="2" t="s">
        <v>418</v>
      </c>
      <c r="M4078" s="2" t="s">
        <v>41</v>
      </c>
      <c r="P4078" s="2" t="s">
        <v>43</v>
      </c>
      <c r="Q4078" s="2" t="s">
        <v>2922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3225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3375</v>
      </c>
      <c r="D4079" s="2" t="s">
        <v>1354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1355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2924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3225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3375</v>
      </c>
      <c r="D4080" s="2" t="s">
        <v>1354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1355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3225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3375</v>
      </c>
      <c r="D4081" s="2" t="s">
        <v>1354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1355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3225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3375</v>
      </c>
      <c r="D4082" s="2" t="s">
        <v>1354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1355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3225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3375</v>
      </c>
      <c r="D4083" s="2" t="s">
        <v>1354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1355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3225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3375</v>
      </c>
      <c r="D4084" s="2" t="s">
        <v>1354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1355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3225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3375</v>
      </c>
      <c r="D4085" s="2" t="s">
        <v>1354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1355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3225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3375</v>
      </c>
      <c r="D4086" s="2" t="s">
        <v>1354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1355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3225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3375</v>
      </c>
      <c r="D4087" s="2" t="s">
        <v>1354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1355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3225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3375</v>
      </c>
      <c r="D4088" s="2" t="s">
        <v>1354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1355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3225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3375</v>
      </c>
      <c r="D4089" s="2" t="s">
        <v>1354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1355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3225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3375</v>
      </c>
      <c r="D4090" s="2" t="s">
        <v>1354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1355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3225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3375</v>
      </c>
      <c r="D4091" s="2" t="s">
        <v>1354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1355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3225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3375</v>
      </c>
      <c r="D4092" s="2" t="s">
        <v>1354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1355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3225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3375</v>
      </c>
      <c r="D4093" s="2" t="s">
        <v>1354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1355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3225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3375</v>
      </c>
      <c r="D4094" s="2" t="s">
        <v>1354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1355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3225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3375</v>
      </c>
      <c r="D4095" s="2" t="s">
        <v>1354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1355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3225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3375</v>
      </c>
      <c r="D4096" s="2" t="s">
        <v>1354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1355</v>
      </c>
      <c r="L4096" s="2" t="s">
        <v>418</v>
      </c>
      <c r="M4096" s="2" t="s">
        <v>41</v>
      </c>
      <c r="P4096" s="2" t="s">
        <v>43</v>
      </c>
      <c r="Q4096" s="2" t="s">
        <v>2963</v>
      </c>
      <c r="R4096" s="2" t="s">
        <v>2964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3225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3375</v>
      </c>
      <c r="D4097" s="2" t="s">
        <v>1354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1355</v>
      </c>
      <c r="L4097" s="2" t="s">
        <v>418</v>
      </c>
      <c r="M4097" s="2" t="s">
        <v>41</v>
      </c>
      <c r="P4097" s="2" t="s">
        <v>43</v>
      </c>
      <c r="Q4097" s="2" t="s">
        <v>2965</v>
      </c>
      <c r="R4097" s="2" t="s">
        <v>2966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3225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3375</v>
      </c>
      <c r="D4098" s="2" t="s">
        <v>1354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1355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3225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3375</v>
      </c>
      <c r="D4099" s="2" t="s">
        <v>1354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1355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3225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3375</v>
      </c>
      <c r="D4100" s="2" t="s">
        <v>1354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1355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3225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3375</v>
      </c>
      <c r="D4101" s="2" t="s">
        <v>1354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1355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3225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3375</v>
      </c>
      <c r="D4102" s="2" t="s">
        <v>1354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1355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3225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3375</v>
      </c>
      <c r="D4103" s="2" t="s">
        <v>1354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1355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3225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3375</v>
      </c>
      <c r="D4104" s="2" t="s">
        <v>1354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1355</v>
      </c>
      <c r="L4104" s="2" t="s">
        <v>418</v>
      </c>
      <c r="M4104" s="2" t="s">
        <v>41</v>
      </c>
      <c r="P4104" s="2" t="s">
        <v>43</v>
      </c>
      <c r="Q4104" s="2" t="s">
        <v>3038</v>
      </c>
      <c r="R4104" s="2" t="s">
        <v>3039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3225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3375</v>
      </c>
      <c r="D4105" s="2" t="s">
        <v>1354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1355</v>
      </c>
      <c r="L4105" s="2" t="s">
        <v>418</v>
      </c>
      <c r="M4105" s="2" t="s">
        <v>41</v>
      </c>
      <c r="P4105" s="2" t="s">
        <v>84</v>
      </c>
      <c r="Q4105" s="2" t="s">
        <v>1970</v>
      </c>
      <c r="R4105" s="2" t="s">
        <v>1971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3225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3375</v>
      </c>
      <c r="D4106" s="2" t="s">
        <v>1354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1355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3225</v>
      </c>
      <c r="AA4106" s="2" t="s">
        <v>3376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3375</v>
      </c>
      <c r="D4107" s="2" t="s">
        <v>1354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1355</v>
      </c>
      <c r="L4107" s="2" t="s">
        <v>418</v>
      </c>
      <c r="M4107" s="2" t="s">
        <v>41</v>
      </c>
      <c r="P4107" s="2" t="s">
        <v>84</v>
      </c>
      <c r="Q4107" s="2" t="s">
        <v>3040</v>
      </c>
      <c r="R4107" s="2" t="s">
        <v>3041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3225</v>
      </c>
      <c r="AA4107" s="2" t="s">
        <v>3376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 t="s">
        <v>3320</v>
      </c>
      <c r="D4108" s="2" t="s">
        <v>2556</v>
      </c>
      <c r="E4108" s="2" t="s">
        <v>108</v>
      </c>
      <c r="F4108" s="2" t="s">
        <v>717</v>
      </c>
      <c r="G4108" s="2">
        <v>500228264</v>
      </c>
      <c r="H4108" s="2" t="s">
        <v>109</v>
      </c>
      <c r="I4108" s="2" t="s">
        <v>2936</v>
      </c>
      <c r="J4108" s="2" t="s">
        <v>2937</v>
      </c>
      <c r="K4108" s="2">
        <v>962004672</v>
      </c>
      <c r="L4108" s="2" t="s">
        <v>398</v>
      </c>
      <c r="M4108" s="2" t="s">
        <v>40</v>
      </c>
      <c r="P4108" s="2" t="s">
        <v>114</v>
      </c>
      <c r="Q4108" s="2" t="s">
        <v>3042</v>
      </c>
      <c r="R4108" s="2" t="s">
        <v>3043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W4108" s="2">
        <v>64.001000000000005</v>
      </c>
      <c r="X4108" s="5">
        <f t="shared" si="700"/>
        <v>0.5440549975065897</v>
      </c>
      <c r="Z4108" s="2" t="s">
        <v>117</v>
      </c>
      <c r="AA4108" s="2" t="s">
        <v>118</v>
      </c>
      <c r="AB4108" s="2" t="s">
        <v>119</v>
      </c>
      <c r="AC4108" s="2" t="s">
        <v>114</v>
      </c>
      <c r="AI4108" s="2"/>
      <c r="AK4108" s="2">
        <f t="shared" si="701"/>
        <v>76.369</v>
      </c>
      <c r="AL4108" s="5">
        <f t="shared" si="702"/>
        <v>0.5440549975065897</v>
      </c>
    </row>
    <row r="4109" spans="1:38" x14ac:dyDescent="0.2">
      <c r="A4109" s="8">
        <v>2026</v>
      </c>
      <c r="B4109" s="8">
        <v>6</v>
      </c>
      <c r="C4109" s="8" t="s">
        <v>3320</v>
      </c>
      <c r="D4109" s="2" t="s">
        <v>2556</v>
      </c>
      <c r="E4109" s="2" t="s">
        <v>108</v>
      </c>
      <c r="F4109" s="2" t="s">
        <v>717</v>
      </c>
      <c r="G4109" s="2">
        <v>500228264</v>
      </c>
      <c r="H4109" s="2" t="s">
        <v>109</v>
      </c>
      <c r="I4109" s="2" t="s">
        <v>2936</v>
      </c>
      <c r="J4109" s="2" t="s">
        <v>2937</v>
      </c>
      <c r="K4109" s="2">
        <v>962004672</v>
      </c>
      <c r="L4109" s="2" t="s">
        <v>398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 t="s">
        <v>3320</v>
      </c>
      <c r="D4110" s="2" t="s">
        <v>2556</v>
      </c>
      <c r="E4110" s="2" t="s">
        <v>108</v>
      </c>
      <c r="F4110" s="2" t="s">
        <v>717</v>
      </c>
      <c r="G4110" s="2">
        <v>500228264</v>
      </c>
      <c r="H4110" s="2" t="s">
        <v>109</v>
      </c>
      <c r="I4110" s="2" t="s">
        <v>2936</v>
      </c>
      <c r="J4110" s="2" t="s">
        <v>2937</v>
      </c>
      <c r="K4110" s="2">
        <v>962004672</v>
      </c>
      <c r="L4110" s="2" t="s">
        <v>398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E4111" s="2" t="s">
        <v>108</v>
      </c>
      <c r="F4111" s="2" t="s">
        <v>39</v>
      </c>
      <c r="G4111" s="2">
        <v>510039537</v>
      </c>
      <c r="H4111" s="2" t="s">
        <v>40</v>
      </c>
      <c r="I4111" s="2" t="s">
        <v>571</v>
      </c>
      <c r="J4111" s="2" t="s">
        <v>750</v>
      </c>
      <c r="K4111" s="2">
        <v>969042927</v>
      </c>
      <c r="L4111" s="2" t="s">
        <v>571</v>
      </c>
      <c r="M4111" s="2" t="s">
        <v>40</v>
      </c>
      <c r="P4111" s="2" t="s">
        <v>114</v>
      </c>
      <c r="Q4111" s="2" t="s">
        <v>3044</v>
      </c>
      <c r="R4111" s="2" t="s">
        <v>3045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E4112" s="2" t="s">
        <v>108</v>
      </c>
      <c r="F4112" s="2" t="s">
        <v>39</v>
      </c>
      <c r="G4112" s="2">
        <v>510039537</v>
      </c>
      <c r="H4112" s="2" t="s">
        <v>40</v>
      </c>
      <c r="I4112" s="2" t="s">
        <v>571</v>
      </c>
      <c r="J4112" s="2" t="s">
        <v>750</v>
      </c>
      <c r="K4112" s="2">
        <v>969042927</v>
      </c>
      <c r="L4112" s="2" t="s">
        <v>571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E4113" s="2" t="s">
        <v>108</v>
      </c>
      <c r="F4113" s="2" t="s">
        <v>39</v>
      </c>
      <c r="G4113" s="2">
        <v>510039537</v>
      </c>
      <c r="H4113" s="2" t="s">
        <v>40</v>
      </c>
      <c r="I4113" s="2" t="s">
        <v>571</v>
      </c>
      <c r="J4113" s="2" t="s">
        <v>750</v>
      </c>
      <c r="K4113" s="2">
        <v>969042927</v>
      </c>
      <c r="L4113" s="2" t="s">
        <v>571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E4114" s="2" t="s">
        <v>108</v>
      </c>
      <c r="F4114" s="2" t="s">
        <v>39</v>
      </c>
      <c r="G4114" s="2">
        <v>510039537</v>
      </c>
      <c r="H4114" s="2" t="s">
        <v>40</v>
      </c>
      <c r="I4114" s="2" t="s">
        <v>571</v>
      </c>
      <c r="J4114" s="2" t="s">
        <v>750</v>
      </c>
      <c r="K4114" s="2">
        <v>969042927</v>
      </c>
      <c r="L4114" s="2" t="s">
        <v>571</v>
      </c>
      <c r="M4114" s="2" t="s">
        <v>40</v>
      </c>
      <c r="P4114" s="2" t="s">
        <v>114</v>
      </c>
      <c r="Q4114" s="2" t="s">
        <v>2210</v>
      </c>
      <c r="R4114" s="2" t="s">
        <v>2211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E4115" s="2" t="s">
        <v>108</v>
      </c>
      <c r="F4115" s="2" t="s">
        <v>39</v>
      </c>
      <c r="G4115" s="2">
        <v>510039537</v>
      </c>
      <c r="H4115" s="2" t="s">
        <v>40</v>
      </c>
      <c r="I4115" s="2" t="s">
        <v>571</v>
      </c>
      <c r="J4115" s="2" t="s">
        <v>750</v>
      </c>
      <c r="K4115" s="2">
        <v>969042927</v>
      </c>
      <c r="L4115" s="2" t="s">
        <v>571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E4116" s="2" t="s">
        <v>108</v>
      </c>
      <c r="F4116" s="2" t="s">
        <v>39</v>
      </c>
      <c r="G4116" s="2">
        <v>510039537</v>
      </c>
      <c r="H4116" s="2" t="s">
        <v>40</v>
      </c>
      <c r="I4116" s="2" t="s">
        <v>571</v>
      </c>
      <c r="J4116" s="2" t="s">
        <v>750</v>
      </c>
      <c r="K4116" s="2">
        <v>969042927</v>
      </c>
      <c r="L4116" s="2" t="s">
        <v>571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1523</v>
      </c>
      <c r="P4117" s="2" t="s">
        <v>282</v>
      </c>
      <c r="Q4117" s="2" t="s">
        <v>3046</v>
      </c>
      <c r="R4117" s="2" t="s">
        <v>3047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1523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3320</v>
      </c>
      <c r="D4119" s="2" t="s">
        <v>2512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3228</v>
      </c>
      <c r="Q4119" s="2" t="s">
        <v>2973</v>
      </c>
      <c r="R4119" s="2" t="s">
        <v>2974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3228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3444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3048</v>
      </c>
      <c r="R4120" s="2" t="s">
        <v>3049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3225</v>
      </c>
      <c r="AA4120" s="2" t="s">
        <v>155</v>
      </c>
      <c r="AB4120" s="2" t="s">
        <v>3400</v>
      </c>
      <c r="AC4120" s="2" t="s">
        <v>1326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3444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1778</v>
      </c>
      <c r="R4121" s="2" t="s">
        <v>1779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1329</v>
      </c>
      <c r="AC4121" s="2" t="s">
        <v>1326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3444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1327</v>
      </c>
      <c r="R4122" s="2" t="s">
        <v>1328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1329</v>
      </c>
      <c r="AC4122" s="2" t="s">
        <v>1326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3444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3515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3225</v>
      </c>
      <c r="AA4123" s="2" t="s">
        <v>155</v>
      </c>
      <c r="AB4123" s="2" t="s">
        <v>3400</v>
      </c>
      <c r="AC4123" s="2" t="s">
        <v>1326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3389</v>
      </c>
      <c r="D4124" s="2" t="s">
        <v>2943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3225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3389</v>
      </c>
      <c r="D4125" s="2" t="s">
        <v>2943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3225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3389</v>
      </c>
      <c r="D4126" s="2" t="s">
        <v>3104</v>
      </c>
      <c r="E4126" s="2" t="s">
        <v>108</v>
      </c>
      <c r="F4126" s="2" t="s">
        <v>3442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3389</v>
      </c>
      <c r="D4127" s="2" t="s">
        <v>3104</v>
      </c>
      <c r="E4127" s="2" t="s">
        <v>108</v>
      </c>
      <c r="F4127" s="2" t="s">
        <v>3442</v>
      </c>
      <c r="L4127" s="2" t="s">
        <v>626</v>
      </c>
      <c r="M4127" s="2" t="s">
        <v>40</v>
      </c>
      <c r="P4127" s="2" t="s">
        <v>114</v>
      </c>
      <c r="Q4127" s="2" t="s">
        <v>1577</v>
      </c>
      <c r="R4127" s="2" t="s">
        <v>1578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3444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3479</v>
      </c>
      <c r="Q4128" s="2" t="s">
        <v>3050</v>
      </c>
      <c r="R4128" s="2" t="s">
        <v>3051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3225</v>
      </c>
      <c r="AA4128" s="2" t="s">
        <v>87</v>
      </c>
      <c r="AB4128" s="2" t="s">
        <v>90</v>
      </c>
      <c r="AC4128" s="2" t="s">
        <v>3479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3444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2180</v>
      </c>
      <c r="R4129" s="2" t="s">
        <v>2181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3225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3444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3052</v>
      </c>
      <c r="R4130" s="2" t="s">
        <v>3053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3225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3444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3444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1307</v>
      </c>
      <c r="R4132" s="2" t="s">
        <v>3517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3225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1874</v>
      </c>
      <c r="R4133" s="2" t="s">
        <v>1875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2577</v>
      </c>
      <c r="E4136" s="2" t="s">
        <v>183</v>
      </c>
      <c r="F4136" s="2" t="s">
        <v>2578</v>
      </c>
      <c r="G4136" s="2">
        <v>515259144</v>
      </c>
      <c r="H4136" s="2" t="s">
        <v>80</v>
      </c>
      <c r="I4136" s="2" t="s">
        <v>156</v>
      </c>
      <c r="J4136" s="2" t="s">
        <v>2579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2888</v>
      </c>
      <c r="R4136" s="2" t="s">
        <v>2889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3225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2577</v>
      </c>
      <c r="E4137" s="2" t="s">
        <v>183</v>
      </c>
      <c r="F4137" s="2" t="s">
        <v>2578</v>
      </c>
      <c r="G4137" s="2">
        <v>515259144</v>
      </c>
      <c r="H4137" s="2" t="s">
        <v>80</v>
      </c>
      <c r="I4137" s="2" t="s">
        <v>156</v>
      </c>
      <c r="J4137" s="2" t="s">
        <v>2579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3225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3375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3225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3225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2007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3225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2007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3225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3320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3054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3225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3320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3225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3225</v>
      </c>
      <c r="AA4144" s="2" t="s">
        <v>46</v>
      </c>
      <c r="AB4144" s="2" t="s">
        <v>60</v>
      </c>
      <c r="AC4144" s="2" t="s">
        <v>3329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3291</v>
      </c>
      <c r="D4145" s="2" t="s">
        <v>3326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3167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3171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3291</v>
      </c>
      <c r="D4146" s="2" t="s">
        <v>3326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3167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3291</v>
      </c>
      <c r="D4147" s="2" t="s">
        <v>3326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3167</v>
      </c>
      <c r="P4147" s="2" t="s">
        <v>1607</v>
      </c>
      <c r="Q4147" s="2" t="s">
        <v>3055</v>
      </c>
      <c r="R4147" s="2" t="s">
        <v>3056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1607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3291</v>
      </c>
      <c r="D4148" s="2" t="s">
        <v>3326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3167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1546</v>
      </c>
      <c r="R4149" s="2" t="s">
        <v>1547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3225</v>
      </c>
      <c r="AA4150" s="2" t="s">
        <v>46</v>
      </c>
      <c r="AB4150" s="2" t="s">
        <v>60</v>
      </c>
      <c r="AC4150" s="2" t="s">
        <v>3329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3225</v>
      </c>
      <c r="AA4151" s="2" t="s">
        <v>46</v>
      </c>
      <c r="AB4151" s="2" t="s">
        <v>60</v>
      </c>
      <c r="AC4151" s="2" t="s">
        <v>3329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3389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3225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3389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2537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3225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2537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3225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1372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1552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1553</v>
      </c>
      <c r="J4157" s="2" t="s">
        <v>1554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3225</v>
      </c>
      <c r="AA4157" s="2" t="s">
        <v>46</v>
      </c>
      <c r="AB4157" s="2" t="s">
        <v>60</v>
      </c>
      <c r="AC4157" s="2" t="s">
        <v>3329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1552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1553</v>
      </c>
      <c r="J4158" s="2" t="s">
        <v>1554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3225</v>
      </c>
      <c r="AA4158" s="2" t="s">
        <v>46</v>
      </c>
      <c r="AB4158" s="2" t="s">
        <v>60</v>
      </c>
      <c r="AC4158" s="2" t="s">
        <v>3329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1375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3193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3225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1375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3225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3100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3100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1241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3225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1241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3225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3389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3320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3320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3291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3377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3225</v>
      </c>
      <c r="AA4169" s="2" t="s">
        <v>46</v>
      </c>
      <c r="AB4169" s="2" t="s">
        <v>60</v>
      </c>
      <c r="AC4169" s="2" t="s">
        <v>3329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3225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3375</v>
      </c>
      <c r="D4171" s="2" t="s">
        <v>2142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3225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3375</v>
      </c>
      <c r="D4172" s="2" t="s">
        <v>2142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3375</v>
      </c>
      <c r="D4173" s="2" t="s">
        <v>2142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3225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3291</v>
      </c>
      <c r="D4174" s="2" t="s">
        <v>3395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3227</v>
      </c>
      <c r="P4174" s="2" t="s">
        <v>1193</v>
      </c>
      <c r="Q4174" s="2" t="s">
        <v>3057</v>
      </c>
      <c r="R4174" s="2" t="s">
        <v>3058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2745</v>
      </c>
      <c r="AB4174" s="2" t="s">
        <v>3394</v>
      </c>
      <c r="AC4174" s="2" t="s">
        <v>1193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3110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3110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3110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3377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1906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3225</v>
      </c>
      <c r="AA4180" s="2" t="s">
        <v>46</v>
      </c>
      <c r="AB4180" s="2" t="s">
        <v>60</v>
      </c>
      <c r="AC4180" s="2" t="s">
        <v>3329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1906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3225</v>
      </c>
      <c r="AA4181" s="2" t="s">
        <v>46</v>
      </c>
      <c r="AB4181" s="2" t="s">
        <v>60</v>
      </c>
      <c r="AC4181" s="2" t="s">
        <v>3329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3111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3111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1396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3215</v>
      </c>
      <c r="J4185" s="2" t="s">
        <v>3214</v>
      </c>
      <c r="K4185" s="2">
        <v>913814877</v>
      </c>
      <c r="L4185" s="2" t="s">
        <v>201</v>
      </c>
      <c r="M4185" s="2" t="s">
        <v>80</v>
      </c>
      <c r="O4185" s="2" t="s">
        <v>3213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3225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1396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3215</v>
      </c>
      <c r="J4186" s="2" t="s">
        <v>3214</v>
      </c>
      <c r="K4186" s="2">
        <v>913814877</v>
      </c>
      <c r="L4186" s="2" t="s">
        <v>201</v>
      </c>
      <c r="M4186" s="2" t="s">
        <v>80</v>
      </c>
      <c r="O4186" s="2" t="s">
        <v>3213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2431</v>
      </c>
      <c r="P4187" s="2" t="s">
        <v>43</v>
      </c>
      <c r="Q4187" s="2" t="s">
        <v>2868</v>
      </c>
      <c r="R4187" s="2" t="s">
        <v>2869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3225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2431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2980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2981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2980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2981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2983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2980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2981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2980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2981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2980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2981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3377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3225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3225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3225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3328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3328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3377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3444</v>
      </c>
      <c r="D4199" s="2" t="s">
        <v>3108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3059</v>
      </c>
      <c r="R4199" s="2" t="s">
        <v>3060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3289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3132</v>
      </c>
      <c r="L4200" s="2" t="s">
        <v>177</v>
      </c>
      <c r="M4200" s="2" t="s">
        <v>41</v>
      </c>
      <c r="O4200" s="2" t="s">
        <v>3142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3132</v>
      </c>
      <c r="L4201" s="2" t="s">
        <v>177</v>
      </c>
      <c r="M4201" s="2" t="s">
        <v>41</v>
      </c>
      <c r="O4201" s="2" t="s">
        <v>3143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3225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3132</v>
      </c>
      <c r="L4202" s="2" t="s">
        <v>177</v>
      </c>
      <c r="M4202" s="2" t="s">
        <v>41</v>
      </c>
      <c r="O4202" s="2" t="s">
        <v>3141</v>
      </c>
      <c r="P4202" s="2" t="s">
        <v>166</v>
      </c>
      <c r="Q4202" s="2" t="s">
        <v>3061</v>
      </c>
      <c r="R4202" s="2" t="s">
        <v>3062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3225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3132</v>
      </c>
      <c r="L4203" s="2" t="s">
        <v>177</v>
      </c>
      <c r="M4203" s="2" t="s">
        <v>41</v>
      </c>
      <c r="O4203" s="2" t="s">
        <v>3141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3225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3132</v>
      </c>
      <c r="L4204" s="2" t="s">
        <v>177</v>
      </c>
      <c r="M4204" s="2" t="s">
        <v>40</v>
      </c>
      <c r="O4204" s="2" t="s">
        <v>3142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3132</v>
      </c>
      <c r="L4205" s="2" t="s">
        <v>177</v>
      </c>
      <c r="M4205" s="2" t="s">
        <v>40</v>
      </c>
      <c r="O4205" s="2" t="s">
        <v>3142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3109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3109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3389</v>
      </c>
      <c r="D4208" s="2" t="s">
        <v>1717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1435</v>
      </c>
      <c r="R4208" s="2" t="s">
        <v>1436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3225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3389</v>
      </c>
      <c r="D4209" s="2" t="s">
        <v>1717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2896</v>
      </c>
      <c r="Q4209" s="2" t="s">
        <v>3063</v>
      </c>
      <c r="R4209" s="2" t="s">
        <v>3064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3225</v>
      </c>
      <c r="AA4209" s="2" t="s">
        <v>71</v>
      </c>
      <c r="AB4209" s="2" t="s">
        <v>2896</v>
      </c>
      <c r="AC4209" s="2" t="s">
        <v>2896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3389</v>
      </c>
      <c r="D4210" s="2" t="s">
        <v>1717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2896</v>
      </c>
      <c r="Q4210" s="2" t="s">
        <v>3065</v>
      </c>
      <c r="R4210" s="2" t="s">
        <v>3066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3225</v>
      </c>
      <c r="AA4210" s="2" t="s">
        <v>71</v>
      </c>
      <c r="AB4210" s="2" t="s">
        <v>2896</v>
      </c>
      <c r="AC4210" s="2" t="s">
        <v>2896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3389</v>
      </c>
      <c r="D4211" s="2" t="s">
        <v>1717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2896</v>
      </c>
      <c r="Q4211" s="2" t="s">
        <v>3067</v>
      </c>
      <c r="R4211" s="2" t="s">
        <v>3068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3225</v>
      </c>
      <c r="AA4211" s="2" t="s">
        <v>71</v>
      </c>
      <c r="AB4211" s="2" t="s">
        <v>2896</v>
      </c>
      <c r="AC4211" s="2" t="s">
        <v>2896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3389</v>
      </c>
      <c r="D4212" s="2" t="s">
        <v>1717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2896</v>
      </c>
      <c r="Q4212" s="2" t="s">
        <v>3069</v>
      </c>
      <c r="R4212" s="2" t="s">
        <v>3070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3225</v>
      </c>
      <c r="AA4212" s="2" t="s">
        <v>71</v>
      </c>
      <c r="AB4212" s="2" t="s">
        <v>2896</v>
      </c>
      <c r="AC4212" s="2" t="s">
        <v>2896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3389</v>
      </c>
      <c r="D4213" s="2" t="s">
        <v>1717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2896</v>
      </c>
      <c r="Q4213" s="2" t="s">
        <v>3071</v>
      </c>
      <c r="R4213" s="2" t="s">
        <v>3072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3225</v>
      </c>
      <c r="AA4213" s="2" t="s">
        <v>71</v>
      </c>
      <c r="AB4213" s="2" t="s">
        <v>2896</v>
      </c>
      <c r="AC4213" s="2" t="s">
        <v>2896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3389</v>
      </c>
      <c r="D4214" s="2" t="s">
        <v>1717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2896</v>
      </c>
      <c r="Q4214" s="2" t="s">
        <v>3073</v>
      </c>
      <c r="R4214" s="2" t="s">
        <v>3074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3225</v>
      </c>
      <c r="AA4214" s="2" t="s">
        <v>71</v>
      </c>
      <c r="AB4214" s="2" t="s">
        <v>2896</v>
      </c>
      <c r="AC4214" s="2" t="s">
        <v>2896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3389</v>
      </c>
      <c r="D4215" s="2" t="s">
        <v>1717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2896</v>
      </c>
      <c r="Q4215" s="2" t="s">
        <v>3075</v>
      </c>
      <c r="R4215" s="2" t="s">
        <v>3076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3225</v>
      </c>
      <c r="AA4215" s="2" t="s">
        <v>71</v>
      </c>
      <c r="AB4215" s="2" t="s">
        <v>2896</v>
      </c>
      <c r="AC4215" s="2" t="s">
        <v>2896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3291</v>
      </c>
      <c r="D4216" s="2" t="s">
        <v>3107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3077</v>
      </c>
      <c r="R4216" s="2" t="s">
        <v>3078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3225</v>
      </c>
      <c r="AA4216" s="2" t="s">
        <v>71</v>
      </c>
      <c r="AB4216" s="2" t="s">
        <v>68</v>
      </c>
      <c r="AC4216" s="2" t="s">
        <v>3433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3291</v>
      </c>
      <c r="D4217" s="2" t="s">
        <v>3107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2896</v>
      </c>
      <c r="Q4217" s="2" t="s">
        <v>3079</v>
      </c>
      <c r="R4217" s="2" t="s">
        <v>3080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3225</v>
      </c>
      <c r="AA4217" s="2" t="s">
        <v>71</v>
      </c>
      <c r="AB4217" s="2" t="s">
        <v>2896</v>
      </c>
      <c r="AC4217" s="2" t="s">
        <v>2896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3291</v>
      </c>
      <c r="D4218" s="2" t="s">
        <v>3107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3081</v>
      </c>
      <c r="R4218" s="2" t="s">
        <v>3082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2046</v>
      </c>
      <c r="P4219" s="2" t="s">
        <v>1038</v>
      </c>
      <c r="Q4219" s="2" t="s">
        <v>3083</v>
      </c>
      <c r="R4219" s="2" t="s">
        <v>3084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3225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2046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2046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3225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3320</v>
      </c>
      <c r="D4222" s="2" t="s">
        <v>2048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2778</v>
      </c>
      <c r="J4222" s="2" t="s">
        <v>2819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2280</v>
      </c>
      <c r="R4222" s="2" t="s">
        <v>2281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3320</v>
      </c>
      <c r="D4223" s="2" t="s">
        <v>2048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2778</v>
      </c>
      <c r="J4223" s="2" t="s">
        <v>2819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3320</v>
      </c>
      <c r="D4224" s="2" t="s">
        <v>2048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2778</v>
      </c>
      <c r="J4224" s="2" t="s">
        <v>2819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3444</v>
      </c>
      <c r="D4225" s="2" t="s">
        <v>2903</v>
      </c>
      <c r="E4225" s="2" t="s">
        <v>38</v>
      </c>
      <c r="F4225" s="2" t="s">
        <v>3442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3225</v>
      </c>
      <c r="AA4225" s="2" t="s">
        <v>46</v>
      </c>
      <c r="AB4225" s="2" t="s">
        <v>60</v>
      </c>
      <c r="AC4225" s="2" t="s">
        <v>3329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3225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3154</v>
      </c>
      <c r="P4227" s="2" t="s">
        <v>1038</v>
      </c>
      <c r="Q4227" s="2" t="s">
        <v>1832</v>
      </c>
      <c r="R4227" s="2" t="s">
        <v>1833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3225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3225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2525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3225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2525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3225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2525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3225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2525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3225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2525</v>
      </c>
      <c r="P4234" s="2" t="s">
        <v>43</v>
      </c>
      <c r="Q4234" s="2" t="s">
        <v>2965</v>
      </c>
      <c r="R4234" s="2" t="s">
        <v>2966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3225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2525</v>
      </c>
      <c r="P4235" s="2" t="s">
        <v>40</v>
      </c>
      <c r="Q4235" s="2" t="s">
        <v>1307</v>
      </c>
      <c r="R4235" s="2" t="s">
        <v>1308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1309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1270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1271</v>
      </c>
      <c r="J4236" s="2" t="s">
        <v>1272</v>
      </c>
      <c r="L4236" s="2" t="s">
        <v>177</v>
      </c>
      <c r="M4236" s="2" t="s">
        <v>41</v>
      </c>
      <c r="O4236" s="2" t="s">
        <v>3158</v>
      </c>
      <c r="P4236" s="2" t="s">
        <v>1038</v>
      </c>
      <c r="Q4236" s="2" t="s">
        <v>3085</v>
      </c>
      <c r="R4236" s="2" t="s">
        <v>3086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3225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1270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1271</v>
      </c>
      <c r="J4237" s="2" t="s">
        <v>1272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3225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3389</v>
      </c>
      <c r="D4238" s="2" t="s">
        <v>3106</v>
      </c>
      <c r="E4238" s="2" t="s">
        <v>108</v>
      </c>
      <c r="F4238" s="2" t="s">
        <v>3442</v>
      </c>
      <c r="L4238" s="2" t="s">
        <v>2437</v>
      </c>
      <c r="M4238" s="2" t="s">
        <v>40</v>
      </c>
      <c r="P4238" s="2" t="s">
        <v>282</v>
      </c>
      <c r="Q4238" s="2" t="s">
        <v>3087</v>
      </c>
      <c r="R4238" s="2" t="s">
        <v>3088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1329</v>
      </c>
      <c r="AC4238" s="2" t="s">
        <v>1326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3389</v>
      </c>
      <c r="D4239" s="2" t="s">
        <v>3106</v>
      </c>
      <c r="E4239" s="2" t="s">
        <v>108</v>
      </c>
      <c r="F4239" s="2" t="s">
        <v>3442</v>
      </c>
      <c r="L4239" s="2" t="s">
        <v>2437</v>
      </c>
      <c r="M4239" s="2" t="s">
        <v>40</v>
      </c>
      <c r="P4239" s="2" t="s">
        <v>282</v>
      </c>
      <c r="Q4239" s="2" t="s">
        <v>3089</v>
      </c>
      <c r="R4239" s="2" t="s">
        <v>3090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1329</v>
      </c>
      <c r="AC4239" s="2" t="s">
        <v>1326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2907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2907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3225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3320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3320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2983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3320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3320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3320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3377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3225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3160</v>
      </c>
      <c r="P4249" s="2" t="s">
        <v>1038</v>
      </c>
      <c r="Q4249" s="2" t="s">
        <v>2741</v>
      </c>
      <c r="R4249" s="2" t="s">
        <v>2742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3225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3225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3225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3291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3225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3291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3225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3225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3225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1294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1295</v>
      </c>
      <c r="L4256" s="2" t="s">
        <v>339</v>
      </c>
      <c r="M4256" s="2" t="s">
        <v>80</v>
      </c>
      <c r="O4256" s="2" t="s">
        <v>3194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3225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1294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1295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3225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3389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3375</v>
      </c>
      <c r="D4259" s="2" t="s">
        <v>1656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1903</v>
      </c>
      <c r="R4259" s="2" t="s">
        <v>1904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3105</v>
      </c>
      <c r="P4260" s="2" t="s">
        <v>114</v>
      </c>
      <c r="Q4260" s="2" t="s">
        <v>3091</v>
      </c>
      <c r="R4260" s="2" t="s">
        <v>3092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3105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3105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3320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3320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3320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3320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1577</v>
      </c>
      <c r="R4266" s="2" t="s">
        <v>1578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3320</v>
      </c>
      <c r="D4267" s="2" t="s">
        <v>3102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3320</v>
      </c>
      <c r="D4268" s="2" t="s">
        <v>3102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3320</v>
      </c>
      <c r="D4269" s="2" t="s">
        <v>3102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3389</v>
      </c>
      <c r="D4270" s="2" t="s">
        <v>2187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1778</v>
      </c>
      <c r="R4270" s="2" t="s">
        <v>1779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1329</v>
      </c>
      <c r="AC4270" s="2" t="s">
        <v>1326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3389</v>
      </c>
      <c r="D4271" s="2" t="s">
        <v>2187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1327</v>
      </c>
      <c r="R4271" s="2" t="s">
        <v>1328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1329</v>
      </c>
      <c r="AC4271" s="2" t="s">
        <v>1326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3375</v>
      </c>
      <c r="D4272" s="2" t="s">
        <v>2641</v>
      </c>
      <c r="E4272" s="2" t="s">
        <v>38</v>
      </c>
      <c r="G4272" s="2">
        <v>506820378</v>
      </c>
      <c r="H4272" s="2" t="s">
        <v>41</v>
      </c>
      <c r="I4272" s="2" t="s">
        <v>2642</v>
      </c>
      <c r="J4272" s="2" t="s">
        <v>2643</v>
      </c>
      <c r="L4272" s="2" t="s">
        <v>418</v>
      </c>
      <c r="M4272" s="2" t="s">
        <v>41</v>
      </c>
      <c r="P4272" s="2" t="s">
        <v>282</v>
      </c>
      <c r="Q4272" s="2" t="s">
        <v>1234</v>
      </c>
      <c r="R4272" s="2" t="s">
        <v>1235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1573</v>
      </c>
      <c r="AB4272" s="2" t="s">
        <v>388</v>
      </c>
      <c r="AC4272" s="2" t="s">
        <v>1326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3101</v>
      </c>
      <c r="P4273" s="2" t="s">
        <v>282</v>
      </c>
      <c r="Q4273" s="2" t="s">
        <v>1327</v>
      </c>
      <c r="R4273" s="2" t="s">
        <v>1328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1329</v>
      </c>
      <c r="AC4273" s="2" t="s">
        <v>1326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2690</v>
      </c>
      <c r="Q4274" s="2" t="s">
        <v>3093</v>
      </c>
      <c r="R4274" s="2" t="s">
        <v>3094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3225</v>
      </c>
      <c r="AA4274" s="2" t="s">
        <v>3380</v>
      </c>
      <c r="AB4274" s="2" t="s">
        <v>3386</v>
      </c>
      <c r="AC4274" s="2" t="s">
        <v>3387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2690</v>
      </c>
      <c r="Q4275" s="2" t="s">
        <v>3095</v>
      </c>
      <c r="R4275" s="2" t="s">
        <v>3096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3225</v>
      </c>
      <c r="AA4275" s="2" t="s">
        <v>3380</v>
      </c>
      <c r="AB4275" s="2" t="s">
        <v>3386</v>
      </c>
      <c r="AC4275" s="2" t="s">
        <v>3387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3291</v>
      </c>
      <c r="D4276" s="2" t="s">
        <v>3395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3227</v>
      </c>
      <c r="P4276" s="2" t="s">
        <v>282</v>
      </c>
      <c r="Q4276" s="6" t="s">
        <v>3226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1573</v>
      </c>
      <c r="AB4276" s="2" t="s">
        <v>388</v>
      </c>
      <c r="AC4276" s="2" t="s">
        <v>1326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3291</v>
      </c>
      <c r="D4277" s="2" t="s">
        <v>3395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3227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1573</v>
      </c>
      <c r="AB4277" s="2" t="s">
        <v>388</v>
      </c>
      <c r="AC4277" s="2" t="s">
        <v>1326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3292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3267</v>
      </c>
      <c r="M4278" s="2" t="s">
        <v>41</v>
      </c>
      <c r="O4278" s="2" t="s">
        <v>3264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3225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3292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3267</v>
      </c>
      <c r="M4279" s="2" t="s">
        <v>41</v>
      </c>
      <c r="O4279" s="2" t="s">
        <v>3264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3225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3292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3267</v>
      </c>
      <c r="M4280" s="2" t="s">
        <v>41</v>
      </c>
      <c r="O4280" s="2" t="s">
        <v>3264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3225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3292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3267</v>
      </c>
      <c r="M4281" s="2" t="s">
        <v>80</v>
      </c>
      <c r="O4281" s="2" t="s">
        <v>3265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3225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3292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3267</v>
      </c>
      <c r="M4282" s="2" t="s">
        <v>80</v>
      </c>
      <c r="O4282" s="2" t="s">
        <v>3265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3225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3292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3267</v>
      </c>
      <c r="M4283" s="2" t="s">
        <v>80</v>
      </c>
      <c r="O4283" s="2" t="s">
        <v>3265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3225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3292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3267</v>
      </c>
      <c r="M4284" s="2" t="s">
        <v>80</v>
      </c>
      <c r="O4284" s="2" t="s">
        <v>3266</v>
      </c>
      <c r="P4284" s="2" t="s">
        <v>1038</v>
      </c>
      <c r="Q4284" s="2" t="s">
        <v>3262</v>
      </c>
      <c r="R4284" s="2" t="s">
        <v>3263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3225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3292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3267</v>
      </c>
      <c r="M4285" s="2" t="s">
        <v>80</v>
      </c>
      <c r="O4285" s="2" t="s">
        <v>3266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3225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3292</v>
      </c>
      <c r="D4286" s="2" t="s">
        <v>1466</v>
      </c>
      <c r="E4286" s="2" t="s">
        <v>38</v>
      </c>
      <c r="F4286" s="2" t="s">
        <v>39</v>
      </c>
      <c r="H4286" s="2" t="s">
        <v>109</v>
      </c>
      <c r="I4286" s="2" t="s">
        <v>1467</v>
      </c>
      <c r="L4286" s="2" t="s">
        <v>360</v>
      </c>
      <c r="M4286" s="2" t="s">
        <v>80</v>
      </c>
      <c r="O4286" s="2" t="s">
        <v>3276</v>
      </c>
      <c r="P4286" s="2" t="s">
        <v>72</v>
      </c>
      <c r="Q4286" s="2" t="s">
        <v>3026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3225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3292</v>
      </c>
      <c r="D4287" s="2" t="s">
        <v>1466</v>
      </c>
      <c r="E4287" s="2" t="s">
        <v>38</v>
      </c>
      <c r="F4287" s="2" t="s">
        <v>39</v>
      </c>
      <c r="H4287" s="2" t="s">
        <v>109</v>
      </c>
      <c r="I4287" s="2" t="s">
        <v>1467</v>
      </c>
      <c r="L4287" s="2" t="s">
        <v>360</v>
      </c>
      <c r="M4287" s="2" t="s">
        <v>80</v>
      </c>
      <c r="O4287" s="2" t="s">
        <v>3276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3225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3282</v>
      </c>
      <c r="L4288" s="2" t="s">
        <v>339</v>
      </c>
      <c r="M4288" s="2" t="s">
        <v>40</v>
      </c>
      <c r="O4288" s="2" t="s">
        <v>3283</v>
      </c>
      <c r="P4288" s="2" t="s">
        <v>282</v>
      </c>
      <c r="Q4288" s="2" t="s">
        <v>2995</v>
      </c>
      <c r="R4288" s="2" t="s">
        <v>2996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3378</v>
      </c>
      <c r="AC4288" s="2" t="s">
        <v>1326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3292</v>
      </c>
      <c r="D4289" s="2" t="s">
        <v>3268</v>
      </c>
      <c r="E4289" s="2" t="s">
        <v>38</v>
      </c>
      <c r="F4289" s="2" t="s">
        <v>39</v>
      </c>
      <c r="H4289" s="2" t="s">
        <v>290</v>
      </c>
      <c r="I4289" s="2" t="s">
        <v>3278</v>
      </c>
      <c r="L4289" s="2" t="s">
        <v>339</v>
      </c>
      <c r="M4289" s="2" t="s">
        <v>80</v>
      </c>
      <c r="O4289" s="2" t="s">
        <v>3277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3225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3292</v>
      </c>
      <c r="D4290" s="2" t="s">
        <v>3268</v>
      </c>
      <c r="E4290" s="2" t="s">
        <v>38</v>
      </c>
      <c r="F4290" s="2" t="s">
        <v>39</v>
      </c>
      <c r="H4290" s="2" t="s">
        <v>290</v>
      </c>
      <c r="I4290" s="2" t="s">
        <v>3278</v>
      </c>
      <c r="L4290" s="2" t="s">
        <v>339</v>
      </c>
      <c r="M4290" s="2" t="s">
        <v>80</v>
      </c>
      <c r="O4290" s="2" t="s">
        <v>3277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3225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3269</v>
      </c>
      <c r="E4291" s="2" t="s">
        <v>752</v>
      </c>
      <c r="F4291" s="2" t="s">
        <v>918</v>
      </c>
      <c r="H4291" s="2" t="s">
        <v>40</v>
      </c>
      <c r="I4291" s="2" t="s">
        <v>3284</v>
      </c>
      <c r="L4291" s="2" t="s">
        <v>99</v>
      </c>
      <c r="M4291" s="2" t="s">
        <v>40</v>
      </c>
      <c r="O4291" s="2" t="s">
        <v>3285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3269</v>
      </c>
      <c r="E4292" s="2" t="s">
        <v>752</v>
      </c>
      <c r="F4292" s="2" t="s">
        <v>918</v>
      </c>
      <c r="H4292" s="2" t="s">
        <v>40</v>
      </c>
      <c r="I4292" s="2" t="s">
        <v>3284</v>
      </c>
      <c r="L4292" s="2" t="s">
        <v>99</v>
      </c>
      <c r="M4292" s="2" t="s">
        <v>40</v>
      </c>
      <c r="O4292" s="2" t="s">
        <v>3285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3269</v>
      </c>
      <c r="E4293" s="2" t="s">
        <v>752</v>
      </c>
      <c r="F4293" s="2" t="s">
        <v>918</v>
      </c>
      <c r="H4293" s="2" t="s">
        <v>40</v>
      </c>
      <c r="I4293" s="2" t="s">
        <v>3284</v>
      </c>
      <c r="L4293" s="2" t="s">
        <v>99</v>
      </c>
      <c r="M4293" s="2" t="s">
        <v>40</v>
      </c>
      <c r="O4293" s="2" t="s">
        <v>3285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3292</v>
      </c>
      <c r="D4294" s="2" t="s">
        <v>3270</v>
      </c>
      <c r="E4294" s="2" t="s">
        <v>108</v>
      </c>
      <c r="F4294" s="2" t="s">
        <v>477</v>
      </c>
      <c r="H4294" s="2" t="s">
        <v>290</v>
      </c>
      <c r="I4294" s="2" t="s">
        <v>3286</v>
      </c>
      <c r="L4294" s="2" t="s">
        <v>293</v>
      </c>
      <c r="M4294" s="2" t="s">
        <v>80</v>
      </c>
      <c r="O4294" s="2" t="s">
        <v>3287</v>
      </c>
      <c r="P4294" s="2" t="s">
        <v>72</v>
      </c>
      <c r="Q4294" s="2" t="s">
        <v>3271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3225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3292</v>
      </c>
      <c r="D4295" s="2" t="s">
        <v>3270</v>
      </c>
      <c r="E4295" s="2" t="s">
        <v>108</v>
      </c>
      <c r="F4295" s="2" t="s">
        <v>477</v>
      </c>
      <c r="H4295" s="2" t="s">
        <v>290</v>
      </c>
      <c r="I4295" s="2" t="s">
        <v>3286</v>
      </c>
      <c r="L4295" s="2" t="s">
        <v>293</v>
      </c>
      <c r="M4295" s="2" t="s">
        <v>80</v>
      </c>
      <c r="O4295" s="2" t="s">
        <v>3287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3225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3293</v>
      </c>
      <c r="D4296" s="2" t="s">
        <v>3098</v>
      </c>
      <c r="E4296" s="2" t="s">
        <v>38</v>
      </c>
      <c r="F4296" s="2" t="s">
        <v>39</v>
      </c>
      <c r="H4296" s="2" t="s">
        <v>109</v>
      </c>
      <c r="I4296" s="2" t="s">
        <v>3281</v>
      </c>
      <c r="L4296" s="2" t="s">
        <v>133</v>
      </c>
      <c r="M4296" s="2" t="s">
        <v>109</v>
      </c>
      <c r="O4296" s="2" t="s">
        <v>3280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3293</v>
      </c>
      <c r="D4297" s="2" t="s">
        <v>3098</v>
      </c>
      <c r="E4297" s="2" t="s">
        <v>38</v>
      </c>
      <c r="F4297" s="2" t="s">
        <v>39</v>
      </c>
      <c r="H4297" s="2" t="s">
        <v>109</v>
      </c>
      <c r="I4297" s="2" t="s">
        <v>3281</v>
      </c>
      <c r="L4297" s="2" t="s">
        <v>133</v>
      </c>
      <c r="M4297" s="2" t="s">
        <v>109</v>
      </c>
      <c r="O4297" s="2" t="s">
        <v>3280</v>
      </c>
      <c r="P4297" s="2" t="s">
        <v>101</v>
      </c>
      <c r="Q4297" s="2" t="s">
        <v>3272</v>
      </c>
      <c r="R4297" s="2" t="s">
        <v>3273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2026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3293</v>
      </c>
      <c r="D4298" s="2" t="s">
        <v>3098</v>
      </c>
      <c r="E4298" s="2" t="s">
        <v>38</v>
      </c>
      <c r="F4298" s="2" t="s">
        <v>39</v>
      </c>
      <c r="H4298" s="2" t="s">
        <v>109</v>
      </c>
      <c r="I4298" s="2" t="s">
        <v>3281</v>
      </c>
      <c r="L4298" s="2" t="s">
        <v>133</v>
      </c>
      <c r="M4298" s="2" t="s">
        <v>109</v>
      </c>
      <c r="O4298" s="2" t="s">
        <v>3280</v>
      </c>
      <c r="P4298" s="2" t="s">
        <v>101</v>
      </c>
      <c r="Q4298" s="2" t="s">
        <v>3274</v>
      </c>
      <c r="R4298" s="2" t="s">
        <v>3275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3279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3292</v>
      </c>
      <c r="D4299" s="2" t="s">
        <v>1992</v>
      </c>
      <c r="E4299" s="2" t="s">
        <v>108</v>
      </c>
      <c r="F4299" s="2" t="s">
        <v>39</v>
      </c>
      <c r="H4299" s="2" t="s">
        <v>290</v>
      </c>
      <c r="I4299" s="2" t="s">
        <v>3278</v>
      </c>
      <c r="L4299" s="2" t="s">
        <v>339</v>
      </c>
      <c r="M4299" s="2" t="s">
        <v>40</v>
      </c>
      <c r="O4299" s="2" t="s">
        <v>3288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3436</v>
      </c>
      <c r="D4300" s="2" t="s">
        <v>1992</v>
      </c>
      <c r="E4300" s="2" t="s">
        <v>108</v>
      </c>
      <c r="F4300" s="2" t="s">
        <v>39</v>
      </c>
      <c r="H4300" s="2" t="s">
        <v>290</v>
      </c>
      <c r="I4300" s="2" t="s">
        <v>3278</v>
      </c>
      <c r="L4300" s="2" t="s">
        <v>339</v>
      </c>
      <c r="M4300" s="2" t="s">
        <v>40</v>
      </c>
      <c r="O4300" s="2" t="s">
        <v>3288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3292</v>
      </c>
      <c r="D4301" s="2" t="s">
        <v>1483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3292</v>
      </c>
      <c r="D4302" s="2" t="s">
        <v>1483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3292</v>
      </c>
      <c r="D4303" s="2" t="s">
        <v>1483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3293</v>
      </c>
      <c r="D4304" s="2" t="s">
        <v>3330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3293</v>
      </c>
      <c r="D4305" s="2" t="s">
        <v>3330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3292</v>
      </c>
      <c r="D4306" s="2" t="s">
        <v>3331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3225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3292</v>
      </c>
      <c r="D4307" s="2" t="s">
        <v>3331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3225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3293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3293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3292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3292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3292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3292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3342</v>
      </c>
      <c r="R4313" s="15" t="s">
        <v>3343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3225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3292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3225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3291</v>
      </c>
      <c r="D4315" s="15" t="s">
        <v>1354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1355</v>
      </c>
      <c r="L4315" s="2" t="s">
        <v>418</v>
      </c>
      <c r="M4315" s="2" t="s">
        <v>40</v>
      </c>
      <c r="P4315" s="2" t="s">
        <v>282</v>
      </c>
      <c r="Q4315" s="16" t="s">
        <v>2995</v>
      </c>
      <c r="R4315" s="15" t="s">
        <v>2996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3378</v>
      </c>
      <c r="AC4315" s="2" t="s">
        <v>1326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3292</v>
      </c>
      <c r="D4316" s="15" t="s">
        <v>1354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1355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3225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3292</v>
      </c>
      <c r="D4317" s="15" t="s">
        <v>1354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1355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3225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3292</v>
      </c>
      <c r="D4318" s="15" t="s">
        <v>2556</v>
      </c>
      <c r="E4318" s="2" t="s">
        <v>108</v>
      </c>
      <c r="F4318" s="2" t="s">
        <v>717</v>
      </c>
      <c r="G4318" s="2">
        <v>500228264</v>
      </c>
      <c r="H4318" s="2" t="s">
        <v>109</v>
      </c>
      <c r="I4318" s="2" t="s">
        <v>2936</v>
      </c>
      <c r="J4318" s="2" t="s">
        <v>2937</v>
      </c>
      <c r="K4318" s="2">
        <v>962004672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3225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3292</v>
      </c>
      <c r="D4319" s="15" t="s">
        <v>2556</v>
      </c>
      <c r="E4319" s="2" t="s">
        <v>108</v>
      </c>
      <c r="F4319" s="2" t="s">
        <v>717</v>
      </c>
      <c r="G4319" s="2">
        <v>500228264</v>
      </c>
      <c r="H4319" s="2" t="s">
        <v>109</v>
      </c>
      <c r="I4319" s="2" t="s">
        <v>2936</v>
      </c>
      <c r="J4319" s="2" t="s">
        <v>2937</v>
      </c>
      <c r="K4319" s="2">
        <v>962004672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3225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3291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3344</v>
      </c>
      <c r="R4320" s="15" t="s">
        <v>3345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3292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3292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3291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3292</v>
      </c>
      <c r="D4324" s="15" t="s">
        <v>1993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3271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3225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3292</v>
      </c>
      <c r="D4325" s="15" t="s">
        <v>1993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3225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3292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3225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3292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3225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3292</v>
      </c>
      <c r="D4328" s="15" t="s">
        <v>3332</v>
      </c>
      <c r="E4328" s="2" t="s">
        <v>3374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1285</v>
      </c>
      <c r="R4328" s="15" t="s">
        <v>1286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1573</v>
      </c>
      <c r="AB4328" s="2" t="s">
        <v>388</v>
      </c>
      <c r="AC4328" s="2" t="s">
        <v>1326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3292</v>
      </c>
      <c r="D4329" s="15" t="s">
        <v>3332</v>
      </c>
      <c r="E4329" s="2" t="s">
        <v>3374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1573</v>
      </c>
      <c r="AB4329" s="2" t="s">
        <v>388</v>
      </c>
      <c r="AC4329" s="2" t="s">
        <v>1326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3292</v>
      </c>
      <c r="D4330" s="15" t="s">
        <v>3332</v>
      </c>
      <c r="E4330" s="2" t="s">
        <v>3374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1287</v>
      </c>
      <c r="R4330" s="15" t="s">
        <v>1288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1573</v>
      </c>
      <c r="AB4330" s="2" t="s">
        <v>388</v>
      </c>
      <c r="AC4330" s="2" t="s">
        <v>1326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3292</v>
      </c>
      <c r="D4331" s="15" t="s">
        <v>2943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3346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3225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3292</v>
      </c>
      <c r="D4332" s="15" t="s">
        <v>2943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3225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3292</v>
      </c>
      <c r="D4333" s="15" t="s">
        <v>1227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3292</v>
      </c>
      <c r="D4334" s="15" t="s">
        <v>1227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3292</v>
      </c>
      <c r="D4335" s="15" t="s">
        <v>1552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1553</v>
      </c>
      <c r="J4335" s="2" t="s">
        <v>1554</v>
      </c>
      <c r="L4335" s="2" t="s">
        <v>177</v>
      </c>
      <c r="M4335" s="2" t="s">
        <v>41</v>
      </c>
      <c r="P4335" s="2" t="s">
        <v>72</v>
      </c>
      <c r="Q4335" s="16" t="s">
        <v>3346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3225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3292</v>
      </c>
      <c r="D4336" s="15" t="s">
        <v>1552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1553</v>
      </c>
      <c r="J4336" s="2" t="s">
        <v>1554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3225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3292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3347</v>
      </c>
      <c r="R4337" s="15" t="s">
        <v>3348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3292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3436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3436</v>
      </c>
      <c r="D4340" s="15" t="s">
        <v>1375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3225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3436</v>
      </c>
      <c r="D4341" s="15" t="s">
        <v>1375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3225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3436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3225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3436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3225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3291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1385</v>
      </c>
      <c r="R4344" s="15" t="s">
        <v>1386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3291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3291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3291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3436</v>
      </c>
      <c r="D4348" s="15" t="s">
        <v>2016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3436</v>
      </c>
      <c r="D4349" s="15" t="s">
        <v>2016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3436</v>
      </c>
      <c r="D4350" s="15" t="s">
        <v>2016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3377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3293</v>
      </c>
      <c r="D4351" s="15" t="s">
        <v>3333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3291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3225</v>
      </c>
      <c r="AA4352" s="2" t="s">
        <v>46</v>
      </c>
      <c r="AB4352" s="2" t="s">
        <v>60</v>
      </c>
      <c r="AC4352" s="2" t="s">
        <v>3329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3291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3225</v>
      </c>
      <c r="AA4353" s="2" t="s">
        <v>46</v>
      </c>
      <c r="AB4353" s="2" t="s">
        <v>60</v>
      </c>
      <c r="AC4353" s="2" t="s">
        <v>3329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3292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3292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3292</v>
      </c>
      <c r="D4356" s="15" t="s">
        <v>1572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2646</v>
      </c>
      <c r="R4356" s="15" t="s">
        <v>2647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1573</v>
      </c>
      <c r="AB4356" s="2" t="s">
        <v>388</v>
      </c>
      <c r="AC4356" s="2" t="s">
        <v>1326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3292</v>
      </c>
      <c r="D4357" s="15" t="s">
        <v>1572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2650</v>
      </c>
      <c r="R4357" s="15" t="s">
        <v>2651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1573</v>
      </c>
      <c r="AB4357" s="2" t="s">
        <v>388</v>
      </c>
      <c r="AC4357" s="2" t="s">
        <v>1326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3292</v>
      </c>
      <c r="D4358" s="15" t="s">
        <v>1572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3349</v>
      </c>
      <c r="R4358" s="15" t="s">
        <v>3350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1573</v>
      </c>
      <c r="AB4358" s="2" t="s">
        <v>388</v>
      </c>
      <c r="AC4358" s="2" t="s">
        <v>1326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3292</v>
      </c>
      <c r="D4359" s="15" t="s">
        <v>3334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3225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3292</v>
      </c>
      <c r="D4360" s="15" t="s">
        <v>3334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3225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3292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3292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3292</v>
      </c>
      <c r="D4363" s="15" t="s">
        <v>3412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3292</v>
      </c>
      <c r="D4364" s="15" t="s">
        <v>3412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3293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1373</v>
      </c>
      <c r="R4365" s="15" t="s">
        <v>1374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3293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3293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3293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3377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3293</v>
      </c>
      <c r="D4369" s="15" t="s">
        <v>3335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3293</v>
      </c>
      <c r="D4370" s="15" t="s">
        <v>3335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3293</v>
      </c>
      <c r="D4371" s="15" t="s">
        <v>3335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3292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3225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3292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3225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3292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3225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3292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3291</v>
      </c>
      <c r="D4376" s="15" t="s">
        <v>3336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3225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3291</v>
      </c>
      <c r="D4377" s="15" t="s">
        <v>3336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3225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3291</v>
      </c>
      <c r="D4378" s="15" t="s">
        <v>3336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3225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3293</v>
      </c>
      <c r="D4380" s="15" t="s">
        <v>3337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3293</v>
      </c>
      <c r="D4381" s="15" t="s">
        <v>3337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3293</v>
      </c>
      <c r="D4382" s="15" t="s">
        <v>3337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3292</v>
      </c>
      <c r="D4383" s="15" t="s">
        <v>2152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3292</v>
      </c>
      <c r="D4384" s="15" t="s">
        <v>2152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3292</v>
      </c>
      <c r="D4385" s="15" t="s">
        <v>3107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3351</v>
      </c>
      <c r="R4385" s="15" t="s">
        <v>3352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3293</v>
      </c>
      <c r="D4386" s="15" t="s">
        <v>2903</v>
      </c>
      <c r="E4386" s="2" t="s">
        <v>38</v>
      </c>
      <c r="F4386" s="2" t="s">
        <v>3442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3225</v>
      </c>
      <c r="AA4386" s="2" t="s">
        <v>46</v>
      </c>
      <c r="AB4386" s="2" t="s">
        <v>60</v>
      </c>
      <c r="AC4386" s="2" t="s">
        <v>3329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3292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3353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3225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3292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3225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3292</v>
      </c>
      <c r="D4389" s="15" t="s">
        <v>3338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3292</v>
      </c>
      <c r="D4390" s="15" t="s">
        <v>3338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3293</v>
      </c>
      <c r="D4391" s="15" t="s">
        <v>2520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3225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3293</v>
      </c>
      <c r="D4392" s="15" t="s">
        <v>2520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3225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3292</v>
      </c>
      <c r="D4393" s="15" t="s">
        <v>3339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3354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3225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3292</v>
      </c>
      <c r="D4394" s="15" t="s">
        <v>3339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3225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3293</v>
      </c>
      <c r="D4395" s="15" t="s">
        <v>2558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3225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3293</v>
      </c>
      <c r="D4396" s="15" t="s">
        <v>2558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3225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3293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3225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3293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3225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3292</v>
      </c>
      <c r="D4399" s="15" t="s">
        <v>2275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3355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3292</v>
      </c>
      <c r="D4400" s="15" t="s">
        <v>2275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3292</v>
      </c>
      <c r="D4401" s="15" t="s">
        <v>2275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3292</v>
      </c>
      <c r="D4402" s="15" t="s">
        <v>2275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3293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3356</v>
      </c>
      <c r="R4403" s="15" t="s">
        <v>3357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3293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3293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3225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3293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3225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3293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3225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3293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3293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3293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3293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3293</v>
      </c>
      <c r="D4412" s="15" t="s">
        <v>2780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3293</v>
      </c>
      <c r="D4413" s="15" t="s">
        <v>2780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3292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3292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3292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3225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3292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3225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3292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3358</v>
      </c>
      <c r="R4418" s="15" t="s">
        <v>3359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3291</v>
      </c>
      <c r="D4419" s="15" t="s">
        <v>3340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3087</v>
      </c>
      <c r="R4419" s="15" t="s">
        <v>3088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1329</v>
      </c>
      <c r="AC4419" s="2" t="s">
        <v>1326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3292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3243</v>
      </c>
      <c r="J4420" s="2" t="s">
        <v>3244</v>
      </c>
      <c r="K4420" s="2">
        <v>96179412</v>
      </c>
      <c r="L4420" s="2" t="s">
        <v>461</v>
      </c>
      <c r="M4420" s="2" t="s">
        <v>40</v>
      </c>
      <c r="O4420" s="2" t="s">
        <v>3373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3292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3243</v>
      </c>
      <c r="J4421" s="2" t="s">
        <v>3244</v>
      </c>
      <c r="K4421" s="2">
        <v>96179412</v>
      </c>
      <c r="L4421" s="2" t="s">
        <v>461</v>
      </c>
      <c r="M4421" s="2" t="s">
        <v>40</v>
      </c>
      <c r="O4421" s="2" t="s">
        <v>3373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3292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3243</v>
      </c>
      <c r="J4422" s="2" t="s">
        <v>3244</v>
      </c>
      <c r="K4422" s="2">
        <v>96179412</v>
      </c>
      <c r="L4422" s="2" t="s">
        <v>461</v>
      </c>
      <c r="M4422" s="2" t="s">
        <v>40</v>
      </c>
      <c r="O4422" s="2" t="s">
        <v>3373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3293</v>
      </c>
      <c r="D4423" s="15" t="s">
        <v>3341</v>
      </c>
      <c r="E4423" s="2" t="s">
        <v>38</v>
      </c>
      <c r="F4423" s="2" t="s">
        <v>39</v>
      </c>
      <c r="H4423" s="2" t="s">
        <v>40</v>
      </c>
      <c r="I4423" s="2" t="s">
        <v>3372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3225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3293</v>
      </c>
      <c r="D4424" s="15" t="s">
        <v>3341</v>
      </c>
      <c r="E4424" s="2" t="s">
        <v>38</v>
      </c>
      <c r="F4424" s="2" t="s">
        <v>39</v>
      </c>
      <c r="H4424" s="2" t="s">
        <v>40</v>
      </c>
      <c r="I4424" s="2" t="s">
        <v>3372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3225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3293</v>
      </c>
      <c r="D4425" s="15" t="s">
        <v>1311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1312</v>
      </c>
      <c r="L4425" s="2" t="s">
        <v>177</v>
      </c>
      <c r="M4425" s="2" t="s">
        <v>41</v>
      </c>
      <c r="O4425" s="2" t="s">
        <v>3371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3225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3293</v>
      </c>
      <c r="D4426" s="15" t="s">
        <v>1311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1312</v>
      </c>
      <c r="L4426" s="2" t="s">
        <v>177</v>
      </c>
      <c r="M4426" s="2" t="s">
        <v>41</v>
      </c>
      <c r="O4426" s="2" t="s">
        <v>3371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3225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3293</v>
      </c>
      <c r="D4427" s="15" t="s">
        <v>1311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1312</v>
      </c>
      <c r="L4427" s="2" t="s">
        <v>177</v>
      </c>
      <c r="M4427" s="2" t="s">
        <v>41</v>
      </c>
      <c r="O4427" s="2" t="s">
        <v>3371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3225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3292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3370</v>
      </c>
      <c r="P4428" s="2" t="s">
        <v>114</v>
      </c>
      <c r="Q4428" s="16" t="s">
        <v>3360</v>
      </c>
      <c r="R4428" s="15" t="s">
        <v>3361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3292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3370</v>
      </c>
      <c r="P4429" s="2" t="s">
        <v>114</v>
      </c>
      <c r="Q4429" s="16" t="s">
        <v>3362</v>
      </c>
      <c r="R4429" s="15" t="s">
        <v>3363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3292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3370</v>
      </c>
      <c r="P4430" s="2" t="s">
        <v>114</v>
      </c>
      <c r="Q4430" s="16" t="s">
        <v>3364</v>
      </c>
      <c r="R4430" s="15" t="s">
        <v>3365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3422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3267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3225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3422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3267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3225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3422</v>
      </c>
      <c r="D4433" s="23" t="s">
        <v>1542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3298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3422</v>
      </c>
      <c r="D4434" s="23" t="s">
        <v>2773</v>
      </c>
      <c r="E4434" s="2" t="s">
        <v>108</v>
      </c>
      <c r="F4434" s="2" t="s">
        <v>39</v>
      </c>
      <c r="L4434" s="2" t="s">
        <v>2437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3422</v>
      </c>
      <c r="D4435" s="23" t="s">
        <v>2773</v>
      </c>
      <c r="E4435" s="2" t="s">
        <v>108</v>
      </c>
      <c r="F4435" s="2" t="s">
        <v>39</v>
      </c>
      <c r="L4435" s="2" t="s">
        <v>2437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3422</v>
      </c>
      <c r="D4436" s="23" t="s">
        <v>2773</v>
      </c>
      <c r="E4436" s="2" t="s">
        <v>108</v>
      </c>
      <c r="F4436" s="2" t="s">
        <v>39</v>
      </c>
      <c r="L4436" s="2" t="s">
        <v>2437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3422</v>
      </c>
      <c r="D4437" s="23" t="s">
        <v>1572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2995</v>
      </c>
      <c r="R4437" s="23" t="s">
        <v>2996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1326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3422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3422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3422</v>
      </c>
      <c r="D4440" s="23" t="s">
        <v>1621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1622</v>
      </c>
      <c r="J4440" s="2" t="s">
        <v>1623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3225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3422</v>
      </c>
      <c r="D4441" s="23" t="s">
        <v>1621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1622</v>
      </c>
      <c r="J4441" s="2" t="s">
        <v>1623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3225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3422</v>
      </c>
      <c r="D4442" s="2" t="s">
        <v>3423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3225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3422</v>
      </c>
      <c r="D4443" s="2" t="s">
        <v>3423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3225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3422</v>
      </c>
      <c r="D4444" s="2" t="s">
        <v>2577</v>
      </c>
      <c r="E4444" s="2" t="s">
        <v>183</v>
      </c>
      <c r="F4444" s="2" t="s">
        <v>2578</v>
      </c>
      <c r="G4444" s="2">
        <v>515259144</v>
      </c>
      <c r="H4444" s="2" t="s">
        <v>80</v>
      </c>
      <c r="I4444" s="2" t="s">
        <v>156</v>
      </c>
      <c r="J4444" s="2" t="s">
        <v>2579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2888</v>
      </c>
      <c r="R4444" s="2" t="s">
        <v>2889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3225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3422</v>
      </c>
      <c r="D4445" s="2" t="s">
        <v>2577</v>
      </c>
      <c r="E4445" s="2" t="s">
        <v>183</v>
      </c>
      <c r="F4445" s="2" t="s">
        <v>2578</v>
      </c>
      <c r="G4445" s="2">
        <v>515259144</v>
      </c>
      <c r="H4445" s="2" t="s">
        <v>80</v>
      </c>
      <c r="I4445" s="2" t="s">
        <v>156</v>
      </c>
      <c r="J4445" s="2" t="s">
        <v>2579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3225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3422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3225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3422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3225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3422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3422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3225</v>
      </c>
      <c r="AA4449" s="2" t="s">
        <v>46</v>
      </c>
      <c r="AB4449" s="2" t="s">
        <v>60</v>
      </c>
      <c r="AC4449" s="2" t="s">
        <v>3329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3422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3225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3422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3225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3422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3424</v>
      </c>
      <c r="R4452" s="2" t="s">
        <v>3425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3225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3422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3225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3422</v>
      </c>
      <c r="D4454" s="2" t="s">
        <v>2142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3426</v>
      </c>
      <c r="R4454" s="2" t="s">
        <v>3427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3225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3422</v>
      </c>
      <c r="D4455" s="2" t="s">
        <v>2142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3422</v>
      </c>
      <c r="D4456" s="2" t="s">
        <v>2142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3225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3422</v>
      </c>
      <c r="D4457" s="2" t="s">
        <v>2558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3428</v>
      </c>
      <c r="R4457" s="2" t="s">
        <v>3429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3225</v>
      </c>
      <c r="AA4457" s="2" t="s">
        <v>1041</v>
      </c>
      <c r="AB4457" s="2" t="s">
        <v>1269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3422</v>
      </c>
      <c r="D4458" s="2" t="s">
        <v>1294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1295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3225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3422</v>
      </c>
      <c r="D4459" s="2" t="s">
        <v>1294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1295</v>
      </c>
      <c r="L4459" s="2" t="s">
        <v>339</v>
      </c>
      <c r="M4459" s="2" t="s">
        <v>80</v>
      </c>
      <c r="P4459" s="2" t="s">
        <v>1038</v>
      </c>
      <c r="Q4459" s="2" t="s">
        <v>3430</v>
      </c>
      <c r="R4459" s="2" t="s">
        <v>3431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3225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3422</v>
      </c>
      <c r="D4460" s="2" t="s">
        <v>1294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1295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3225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3422</v>
      </c>
      <c r="D4461" s="2" t="s">
        <v>2363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3225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3422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3225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3422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3225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3422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3225</v>
      </c>
      <c r="AA4464" s="2" t="s">
        <v>46</v>
      </c>
      <c r="AB4464" s="2" t="s">
        <v>60</v>
      </c>
      <c r="AC4464" s="2" t="s">
        <v>3329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3422</v>
      </c>
      <c r="D4465" s="24" t="s">
        <v>2048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2778</v>
      </c>
      <c r="J4465" s="2" t="s">
        <v>2819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1513</v>
      </c>
      <c r="R4465" s="24" t="s">
        <v>1514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3422</v>
      </c>
      <c r="D4466" s="24" t="s">
        <v>2048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2778</v>
      </c>
      <c r="J4466" s="2" t="s">
        <v>2819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3422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3225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3422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3225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3422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3225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3422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1546</v>
      </c>
      <c r="R4470" s="2" t="s">
        <v>1547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3422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3225</v>
      </c>
      <c r="AA4471" s="2" t="s">
        <v>46</v>
      </c>
      <c r="AB4471" s="2" t="s">
        <v>60</v>
      </c>
      <c r="AC4471" s="2" t="s">
        <v>3329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3422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1448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3225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3422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3225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3422</v>
      </c>
      <c r="D4474" s="2" t="s">
        <v>3463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3422</v>
      </c>
      <c r="D4475" s="2" t="s">
        <v>3460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3461</v>
      </c>
      <c r="R4475" s="2" t="s">
        <v>3462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3293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3267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3225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3293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3267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3225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3293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3267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3225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3291</v>
      </c>
      <c r="D4479" s="2" t="s">
        <v>3098</v>
      </c>
      <c r="E4479" s="2" t="s">
        <v>38</v>
      </c>
      <c r="F4479" s="2" t="s">
        <v>39</v>
      </c>
      <c r="H4479" s="2" t="s">
        <v>109</v>
      </c>
      <c r="I4479" s="2" t="s">
        <v>3281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3422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3225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3422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3225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3422</v>
      </c>
      <c r="D4482" s="29" t="s">
        <v>3107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2868</v>
      </c>
      <c r="R4482" s="29" t="s">
        <v>2869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3225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3422</v>
      </c>
      <c r="D4483" s="29" t="s">
        <v>3107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3225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3473</v>
      </c>
      <c r="D4484" s="2" t="s">
        <v>3474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3473</v>
      </c>
      <c r="D4485" s="2" t="s">
        <v>3474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1307</v>
      </c>
      <c r="R4485" s="33" t="s">
        <v>1308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1309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3473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3225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3473</v>
      </c>
      <c r="D4487" s="33" t="s">
        <v>3475</v>
      </c>
      <c r="E4487" s="2" t="s">
        <v>3374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3087</v>
      </c>
      <c r="R4487" s="33" t="s">
        <v>3088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1329</v>
      </c>
      <c r="AC4487" s="2" t="s">
        <v>1326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3473</v>
      </c>
      <c r="D4488" s="33" t="s">
        <v>3475</v>
      </c>
      <c r="E4488" s="2" t="s">
        <v>3374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1324</v>
      </c>
      <c r="R4488" s="33" t="s">
        <v>1325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3225</v>
      </c>
      <c r="AA4488" s="2" t="s">
        <v>578</v>
      </c>
      <c r="AB4488" s="2" t="s">
        <v>119</v>
      </c>
      <c r="AC4488" s="2" t="s">
        <v>1326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3473</v>
      </c>
      <c r="D4489" s="33" t="s">
        <v>2766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2767</v>
      </c>
      <c r="L4489" s="2" t="s">
        <v>133</v>
      </c>
      <c r="M4489" s="2" t="s">
        <v>80</v>
      </c>
      <c r="P4489" s="2" t="s">
        <v>1038</v>
      </c>
      <c r="Q4489" s="33" t="s">
        <v>1927</v>
      </c>
      <c r="R4489" s="33" t="s">
        <v>1928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3225</v>
      </c>
      <c r="AA4489" s="2" t="s">
        <v>1041</v>
      </c>
      <c r="AB4489" s="2" t="s">
        <v>1317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3473</v>
      </c>
      <c r="D4490" s="33" t="s">
        <v>2766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2767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3473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3490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3473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3490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3473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3490</v>
      </c>
      <c r="Z4493" s="2" t="s">
        <v>117</v>
      </c>
      <c r="AA4493" s="2" t="s">
        <v>1309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3473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3225</v>
      </c>
      <c r="AA4494" s="2" t="s">
        <v>46</v>
      </c>
      <c r="AB4494" s="2" t="s">
        <v>60</v>
      </c>
      <c r="AC4494" s="2" t="s">
        <v>3329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3473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3225</v>
      </c>
      <c r="AA4495" s="2" t="s">
        <v>46</v>
      </c>
      <c r="AB4495" s="2" t="s">
        <v>60</v>
      </c>
      <c r="AC4495" s="2" t="s">
        <v>3329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3473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3225</v>
      </c>
      <c r="AA4496" s="2" t="s">
        <v>46</v>
      </c>
      <c r="AB4496" s="2" t="s">
        <v>60</v>
      </c>
      <c r="AC4496" s="2" t="s">
        <v>3329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3473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3225</v>
      </c>
      <c r="AA4497" s="2" t="s">
        <v>46</v>
      </c>
      <c r="AB4497" s="2" t="s">
        <v>60</v>
      </c>
      <c r="AC4497" s="2" t="s">
        <v>3329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3473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1855</v>
      </c>
      <c r="R4498" s="33" t="s">
        <v>1856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3225</v>
      </c>
      <c r="AA4498" s="2" t="s">
        <v>1041</v>
      </c>
      <c r="AB4498" s="2" t="s">
        <v>1317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3473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3490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3473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3490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3473</v>
      </c>
      <c r="D4501" s="33" t="s">
        <v>3335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3476</v>
      </c>
      <c r="R4501" s="33" t="s">
        <v>3477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2539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3473</v>
      </c>
      <c r="D4502" s="33" t="s">
        <v>3335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1654</v>
      </c>
      <c r="R4502" s="33" t="s">
        <v>1655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2539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3473</v>
      </c>
      <c r="D4503" s="33" t="s">
        <v>3335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2539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3473</v>
      </c>
      <c r="D4504" s="33" t="s">
        <v>3335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2539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3473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3383</v>
      </c>
      <c r="Q4505" s="33" t="s">
        <v>2164</v>
      </c>
      <c r="R4505" s="33" t="s">
        <v>2165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3225</v>
      </c>
      <c r="AA4505" s="2" t="s">
        <v>2166</v>
      </c>
      <c r="AB4505" s="2" t="s">
        <v>2167</v>
      </c>
      <c r="AC4505" s="2" t="s">
        <v>3383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3473</v>
      </c>
      <c r="D4506" s="33" t="s">
        <v>3478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1307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3473</v>
      </c>
      <c r="D4507" s="33" t="s">
        <v>2285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1384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3490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3473</v>
      </c>
      <c r="D4508" s="33" t="s">
        <v>2285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1386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3490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3473</v>
      </c>
      <c r="D4509" s="33" t="s">
        <v>2285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3490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3473</v>
      </c>
      <c r="D4510" s="33" t="s">
        <v>2285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3490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3473</v>
      </c>
      <c r="D4511" s="33" t="s">
        <v>2285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3490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3473</v>
      </c>
      <c r="D4512" s="15" t="s">
        <v>1552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1553</v>
      </c>
      <c r="J4512" s="2" t="s">
        <v>1554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3225</v>
      </c>
      <c r="AA4512" s="2" t="s">
        <v>46</v>
      </c>
      <c r="AB4512" s="2" t="s">
        <v>60</v>
      </c>
      <c r="AC4512" s="2" t="s">
        <v>3329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3473</v>
      </c>
      <c r="D4513" s="15" t="s">
        <v>1552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1553</v>
      </c>
      <c r="J4513" s="2" t="s">
        <v>1554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3225</v>
      </c>
      <c r="AA4513" s="2" t="s">
        <v>46</v>
      </c>
      <c r="AB4513" s="2" t="s">
        <v>60</v>
      </c>
      <c r="AC4513" s="2" t="s">
        <v>3329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3473</v>
      </c>
      <c r="D4514" s="2" t="s">
        <v>3480</v>
      </c>
      <c r="E4514" s="2" t="s">
        <v>108</v>
      </c>
      <c r="F4514" s="2" t="s">
        <v>3442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3298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3473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3225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3473</v>
      </c>
      <c r="D4516" s="2" t="s">
        <v>1719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3298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3473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3225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3473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3481</v>
      </c>
      <c r="R4518" s="2" t="s">
        <v>3482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3225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3473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1193</v>
      </c>
      <c r="Q4519" s="2" t="s">
        <v>2589</v>
      </c>
      <c r="R4519" s="2" t="s">
        <v>2590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3490</v>
      </c>
      <c r="Z4519" s="2" t="s">
        <v>104</v>
      </c>
      <c r="AA4519" s="2" t="s">
        <v>578</v>
      </c>
      <c r="AB4519" s="2" t="s">
        <v>119</v>
      </c>
      <c r="AC4519" s="2" t="s">
        <v>1193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3473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3490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3473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3490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3473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3490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3473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3490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3473</v>
      </c>
      <c r="D4524" s="2" t="s">
        <v>1270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1271</v>
      </c>
      <c r="J4524" s="2" t="s">
        <v>1272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2539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3473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1299</v>
      </c>
      <c r="R4525" s="2" t="s">
        <v>1300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3298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3473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2539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3473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2539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3473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2539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3473</v>
      </c>
      <c r="D4529" s="2" t="s">
        <v>311</v>
      </c>
      <c r="E4529" s="2" t="s">
        <v>2445</v>
      </c>
      <c r="F4529" s="2" t="s">
        <v>39</v>
      </c>
      <c r="G4529" s="2">
        <v>505814030</v>
      </c>
      <c r="H4529" s="2" t="s">
        <v>290</v>
      </c>
      <c r="I4529" s="2" t="s">
        <v>2446</v>
      </c>
      <c r="J4529" s="2" t="s">
        <v>2447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3225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3473</v>
      </c>
      <c r="D4530" s="2" t="s">
        <v>311</v>
      </c>
      <c r="E4530" s="2" t="s">
        <v>2445</v>
      </c>
      <c r="F4530" s="2" t="s">
        <v>39</v>
      </c>
      <c r="G4530" s="2">
        <v>505814030</v>
      </c>
      <c r="H4530" s="2" t="s">
        <v>290</v>
      </c>
      <c r="I4530" s="2" t="s">
        <v>2446</v>
      </c>
      <c r="J4530" s="2" t="s">
        <v>2447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3225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3473</v>
      </c>
      <c r="D4531" s="2" t="s">
        <v>311</v>
      </c>
      <c r="E4531" s="2" t="s">
        <v>2445</v>
      </c>
      <c r="F4531" s="2" t="s">
        <v>39</v>
      </c>
      <c r="G4531" s="2">
        <v>505814030</v>
      </c>
      <c r="H4531" s="2" t="s">
        <v>290</v>
      </c>
      <c r="I4531" s="2" t="s">
        <v>2446</v>
      </c>
      <c r="J4531" s="2" t="s">
        <v>2447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3225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3473</v>
      </c>
      <c r="D4532" s="2" t="s">
        <v>311</v>
      </c>
      <c r="E4532" s="2" t="s">
        <v>2445</v>
      </c>
      <c r="F4532" s="2" t="s">
        <v>39</v>
      </c>
      <c r="G4532" s="2">
        <v>505814030</v>
      </c>
      <c r="H4532" s="2" t="s">
        <v>290</v>
      </c>
      <c r="I4532" s="2" t="s">
        <v>2446</v>
      </c>
      <c r="J4532" s="2" t="s">
        <v>2447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3225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3473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3225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3473</v>
      </c>
      <c r="D4534" s="2" t="s">
        <v>3491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2196</v>
      </c>
      <c r="R4534" s="2" t="s">
        <v>2197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3225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3473</v>
      </c>
      <c r="D4535" s="2" t="s">
        <v>3491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3225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3473</v>
      </c>
      <c r="D4536" s="2" t="s">
        <v>1294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1295</v>
      </c>
      <c r="L4536" s="2" t="s">
        <v>339</v>
      </c>
      <c r="M4536" s="2" t="s">
        <v>80</v>
      </c>
      <c r="P4536" s="2" t="s">
        <v>1038</v>
      </c>
      <c r="Q4536" s="2" t="s">
        <v>3492</v>
      </c>
      <c r="R4536" s="2" t="s">
        <v>3493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3225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3473</v>
      </c>
      <c r="D4537" s="2" t="s">
        <v>1294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1295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3473</v>
      </c>
      <c r="D4538" s="2" t="s">
        <v>1294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1295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3225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3473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3225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3473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3225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3473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1448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3225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3473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3225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3473</v>
      </c>
      <c r="D4543" s="2" t="s">
        <v>1764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1382</v>
      </c>
      <c r="R4543" s="2" t="s">
        <v>1383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2539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3473</v>
      </c>
      <c r="D4544" s="2" t="s">
        <v>1764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2479</v>
      </c>
      <c r="R4544" s="2" t="s">
        <v>1386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2539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3473</v>
      </c>
      <c r="D4545" s="2" t="s">
        <v>1764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1404</v>
      </c>
      <c r="R4545" s="2" t="s">
        <v>1405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2539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3473</v>
      </c>
      <c r="D4546" s="2" t="s">
        <v>1764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2539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3473</v>
      </c>
      <c r="D4547" s="2" t="s">
        <v>1764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2539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3473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3298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3473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3298</v>
      </c>
      <c r="Z4549" s="2" t="s">
        <v>119</v>
      </c>
      <c r="AA4549" s="2" t="s">
        <v>3377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3473</v>
      </c>
      <c r="D4550" s="2" t="s">
        <v>2007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3473</v>
      </c>
      <c r="D4551" s="2" t="s">
        <v>2007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2983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3473</v>
      </c>
      <c r="D4552" s="2" t="s">
        <v>2007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3473</v>
      </c>
      <c r="D4553" s="2" t="s">
        <v>2007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3473</v>
      </c>
      <c r="D4554" s="2" t="s">
        <v>2007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3377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3473</v>
      </c>
      <c r="D4555" s="2" t="s">
        <v>1572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1283</v>
      </c>
      <c r="R4555" s="2" t="s">
        <v>1284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3378</v>
      </c>
      <c r="AC4555" s="2" t="s">
        <v>1326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3473</v>
      </c>
      <c r="D4556" s="2" t="s">
        <v>3494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3298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3473</v>
      </c>
      <c r="D4557" s="2" t="s">
        <v>3494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3298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3473</v>
      </c>
      <c r="D4558" s="2" t="s">
        <v>3494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3298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3473</v>
      </c>
      <c r="D4559" s="2" t="s">
        <v>3494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3298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3473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3495</v>
      </c>
      <c r="R4560" s="2" t="s">
        <v>3496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3225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3473</v>
      </c>
      <c r="D4561" s="2" t="s">
        <v>1719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3490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3473</v>
      </c>
      <c r="D4562" s="2" t="s">
        <v>1719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3490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3473</v>
      </c>
      <c r="D4563" s="2" t="s">
        <v>1274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1275</v>
      </c>
      <c r="J4563" s="2" t="s">
        <v>1276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3490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3473</v>
      </c>
      <c r="D4564" s="2" t="s">
        <v>1274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1275</v>
      </c>
      <c r="J4564" s="2" t="s">
        <v>1276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3490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3473</v>
      </c>
      <c r="D4565" s="2" t="s">
        <v>1274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1275</v>
      </c>
      <c r="J4565" s="2" t="s">
        <v>1276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3490</v>
      </c>
      <c r="Z4565" s="2" t="s">
        <v>119</v>
      </c>
      <c r="AA4565" s="2" t="s">
        <v>3377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3473</v>
      </c>
      <c r="D4566" s="2" t="s">
        <v>1289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2539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3473</v>
      </c>
      <c r="D4567" s="2" t="s">
        <v>1289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2539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3473</v>
      </c>
      <c r="D4568" s="2" t="s">
        <v>1656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2539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3473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1919</v>
      </c>
      <c r="R4569" s="2" t="s">
        <v>1920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3473</v>
      </c>
      <c r="D4570" s="2" t="s">
        <v>3497</v>
      </c>
      <c r="E4570" s="2" t="s">
        <v>183</v>
      </c>
      <c r="F4570" s="2" t="s">
        <v>3498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3377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3507</v>
      </c>
      <c r="D4571" s="2" t="s">
        <v>2441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3507</v>
      </c>
      <c r="D4572" s="2" t="s">
        <v>2007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3508</v>
      </c>
      <c r="R4572" s="2" t="s">
        <v>3509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3507</v>
      </c>
      <c r="D4573" s="2" t="s">
        <v>2007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3507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3225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3507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3225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3507</v>
      </c>
      <c r="D4576" s="2" t="s">
        <v>1552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1553</v>
      </c>
      <c r="J4576" s="2" t="s">
        <v>1554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3225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3507</v>
      </c>
      <c r="D4577" s="2" t="s">
        <v>1552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1553</v>
      </c>
      <c r="J4577" s="2" t="s">
        <v>1554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3225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3507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3508</v>
      </c>
      <c r="R4578" s="2" t="s">
        <v>3509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3507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3507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3225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3507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3225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3507</v>
      </c>
      <c r="D4582" s="2" t="s">
        <v>3335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3507</v>
      </c>
      <c r="D4583" s="2" t="s">
        <v>2535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3225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3507</v>
      </c>
      <c r="D4584" s="2" t="s">
        <v>2535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3225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3507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3507</v>
      </c>
      <c r="D4586" s="2" t="s">
        <v>1621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1622</v>
      </c>
      <c r="J4586" s="2" t="s">
        <v>1623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3225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3507</v>
      </c>
      <c r="D4587" s="2" t="s">
        <v>1621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1622</v>
      </c>
      <c r="J4587" s="2" t="s">
        <v>1623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3225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3507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2485</v>
      </c>
      <c r="R4588" s="2" t="s">
        <v>2486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3507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2488</v>
      </c>
      <c r="R4589" s="2" t="s">
        <v>2489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3507</v>
      </c>
      <c r="D4590" s="2" t="s">
        <v>3510</v>
      </c>
      <c r="E4590" s="2" t="s">
        <v>3416</v>
      </c>
      <c r="F4590" s="2" t="s">
        <v>3417</v>
      </c>
      <c r="L4590" s="2" t="s">
        <v>2437</v>
      </c>
      <c r="M4590" s="2" t="s">
        <v>40</v>
      </c>
      <c r="P4590" s="2" t="s">
        <v>114</v>
      </c>
      <c r="Q4590" s="2" t="s">
        <v>3355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3507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1622</v>
      </c>
      <c r="J4591" s="2" t="s">
        <v>3168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54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3507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1622</v>
      </c>
      <c r="J4592" s="2" t="s">
        <v>3168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3507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2583</v>
      </c>
      <c r="R4593" s="2" t="s">
        <v>2584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3225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3507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3507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3225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3507</v>
      </c>
      <c r="D4596" s="2" t="s">
        <v>1354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1355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3225</v>
      </c>
      <c r="AA4596" s="2" t="s">
        <v>71</v>
      </c>
      <c r="AB4596" s="2" t="s">
        <v>68</v>
      </c>
      <c r="AC4596" s="2" t="s">
        <v>3512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3507</v>
      </c>
      <c r="D4597" s="2" t="s">
        <v>3491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3225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3507</v>
      </c>
      <c r="D4598" s="2" t="s">
        <v>3491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3225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3507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2581</v>
      </c>
      <c r="R4599" s="2" t="s">
        <v>2582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3225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3507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3225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3507</v>
      </c>
      <c r="D4601" s="2" t="s">
        <v>2903</v>
      </c>
      <c r="E4601" s="2" t="s">
        <v>38</v>
      </c>
      <c r="F4601" s="2" t="s">
        <v>3442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3298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3507</v>
      </c>
      <c r="D4602" s="2" t="s">
        <v>1417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2410</v>
      </c>
      <c r="J4602" s="2" t="s">
        <v>2411</v>
      </c>
      <c r="L4602" s="2" t="s">
        <v>201</v>
      </c>
      <c r="M4602" s="2" t="s">
        <v>80</v>
      </c>
      <c r="P4602" s="2" t="s">
        <v>1038</v>
      </c>
      <c r="Q4602" s="2" t="s">
        <v>1568</v>
      </c>
      <c r="R4602" s="2" t="s">
        <v>1569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3225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3507</v>
      </c>
      <c r="D4603" s="2" t="s">
        <v>1417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2410</v>
      </c>
      <c r="J4603" s="2" t="s">
        <v>2411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3507</v>
      </c>
      <c r="D4604" s="2" t="s">
        <v>1417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2410</v>
      </c>
      <c r="J4604" s="2" t="s">
        <v>2411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3225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3507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3225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3507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3225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3507</v>
      </c>
      <c r="D4607" s="2" t="s">
        <v>1294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1295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3225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3507</v>
      </c>
      <c r="D4608" s="2" t="s">
        <v>1294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1295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3507</v>
      </c>
      <c r="D4609" s="2" t="s">
        <v>1294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1295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3225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3507</v>
      </c>
      <c r="D4610" s="35" t="s">
        <v>3513</v>
      </c>
      <c r="E4610" s="2" t="s">
        <v>38</v>
      </c>
      <c r="F4610" s="2" t="s">
        <v>39</v>
      </c>
      <c r="H4610" s="2" t="s">
        <v>40</v>
      </c>
      <c r="L4610" s="2" t="s">
        <v>3267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3225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3507</v>
      </c>
      <c r="D4611" s="35" t="s">
        <v>3513</v>
      </c>
      <c r="E4611" s="2" t="s">
        <v>38</v>
      </c>
      <c r="F4611" s="2" t="s">
        <v>39</v>
      </c>
      <c r="H4611" s="2" t="s">
        <v>40</v>
      </c>
      <c r="L4611" s="2" t="s">
        <v>3267</v>
      </c>
      <c r="M4611" s="2" t="s">
        <v>80</v>
      </c>
      <c r="P4611" s="2" t="s">
        <v>1038</v>
      </c>
      <c r="Q4611" s="2" t="s">
        <v>2989</v>
      </c>
      <c r="R4611" s="2" t="s">
        <v>2990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3225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3507</v>
      </c>
      <c r="D4612" s="35" t="s">
        <v>3513</v>
      </c>
      <c r="E4612" s="2" t="s">
        <v>38</v>
      </c>
      <c r="F4612" s="2" t="s">
        <v>39</v>
      </c>
      <c r="H4612" s="2" t="s">
        <v>40</v>
      </c>
      <c r="L4612" s="2" t="s">
        <v>3267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3507</v>
      </c>
      <c r="D4613" s="35" t="s">
        <v>3513</v>
      </c>
      <c r="E4613" s="2" t="s">
        <v>38</v>
      </c>
      <c r="F4613" s="2" t="s">
        <v>39</v>
      </c>
      <c r="H4613" s="2" t="s">
        <v>40</v>
      </c>
      <c r="L4613" s="2" t="s">
        <v>3267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3225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3507</v>
      </c>
      <c r="D4614" s="2" t="s">
        <v>2558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3225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3507</v>
      </c>
      <c r="D4615" s="2" t="s">
        <v>2558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3225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3507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2485</v>
      </c>
      <c r="R4616" s="2" t="s">
        <v>2486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3507</v>
      </c>
      <c r="D4617" s="2" t="s">
        <v>1437</v>
      </c>
      <c r="E4617" s="2" t="s">
        <v>3416</v>
      </c>
      <c r="F4617" s="2" t="s">
        <v>3417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2539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3507</v>
      </c>
      <c r="D4618" s="2" t="s">
        <v>1437</v>
      </c>
      <c r="E4618" s="2" t="s">
        <v>3416</v>
      </c>
      <c r="F4618" s="2" t="s">
        <v>3417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2539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3507</v>
      </c>
      <c r="D4619" s="2" t="s">
        <v>1437</v>
      </c>
      <c r="E4619" s="2" t="s">
        <v>3416</v>
      </c>
      <c r="F4619" s="2" t="s">
        <v>3417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2539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3507</v>
      </c>
      <c r="D4620" s="35" t="s">
        <v>3513</v>
      </c>
      <c r="E4620" s="2" t="s">
        <v>38</v>
      </c>
      <c r="F4620" s="2" t="s">
        <v>39</v>
      </c>
      <c r="H4620" s="2" t="s">
        <v>40</v>
      </c>
      <c r="L4620" s="2" t="s">
        <v>3267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3225</v>
      </c>
      <c r="AA4620" s="2" t="s">
        <v>46</v>
      </c>
      <c r="AB4620" s="2" t="s">
        <v>60</v>
      </c>
      <c r="AC4620" s="2" t="s">
        <v>3329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3507</v>
      </c>
      <c r="D4621" s="35" t="s">
        <v>3513</v>
      </c>
      <c r="E4621" s="2" t="s">
        <v>38</v>
      </c>
      <c r="F4621" s="2" t="s">
        <v>39</v>
      </c>
      <c r="H4621" s="2" t="s">
        <v>40</v>
      </c>
      <c r="L4621" s="2" t="s">
        <v>3267</v>
      </c>
      <c r="M4621" s="2" t="s">
        <v>80</v>
      </c>
      <c r="P4621" s="2" t="s">
        <v>43</v>
      </c>
      <c r="Q4621" s="2" t="s">
        <v>3519</v>
      </c>
      <c r="R4621" s="2" t="s">
        <v>3520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3225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3507</v>
      </c>
      <c r="D4622" s="35" t="s">
        <v>3513</v>
      </c>
      <c r="E4622" s="2" t="s">
        <v>38</v>
      </c>
      <c r="F4622" s="2" t="s">
        <v>39</v>
      </c>
      <c r="H4622" s="2" t="s">
        <v>40</v>
      </c>
      <c r="L4622" s="2" t="s">
        <v>3267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3225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3507</v>
      </c>
      <c r="D4623" s="35" t="s">
        <v>3513</v>
      </c>
      <c r="E4623" s="2" t="s">
        <v>38</v>
      </c>
      <c r="F4623" s="2" t="s">
        <v>39</v>
      </c>
      <c r="H4623" s="2" t="s">
        <v>40</v>
      </c>
      <c r="L4623" s="2" t="s">
        <v>3267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3225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3507</v>
      </c>
      <c r="D4624" s="35" t="s">
        <v>3513</v>
      </c>
      <c r="E4624" s="2" t="s">
        <v>38</v>
      </c>
      <c r="F4624" s="2" t="s">
        <v>39</v>
      </c>
      <c r="H4624" s="2" t="s">
        <v>40</v>
      </c>
      <c r="L4624" s="2" t="s">
        <v>3267</v>
      </c>
      <c r="M4624" s="2" t="s">
        <v>80</v>
      </c>
      <c r="P4624" s="2" t="s">
        <v>166</v>
      </c>
      <c r="Q4624" s="2" t="s">
        <v>3521</v>
      </c>
      <c r="R4624" s="2" t="s">
        <v>3522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3225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3507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2539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3507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2539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3507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3225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3507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3225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3507</v>
      </c>
      <c r="D4629" s="2" t="s">
        <v>1784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3523</v>
      </c>
      <c r="R4629" s="2" t="s">
        <v>3524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3507</v>
      </c>
      <c r="D4630" s="2" t="s">
        <v>1574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2518</v>
      </c>
      <c r="J4630" s="2" t="s">
        <v>2519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3490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3507</v>
      </c>
      <c r="D4631" s="2" t="s">
        <v>1574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2518</v>
      </c>
      <c r="J4631" s="2" t="s">
        <v>2519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3490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3507</v>
      </c>
      <c r="D4632" s="2" t="s">
        <v>1574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2518</v>
      </c>
      <c r="J4632" s="2" t="s">
        <v>2519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3490</v>
      </c>
      <c r="Z4632" s="2" t="s">
        <v>117</v>
      </c>
      <c r="AA4632" s="2" t="s">
        <v>118</v>
      </c>
      <c r="AB4632" s="2" t="s">
        <v>119</v>
      </c>
      <c r="AC4632" s="2" t="s">
        <v>3526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3507</v>
      </c>
      <c r="D4633" s="2" t="s">
        <v>3525</v>
      </c>
      <c r="E4633" s="2" t="s">
        <v>38</v>
      </c>
      <c r="F4633" s="2" t="s">
        <v>3527</v>
      </c>
      <c r="L4633" s="2" t="s">
        <v>344</v>
      </c>
      <c r="M4633" s="2" t="s">
        <v>40</v>
      </c>
      <c r="P4633" s="2" t="s">
        <v>3228</v>
      </c>
      <c r="Q4633" s="2" t="s">
        <v>1785</v>
      </c>
      <c r="R4633" s="2" t="s">
        <v>1786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3228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3507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18">
        <f t="shared" ref="AL4634:AL4638" si="857">SIGN(T4634)*((ABS(T4634)-W4634)/ABS(T4634))</f>
        <v>-0.50069178373776069</v>
      </c>
    </row>
    <row r="4635" spans="1:38" x14ac:dyDescent="0.2">
      <c r="A4635" s="2">
        <v>2026</v>
      </c>
      <c r="B4635" s="2">
        <v>8</v>
      </c>
      <c r="C4635" s="2" t="s">
        <v>3507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2983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18">
        <f t="shared" si="857"/>
        <v>-0.51673713883016203</v>
      </c>
    </row>
    <row r="4636" spans="1:38" x14ac:dyDescent="0.2">
      <c r="A4636" s="2">
        <v>2026</v>
      </c>
      <c r="B4636" s="2">
        <v>8</v>
      </c>
      <c r="C4636" s="2" t="s">
        <v>3507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18">
        <f t="shared" si="857"/>
        <v>-0.6</v>
      </c>
    </row>
    <row r="4637" spans="1:38" x14ac:dyDescent="0.2">
      <c r="A4637" s="2">
        <v>2026</v>
      </c>
      <c r="B4637" s="2">
        <v>8</v>
      </c>
      <c r="C4637" s="2" t="s">
        <v>3507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18">
        <f t="shared" si="857"/>
        <v>-0.5</v>
      </c>
    </row>
    <row r="4638" spans="1:38" x14ac:dyDescent="0.2">
      <c r="A4638" s="2">
        <v>2026</v>
      </c>
      <c r="B4638" s="2">
        <v>8</v>
      </c>
      <c r="C4638" s="2" t="s">
        <v>3507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3377</v>
      </c>
      <c r="AK4638" s="2">
        <f t="shared" si="853"/>
        <v>-148.75</v>
      </c>
      <c r="AL4638" s="18">
        <f t="shared" si="857"/>
        <v>-0.3</v>
      </c>
    </row>
    <row r="4639" spans="1:38" x14ac:dyDescent="0.2">
      <c r="A4639" s="2">
        <v>2026</v>
      </c>
      <c r="B4639" s="2">
        <v>1</v>
      </c>
      <c r="C4639" s="2" t="s">
        <v>3324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2"/>
        <v>0.39545454545454545</v>
      </c>
      <c r="Z4639" s="2" t="s">
        <v>3225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3324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2"/>
        <v>0</v>
      </c>
      <c r="Z4640" s="2" t="s">
        <v>3225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  <row r="4641" spans="1:38" x14ac:dyDescent="0.2">
      <c r="A4641" s="2">
        <v>2026</v>
      </c>
      <c r="B4641" s="2">
        <v>8</v>
      </c>
      <c r="C4641" s="2" t="s">
        <v>3507</v>
      </c>
      <c r="D4641" s="2" t="s">
        <v>311</v>
      </c>
      <c r="E4641" s="2" t="s">
        <v>2445</v>
      </c>
      <c r="F4641" s="2" t="s">
        <v>39</v>
      </c>
      <c r="G4641" s="2">
        <v>505814030</v>
      </c>
      <c r="H4641" s="2" t="s">
        <v>290</v>
      </c>
      <c r="I4641" s="2" t="s">
        <v>2446</v>
      </c>
      <c r="J4641" s="2" t="s">
        <v>2447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2"/>
        <v>0.41973217391304346</v>
      </c>
      <c r="Z4641" s="2" t="s">
        <v>3225</v>
      </c>
      <c r="AA4641" s="2" t="s">
        <v>75</v>
      </c>
      <c r="AB4641" s="2" t="s">
        <v>76</v>
      </c>
      <c r="AC4641" s="2" t="s">
        <v>77</v>
      </c>
      <c r="AK4641" s="2">
        <f t="shared" ref="AK4641:AK4652" si="858">T4641-W4641</f>
        <v>96.538399999999996</v>
      </c>
      <c r="AL4641" s="5">
        <f t="shared" ref="AL4641:AL4648" si="859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3507</v>
      </c>
      <c r="D4642" s="2" t="s">
        <v>311</v>
      </c>
      <c r="E4642" s="2" t="s">
        <v>2445</v>
      </c>
      <c r="F4642" s="2" t="s">
        <v>39</v>
      </c>
      <c r="G4642" s="2">
        <v>505814030</v>
      </c>
      <c r="H4642" s="2" t="s">
        <v>290</v>
      </c>
      <c r="I4642" s="2" t="s">
        <v>2446</v>
      </c>
      <c r="J4642" s="2" t="s">
        <v>2447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60">T4642*23%</f>
        <v>0.34040000000000004</v>
      </c>
      <c r="V4642" s="2">
        <f t="shared" ref="V4642:V4653" si="861">T4642+U4642</f>
        <v>1.8204</v>
      </c>
      <c r="W4642" s="2">
        <v>1.48</v>
      </c>
      <c r="X4642" s="18">
        <f t="shared" si="842"/>
        <v>0</v>
      </c>
      <c r="Z4642" s="2" t="s">
        <v>3225</v>
      </c>
      <c r="AA4642" s="2" t="s">
        <v>96</v>
      </c>
      <c r="AB4642" s="2" t="s">
        <v>76</v>
      </c>
      <c r="AC4642" s="2" t="s">
        <v>93</v>
      </c>
      <c r="AK4642" s="2">
        <f t="shared" si="858"/>
        <v>0</v>
      </c>
      <c r="AL4642" s="5">
        <f t="shared" si="859"/>
        <v>0</v>
      </c>
    </row>
    <row r="4643" spans="1:38" x14ac:dyDescent="0.2">
      <c r="A4643" s="2">
        <v>2026</v>
      </c>
      <c r="B4643" s="2">
        <v>8</v>
      </c>
      <c r="C4643" s="2" t="s">
        <v>3507</v>
      </c>
      <c r="D4643" s="2" t="s">
        <v>2110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3529</v>
      </c>
      <c r="R4643" s="2" t="s">
        <v>3530</v>
      </c>
      <c r="S4643" s="13">
        <v>4</v>
      </c>
      <c r="T4643" s="14">
        <v>29.48</v>
      </c>
      <c r="U4643" s="2">
        <f t="shared" si="860"/>
        <v>6.7804000000000002</v>
      </c>
      <c r="V4643" s="2">
        <f t="shared" si="861"/>
        <v>36.260400000000004</v>
      </c>
      <c r="W4643" s="2">
        <f>(2.79+0.04)*S4643</f>
        <v>11.32</v>
      </c>
      <c r="X4643" s="18">
        <f t="shared" si="842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8"/>
        <v>18.16</v>
      </c>
      <c r="AL4643" s="5">
        <f t="shared" si="859"/>
        <v>0.61601085481682494</v>
      </c>
    </row>
    <row r="4644" spans="1:38" x14ac:dyDescent="0.2">
      <c r="A4644" s="2">
        <v>2026</v>
      </c>
      <c r="B4644" s="2">
        <v>8</v>
      </c>
      <c r="C4644" s="2" t="s">
        <v>3507</v>
      </c>
      <c r="D4644" s="2" t="s">
        <v>2110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60"/>
        <v>1.84</v>
      </c>
      <c r="V4644" s="2">
        <f t="shared" si="861"/>
        <v>9.84</v>
      </c>
      <c r="W4644" s="2">
        <v>6</v>
      </c>
      <c r="X4644" s="18">
        <f t="shared" si="842"/>
        <v>0.25</v>
      </c>
      <c r="Z4644" s="2" t="s">
        <v>169</v>
      </c>
      <c r="AA4644" s="2" t="s">
        <v>169</v>
      </c>
      <c r="AK4644" s="2">
        <f t="shared" si="858"/>
        <v>2</v>
      </c>
      <c r="AL4644" s="5">
        <f t="shared" si="859"/>
        <v>0.25</v>
      </c>
    </row>
    <row r="4645" spans="1:38" x14ac:dyDescent="0.2">
      <c r="A4645" s="2">
        <v>2026</v>
      </c>
      <c r="B4645" s="2">
        <v>8</v>
      </c>
      <c r="C4645" s="2" t="s">
        <v>3507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1986</v>
      </c>
      <c r="L4645" s="2" t="s">
        <v>177</v>
      </c>
      <c r="M4645" s="2" t="s">
        <v>80</v>
      </c>
      <c r="P4645" s="2" t="s">
        <v>1038</v>
      </c>
      <c r="Q4645" s="2" t="s">
        <v>2989</v>
      </c>
      <c r="R4645" s="2" t="s">
        <v>2990</v>
      </c>
      <c r="S4645" s="13">
        <v>1</v>
      </c>
      <c r="T4645" s="14">
        <v>220</v>
      </c>
      <c r="U4645" s="2">
        <f t="shared" si="860"/>
        <v>50.6</v>
      </c>
      <c r="V4645" s="2">
        <f t="shared" si="861"/>
        <v>270.60000000000002</v>
      </c>
      <c r="W4645" s="2">
        <v>122</v>
      </c>
      <c r="X4645" s="18">
        <f t="shared" si="842"/>
        <v>0.44545454545454544</v>
      </c>
      <c r="Z4645" s="2" t="s">
        <v>3225</v>
      </c>
      <c r="AA4645" s="2" t="s">
        <v>75</v>
      </c>
      <c r="AB4645" s="2" t="s">
        <v>76</v>
      </c>
      <c r="AC4645" s="2" t="s">
        <v>1038</v>
      </c>
      <c r="AK4645" s="2">
        <f t="shared" si="858"/>
        <v>98</v>
      </c>
      <c r="AL4645" s="5">
        <f t="shared" si="859"/>
        <v>0.44545454545454544</v>
      </c>
    </row>
    <row r="4646" spans="1:38" x14ac:dyDescent="0.2">
      <c r="A4646" s="2">
        <v>2026</v>
      </c>
      <c r="B4646" s="2">
        <v>8</v>
      </c>
      <c r="C4646" s="2" t="s">
        <v>3507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1986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60"/>
        <v>8.0500000000000007</v>
      </c>
      <c r="V4646" s="2">
        <f t="shared" si="861"/>
        <v>43.05</v>
      </c>
      <c r="W4646" s="2">
        <v>28</v>
      </c>
      <c r="X4646" s="18">
        <f t="shared" si="842"/>
        <v>0.2</v>
      </c>
      <c r="Z4646" s="2" t="s">
        <v>169</v>
      </c>
      <c r="AA4646" s="2" t="s">
        <v>169</v>
      </c>
      <c r="AK4646" s="2">
        <f t="shared" si="858"/>
        <v>7</v>
      </c>
      <c r="AL4646" s="5">
        <f t="shared" si="859"/>
        <v>0.2</v>
      </c>
    </row>
    <row r="4647" spans="1:38" x14ac:dyDescent="0.2">
      <c r="A4647" s="2">
        <v>2026</v>
      </c>
      <c r="B4647" s="2">
        <v>8</v>
      </c>
      <c r="C4647" s="2" t="s">
        <v>3507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1986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60"/>
        <v>0.34040000000000004</v>
      </c>
      <c r="V4647" s="2">
        <f t="shared" si="861"/>
        <v>1.8204</v>
      </c>
      <c r="W4647" s="2">
        <v>1.48</v>
      </c>
      <c r="X4647" s="18">
        <f t="shared" si="842"/>
        <v>0</v>
      </c>
      <c r="Z4647" s="2" t="s">
        <v>3225</v>
      </c>
      <c r="AA4647" s="2" t="s">
        <v>96</v>
      </c>
      <c r="AB4647" s="2" t="s">
        <v>76</v>
      </c>
      <c r="AC4647" s="2" t="s">
        <v>93</v>
      </c>
      <c r="AK4647" s="2">
        <f t="shared" si="858"/>
        <v>0</v>
      </c>
      <c r="AL4647" s="5">
        <f t="shared" si="859"/>
        <v>0</v>
      </c>
    </row>
    <row r="4648" spans="1:38" x14ac:dyDescent="0.2">
      <c r="A4648" s="2">
        <v>2026</v>
      </c>
      <c r="B4648" s="2">
        <v>8</v>
      </c>
      <c r="C4648" s="2" t="s">
        <v>3507</v>
      </c>
      <c r="D4648" s="2" t="s">
        <v>3107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1546</v>
      </c>
      <c r="R4648" s="2" t="s">
        <v>1547</v>
      </c>
      <c r="S4648" s="13">
        <v>1</v>
      </c>
      <c r="T4648" s="14">
        <v>595</v>
      </c>
      <c r="U4648" s="2">
        <f t="shared" si="860"/>
        <v>136.85</v>
      </c>
      <c r="V4648" s="2">
        <f t="shared" si="861"/>
        <v>731.85</v>
      </c>
      <c r="W4648" s="2">
        <v>297</v>
      </c>
      <c r="X4648" s="18">
        <f t="shared" si="842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8"/>
        <v>298</v>
      </c>
      <c r="AL4648" s="5">
        <f t="shared" si="859"/>
        <v>0.50084033613445378</v>
      </c>
    </row>
    <row r="4649" spans="1:38" x14ac:dyDescent="0.2">
      <c r="A4649" s="2">
        <v>2026</v>
      </c>
      <c r="B4649" s="2">
        <v>8</v>
      </c>
      <c r="C4649" s="2" t="s">
        <v>3507</v>
      </c>
      <c r="D4649" s="2" t="s">
        <v>3107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60"/>
        <v>0</v>
      </c>
      <c r="V4649" s="2">
        <f t="shared" si="861"/>
        <v>0</v>
      </c>
      <c r="W4649" s="2">
        <f>14.5099*2</f>
        <v>29.0198</v>
      </c>
      <c r="X4649" s="18">
        <v>-1</v>
      </c>
      <c r="Z4649" s="2" t="s">
        <v>3225</v>
      </c>
      <c r="AA4649" s="2" t="s">
        <v>46</v>
      </c>
      <c r="AB4649" s="2" t="s">
        <v>60</v>
      </c>
      <c r="AC4649" s="2" t="s">
        <v>3329</v>
      </c>
      <c r="AK4649" s="2">
        <f t="shared" si="858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3507</v>
      </c>
      <c r="D4650" s="2" t="s">
        <v>3107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60"/>
        <v>0</v>
      </c>
      <c r="V4650" s="2">
        <f t="shared" si="861"/>
        <v>0</v>
      </c>
      <c r="W4650" s="2">
        <f>14.5099*2</f>
        <v>29.0198</v>
      </c>
      <c r="X4650" s="18">
        <v>-1</v>
      </c>
      <c r="Z4650" s="2" t="s">
        <v>3225</v>
      </c>
      <c r="AA4650" s="2" t="s">
        <v>46</v>
      </c>
      <c r="AB4650" s="2" t="s">
        <v>60</v>
      </c>
      <c r="AC4650" s="2" t="s">
        <v>3329</v>
      </c>
      <c r="AK4650" s="2">
        <f t="shared" si="858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3507</v>
      </c>
      <c r="D4651" s="2" t="s">
        <v>2071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1529</v>
      </c>
      <c r="R4651" s="2" t="s">
        <v>1530</v>
      </c>
      <c r="S4651" s="13">
        <v>-1</v>
      </c>
      <c r="T4651" s="14">
        <v>-54</v>
      </c>
      <c r="U4651" s="2">
        <f t="shared" si="860"/>
        <v>-12.42</v>
      </c>
      <c r="V4651" s="2">
        <f t="shared" si="861"/>
        <v>-66.42</v>
      </c>
      <c r="W4651" s="2">
        <v>6.3</v>
      </c>
      <c r="X4651" s="18">
        <f t="shared" si="842"/>
        <v>-0.88333333333333341</v>
      </c>
      <c r="Z4651" s="2" t="s">
        <v>3225</v>
      </c>
      <c r="AA4651" s="2" t="s">
        <v>155</v>
      </c>
      <c r="AB4651" s="2" t="s">
        <v>3400</v>
      </c>
      <c r="AC4651" s="2" t="s">
        <v>1326</v>
      </c>
      <c r="AK4651" s="2">
        <f t="shared" si="858"/>
        <v>-60.3</v>
      </c>
      <c r="AL4651" s="18">
        <f t="shared" ref="AL4651:AL4652" si="862">SIGN(T4651)*((ABS(T4651)-W4651)/ABS(T4651))</f>
        <v>-0.88333333333333341</v>
      </c>
    </row>
    <row r="4652" spans="1:38" x14ac:dyDescent="0.2">
      <c r="A4652" s="2">
        <v>2026</v>
      </c>
      <c r="B4652" s="2">
        <v>8</v>
      </c>
      <c r="C4652" s="2" t="s">
        <v>3507</v>
      </c>
      <c r="D4652" s="2" t="s">
        <v>2071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2182</v>
      </c>
      <c r="R4652" s="2" t="s">
        <v>2183</v>
      </c>
      <c r="S4652" s="13">
        <v>-1</v>
      </c>
      <c r="T4652" s="14">
        <v>-32</v>
      </c>
      <c r="U4652" s="2">
        <f t="shared" si="860"/>
        <v>-7.36</v>
      </c>
      <c r="V4652" s="2">
        <f t="shared" si="861"/>
        <v>-39.36</v>
      </c>
      <c r="W4652" s="2">
        <v>6.3</v>
      </c>
      <c r="X4652" s="18">
        <f t="shared" si="842"/>
        <v>-0.80312499999999998</v>
      </c>
      <c r="Z4652" s="2" t="s">
        <v>3225</v>
      </c>
      <c r="AA4652" s="2" t="s">
        <v>155</v>
      </c>
      <c r="AB4652" s="2" t="s">
        <v>3400</v>
      </c>
      <c r="AC4652" s="2" t="s">
        <v>1326</v>
      </c>
      <c r="AK4652" s="2">
        <f t="shared" si="858"/>
        <v>-38.299999999999997</v>
      </c>
      <c r="AL4652" s="18">
        <f t="shared" si="862"/>
        <v>-0.80312499999999998</v>
      </c>
    </row>
    <row r="4653" spans="1:38" x14ac:dyDescent="0.2">
      <c r="A4653" s="2">
        <v>2026</v>
      </c>
      <c r="B4653" s="2">
        <v>8</v>
      </c>
      <c r="C4653" s="2" t="s">
        <v>3531</v>
      </c>
      <c r="D4653" s="38" t="s">
        <v>3532</v>
      </c>
      <c r="E4653" s="2" t="s">
        <v>38</v>
      </c>
      <c r="F4653" s="2" t="s">
        <v>39</v>
      </c>
      <c r="L4653" s="2" t="s">
        <v>339</v>
      </c>
      <c r="M4653" s="2" t="s">
        <v>40</v>
      </c>
      <c r="P4653" s="2" t="s">
        <v>114</v>
      </c>
      <c r="Q4653" s="38" t="s">
        <v>2272</v>
      </c>
      <c r="R4653" s="38" t="s">
        <v>2273</v>
      </c>
      <c r="S4653" s="37">
        <v>3</v>
      </c>
      <c r="T4653" s="36">
        <v>29.38</v>
      </c>
      <c r="U4653" s="2">
        <f>T4653*23%</f>
        <v>6.7573999999999996</v>
      </c>
      <c r="V4653" s="2">
        <f t="shared" si="861"/>
        <v>36.1374</v>
      </c>
      <c r="W4653" s="2">
        <f>4.6858*S4653</f>
        <v>14.057400000000001</v>
      </c>
      <c r="X4653" s="18">
        <f t="shared" si="842"/>
        <v>0.52153165418652137</v>
      </c>
      <c r="Z4653" s="2" t="s">
        <v>117</v>
      </c>
      <c r="AA4653" s="2" t="s">
        <v>118</v>
      </c>
      <c r="AB4653" s="2" t="s">
        <v>119</v>
      </c>
      <c r="AC4653" s="2" t="s">
        <v>114</v>
      </c>
      <c r="AK4653" s="2">
        <f t="shared" ref="AK4653:AK4665" si="863">T4653-W4653</f>
        <v>15.322599999999998</v>
      </c>
      <c r="AL4653" s="5">
        <f t="shared" ref="AL4653:AL4665" si="864">(T4653-W4653)/T4653</f>
        <v>0.52153165418652137</v>
      </c>
    </row>
    <row r="4654" spans="1:38" x14ac:dyDescent="0.2">
      <c r="A4654" s="2">
        <v>2026</v>
      </c>
      <c r="B4654" s="2">
        <v>8</v>
      </c>
      <c r="C4654" s="2" t="s">
        <v>3531</v>
      </c>
      <c r="D4654" s="38" t="s">
        <v>3532</v>
      </c>
      <c r="E4654" s="2" t="s">
        <v>38</v>
      </c>
      <c r="F4654" s="2" t="s">
        <v>39</v>
      </c>
      <c r="L4654" s="2" t="s">
        <v>339</v>
      </c>
      <c r="M4654" s="2" t="s">
        <v>40</v>
      </c>
      <c r="P4654" s="2" t="s">
        <v>114</v>
      </c>
      <c r="Q4654" s="38" t="s">
        <v>1013</v>
      </c>
      <c r="R4654" s="38" t="s">
        <v>1014</v>
      </c>
      <c r="S4654" s="37">
        <v>2</v>
      </c>
      <c r="T4654" s="36">
        <v>195.43</v>
      </c>
      <c r="U4654" s="2">
        <f t="shared" ref="U4654:U4665" si="865">T4654*23%</f>
        <v>44.948900000000002</v>
      </c>
      <c r="V4654" s="2">
        <f t="shared" ref="V4654:V4666" si="866">T4654+U4654</f>
        <v>240.37890000000002</v>
      </c>
      <c r="W4654" s="2">
        <f>46.7951*S4654</f>
        <v>93.590199999999996</v>
      </c>
      <c r="X4654" s="18">
        <f t="shared" si="842"/>
        <v>0.52110627846287683</v>
      </c>
      <c r="Z4654" s="2" t="s">
        <v>117</v>
      </c>
      <c r="AA4654" s="2" t="s">
        <v>118</v>
      </c>
      <c r="AB4654" s="2" t="s">
        <v>119</v>
      </c>
      <c r="AC4654" s="2" t="s">
        <v>114</v>
      </c>
      <c r="AK4654" s="2">
        <f t="shared" si="863"/>
        <v>101.83980000000001</v>
      </c>
      <c r="AL4654" s="5">
        <f t="shared" si="864"/>
        <v>0.52110627846287683</v>
      </c>
    </row>
    <row r="4655" spans="1:38" x14ac:dyDescent="0.2">
      <c r="A4655" s="2">
        <v>2026</v>
      </c>
      <c r="B4655" s="2">
        <v>8</v>
      </c>
      <c r="C4655" s="2" t="s">
        <v>3531</v>
      </c>
      <c r="D4655" s="38" t="s">
        <v>3532</v>
      </c>
      <c r="E4655" s="2" t="s">
        <v>38</v>
      </c>
      <c r="F4655" s="2" t="s">
        <v>39</v>
      </c>
      <c r="L4655" s="2" t="s">
        <v>339</v>
      </c>
      <c r="M4655" s="2" t="s">
        <v>40</v>
      </c>
      <c r="P4655" s="2" t="s">
        <v>114</v>
      </c>
      <c r="Q4655" s="38" t="s">
        <v>1688</v>
      </c>
      <c r="R4655" s="38" t="s">
        <v>1689</v>
      </c>
      <c r="S4655" s="37">
        <v>1</v>
      </c>
      <c r="T4655" s="36">
        <v>78.17</v>
      </c>
      <c r="U4655" s="2">
        <f t="shared" si="865"/>
        <v>17.979100000000003</v>
      </c>
      <c r="V4655" s="2">
        <f t="shared" si="866"/>
        <v>96.149100000000004</v>
      </c>
      <c r="W4655" s="2">
        <v>37.886600000000001</v>
      </c>
      <c r="X4655" s="18">
        <f t="shared" ref="X4655:X4718" si="867">SIGN(T4655)*((ABS(T4655)-W4655)/ABS(T4655))</f>
        <v>0.51533068952283489</v>
      </c>
      <c r="Z4655" s="2" t="s">
        <v>117</v>
      </c>
      <c r="AA4655" s="2" t="s">
        <v>118</v>
      </c>
      <c r="AB4655" s="2" t="s">
        <v>119</v>
      </c>
      <c r="AC4655" s="2" t="s">
        <v>114</v>
      </c>
      <c r="AK4655" s="2">
        <f t="shared" si="863"/>
        <v>40.2834</v>
      </c>
      <c r="AL4655" s="5">
        <f t="shared" si="864"/>
        <v>0.51533068952283489</v>
      </c>
    </row>
    <row r="4656" spans="1:38" x14ac:dyDescent="0.2">
      <c r="A4656" s="2">
        <v>2026</v>
      </c>
      <c r="B4656" s="2">
        <v>8</v>
      </c>
      <c r="C4656" s="2" t="s">
        <v>3531</v>
      </c>
      <c r="D4656" s="38" t="s">
        <v>308</v>
      </c>
      <c r="E4656" s="2" t="s">
        <v>108</v>
      </c>
      <c r="F4656" s="2" t="s">
        <v>39</v>
      </c>
      <c r="G4656" s="2">
        <v>503724300</v>
      </c>
      <c r="H4656" s="2" t="s">
        <v>109</v>
      </c>
      <c r="I4656" s="2" t="s">
        <v>3113</v>
      </c>
      <c r="J4656" s="2" t="s">
        <v>3114</v>
      </c>
      <c r="L4656" s="2" t="s">
        <v>112</v>
      </c>
      <c r="M4656" s="2" t="s">
        <v>80</v>
      </c>
      <c r="P4656" s="2" t="s">
        <v>43</v>
      </c>
      <c r="Q4656" s="38" t="s">
        <v>54</v>
      </c>
      <c r="R4656" s="38" t="s">
        <v>55</v>
      </c>
      <c r="S4656" s="37">
        <v>4</v>
      </c>
      <c r="T4656" s="36">
        <v>72</v>
      </c>
      <c r="U4656" s="2">
        <f t="shared" si="865"/>
        <v>16.560000000000002</v>
      </c>
      <c r="V4656" s="2">
        <f t="shared" si="866"/>
        <v>88.56</v>
      </c>
      <c r="W4656" s="2">
        <f>10.6*S4656</f>
        <v>42.4</v>
      </c>
      <c r="X4656" s="18">
        <f t="shared" si="867"/>
        <v>0.41111111111111115</v>
      </c>
      <c r="Z4656" s="2" t="s">
        <v>3225</v>
      </c>
      <c r="AA4656" s="2" t="s">
        <v>46</v>
      </c>
      <c r="AB4656" s="2" t="s">
        <v>56</v>
      </c>
      <c r="AC4656" s="2" t="s">
        <v>57</v>
      </c>
      <c r="AK4656" s="2">
        <f t="shared" si="863"/>
        <v>29.6</v>
      </c>
      <c r="AL4656" s="5">
        <f t="shared" si="864"/>
        <v>0.41111111111111115</v>
      </c>
    </row>
    <row r="4657" spans="1:38" x14ac:dyDescent="0.2">
      <c r="A4657" s="2">
        <v>2026</v>
      </c>
      <c r="B4657" s="2">
        <v>8</v>
      </c>
      <c r="C4657" s="2" t="s">
        <v>3531</v>
      </c>
      <c r="D4657" s="38" t="s">
        <v>308</v>
      </c>
      <c r="E4657" s="2" t="s">
        <v>108</v>
      </c>
      <c r="F4657" s="2" t="s">
        <v>39</v>
      </c>
      <c r="G4657" s="2">
        <v>503724300</v>
      </c>
      <c r="H4657" s="2" t="s">
        <v>109</v>
      </c>
      <c r="I4657" s="2" t="s">
        <v>3113</v>
      </c>
      <c r="J4657" s="2" t="s">
        <v>3114</v>
      </c>
      <c r="L4657" s="2" t="s">
        <v>112</v>
      </c>
      <c r="M4657" s="2" t="s">
        <v>80</v>
      </c>
      <c r="P4657" s="2" t="s">
        <v>169</v>
      </c>
      <c r="Q4657" s="38" t="s">
        <v>170</v>
      </c>
      <c r="R4657" s="38" t="s">
        <v>170</v>
      </c>
      <c r="S4657" s="37">
        <v>1</v>
      </c>
      <c r="T4657" s="36">
        <v>8</v>
      </c>
      <c r="U4657" s="2">
        <f t="shared" si="865"/>
        <v>1.84</v>
      </c>
      <c r="V4657" s="2">
        <f t="shared" si="866"/>
        <v>9.84</v>
      </c>
      <c r="W4657" s="2">
        <v>6</v>
      </c>
      <c r="X4657" s="18">
        <f t="shared" si="867"/>
        <v>0.25</v>
      </c>
      <c r="Z4657" s="2" t="s">
        <v>169</v>
      </c>
      <c r="AA4657" s="2" t="s">
        <v>169</v>
      </c>
      <c r="AK4657" s="2">
        <f t="shared" si="863"/>
        <v>2</v>
      </c>
      <c r="AL4657" s="5">
        <f t="shared" si="864"/>
        <v>0.25</v>
      </c>
    </row>
    <row r="4658" spans="1:38" x14ac:dyDescent="0.2">
      <c r="A4658" s="2">
        <v>2026</v>
      </c>
      <c r="B4658" s="2">
        <v>8</v>
      </c>
      <c r="C4658" s="2" t="s">
        <v>3531</v>
      </c>
      <c r="D4658" s="38" t="s">
        <v>3533</v>
      </c>
      <c r="E4658" s="2" t="s">
        <v>98</v>
      </c>
      <c r="F4658" s="2" t="s">
        <v>39</v>
      </c>
      <c r="L4658" s="2" t="s">
        <v>339</v>
      </c>
      <c r="M4658" s="2" t="s">
        <v>80</v>
      </c>
      <c r="P4658" s="2" t="s">
        <v>72</v>
      </c>
      <c r="Q4658" s="38" t="s">
        <v>73</v>
      </c>
      <c r="R4658" s="38" t="s">
        <v>74</v>
      </c>
      <c r="S4658" s="37">
        <v>1</v>
      </c>
      <c r="T4658" s="36">
        <v>220</v>
      </c>
      <c r="U4658" s="2">
        <f t="shared" si="865"/>
        <v>50.6</v>
      </c>
      <c r="V4658" s="2">
        <f t="shared" si="866"/>
        <v>270.60000000000002</v>
      </c>
      <c r="W4658" s="2">
        <v>133.4616</v>
      </c>
      <c r="X4658" s="18">
        <f t="shared" si="867"/>
        <v>0.39335636363636362</v>
      </c>
      <c r="Z4658" s="2" t="s">
        <v>3225</v>
      </c>
      <c r="AA4658" s="2" t="s">
        <v>75</v>
      </c>
      <c r="AB4658" s="2" t="s">
        <v>76</v>
      </c>
      <c r="AC4658" s="2" t="s">
        <v>77</v>
      </c>
      <c r="AK4658" s="2">
        <f t="shared" si="863"/>
        <v>86.538399999999996</v>
      </c>
      <c r="AL4658" s="5">
        <f t="shared" si="864"/>
        <v>0.39335636363636362</v>
      </c>
    </row>
    <row r="4659" spans="1:38" x14ac:dyDescent="0.2">
      <c r="A4659" s="2">
        <v>2026</v>
      </c>
      <c r="B4659" s="2">
        <v>8</v>
      </c>
      <c r="C4659" s="2" t="s">
        <v>3531</v>
      </c>
      <c r="D4659" s="38" t="s">
        <v>3533</v>
      </c>
      <c r="E4659" s="2" t="s">
        <v>98</v>
      </c>
      <c r="F4659" s="2" t="s">
        <v>39</v>
      </c>
      <c r="L4659" s="2" t="s">
        <v>339</v>
      </c>
      <c r="M4659" s="2" t="s">
        <v>80</v>
      </c>
      <c r="P4659" s="2" t="s">
        <v>93</v>
      </c>
      <c r="Q4659" s="38" t="s">
        <v>94</v>
      </c>
      <c r="R4659" s="38" t="s">
        <v>95</v>
      </c>
      <c r="S4659" s="37">
        <v>1</v>
      </c>
      <c r="T4659" s="36">
        <v>1.48</v>
      </c>
      <c r="U4659" s="2">
        <f t="shared" si="865"/>
        <v>0.34040000000000004</v>
      </c>
      <c r="V4659" s="2">
        <f t="shared" si="866"/>
        <v>1.8204</v>
      </c>
      <c r="W4659" s="2">
        <v>1.48</v>
      </c>
      <c r="X4659" s="18">
        <f t="shared" si="867"/>
        <v>0</v>
      </c>
      <c r="Z4659" s="2" t="s">
        <v>3225</v>
      </c>
      <c r="AA4659" s="2" t="s">
        <v>96</v>
      </c>
      <c r="AB4659" s="2" t="s">
        <v>76</v>
      </c>
      <c r="AC4659" s="2" t="s">
        <v>93</v>
      </c>
      <c r="AK4659" s="2">
        <f t="shared" si="863"/>
        <v>0</v>
      </c>
      <c r="AL4659" s="5">
        <f t="shared" si="864"/>
        <v>0</v>
      </c>
    </row>
    <row r="4660" spans="1:38" x14ac:dyDescent="0.2">
      <c r="A4660" s="2">
        <v>2026</v>
      </c>
      <c r="B4660" s="2">
        <v>8</v>
      </c>
      <c r="C4660" s="2" t="s">
        <v>3531</v>
      </c>
      <c r="D4660" s="38" t="s">
        <v>1717</v>
      </c>
      <c r="E4660" s="2" t="s">
        <v>752</v>
      </c>
      <c r="F4660" s="2" t="s">
        <v>39</v>
      </c>
      <c r="L4660" s="2" t="s">
        <v>398</v>
      </c>
      <c r="M4660" s="2" t="s">
        <v>109</v>
      </c>
      <c r="P4660" s="2" t="s">
        <v>282</v>
      </c>
      <c r="Q4660" s="38" t="s">
        <v>1435</v>
      </c>
      <c r="R4660" s="38" t="s">
        <v>1436</v>
      </c>
      <c r="S4660" s="37">
        <v>6</v>
      </c>
      <c r="T4660" s="36">
        <v>41.4</v>
      </c>
      <c r="U4660" s="2">
        <f t="shared" si="865"/>
        <v>9.5220000000000002</v>
      </c>
      <c r="V4660" s="2">
        <f t="shared" si="866"/>
        <v>50.921999999999997</v>
      </c>
      <c r="W4660" s="2">
        <f>5.135*S4660</f>
        <v>30.81</v>
      </c>
      <c r="X4660" s="18">
        <f t="shared" si="867"/>
        <v>0.25579710144927537</v>
      </c>
      <c r="Z4660" s="2" t="s">
        <v>3225</v>
      </c>
      <c r="AA4660" s="2" t="s">
        <v>71</v>
      </c>
      <c r="AB4660" s="2" t="s">
        <v>119</v>
      </c>
      <c r="AC4660" s="2" t="s">
        <v>119</v>
      </c>
      <c r="AK4660" s="2">
        <f t="shared" si="863"/>
        <v>10.59</v>
      </c>
      <c r="AL4660" s="5">
        <f t="shared" si="864"/>
        <v>0.25579710144927537</v>
      </c>
    </row>
    <row r="4661" spans="1:38" x14ac:dyDescent="0.2">
      <c r="A4661" s="2">
        <v>2026</v>
      </c>
      <c r="B4661" s="2">
        <v>8</v>
      </c>
      <c r="C4661" s="2" t="s">
        <v>3531</v>
      </c>
      <c r="D4661" s="38" t="s">
        <v>3107</v>
      </c>
      <c r="E4661" s="2" t="s">
        <v>38</v>
      </c>
      <c r="F4661" s="2" t="s">
        <v>39</v>
      </c>
      <c r="L4661" s="2" t="s">
        <v>99</v>
      </c>
      <c r="M4661" s="2" t="s">
        <v>40</v>
      </c>
      <c r="P4661" s="2" t="s">
        <v>282</v>
      </c>
      <c r="Q4661" s="38" t="s">
        <v>3048</v>
      </c>
      <c r="R4661" s="38" t="s">
        <v>3049</v>
      </c>
      <c r="S4661" s="37">
        <v>2</v>
      </c>
      <c r="T4661" s="36">
        <v>17.8</v>
      </c>
      <c r="U4661" s="2">
        <f t="shared" si="865"/>
        <v>4.0940000000000003</v>
      </c>
      <c r="V4661" s="2">
        <f t="shared" si="866"/>
        <v>21.894000000000002</v>
      </c>
      <c r="W4661" s="2">
        <f>6.23*2</f>
        <v>12.46</v>
      </c>
      <c r="X4661" s="18">
        <f t="shared" si="867"/>
        <v>0.3</v>
      </c>
      <c r="Z4661" s="2" t="s">
        <v>3225</v>
      </c>
      <c r="AA4661" s="2" t="s">
        <v>155</v>
      </c>
      <c r="AB4661" s="2" t="s">
        <v>3400</v>
      </c>
      <c r="AC4661" s="2" t="s">
        <v>1326</v>
      </c>
      <c r="AK4661" s="2">
        <f t="shared" si="863"/>
        <v>5.34</v>
      </c>
      <c r="AL4661" s="5">
        <f t="shared" si="864"/>
        <v>0.3</v>
      </c>
    </row>
    <row r="4662" spans="1:38" x14ac:dyDescent="0.2">
      <c r="A4662" s="2">
        <v>2026</v>
      </c>
      <c r="B4662" s="2">
        <v>8</v>
      </c>
      <c r="C4662" s="2" t="s">
        <v>3531</v>
      </c>
      <c r="D4662" s="38" t="s">
        <v>3107</v>
      </c>
      <c r="E4662" s="2" t="s">
        <v>38</v>
      </c>
      <c r="F4662" s="2" t="s">
        <v>39</v>
      </c>
      <c r="L4662" s="2" t="s">
        <v>99</v>
      </c>
      <c r="M4662" s="2" t="s">
        <v>40</v>
      </c>
      <c r="P4662" s="2" t="s">
        <v>282</v>
      </c>
      <c r="Q4662" s="38" t="s">
        <v>3087</v>
      </c>
      <c r="R4662" s="38" t="s">
        <v>3088</v>
      </c>
      <c r="S4662" s="37">
        <v>1</v>
      </c>
      <c r="T4662" s="36">
        <v>2490</v>
      </c>
      <c r="U4662" s="2">
        <f t="shared" si="865"/>
        <v>572.70000000000005</v>
      </c>
      <c r="V4662" s="2">
        <f t="shared" si="866"/>
        <v>3062.7</v>
      </c>
      <c r="W4662" s="2">
        <f>1907.5+49</f>
        <v>1956.5</v>
      </c>
      <c r="X4662" s="18">
        <f t="shared" si="867"/>
        <v>0.21425702811244979</v>
      </c>
      <c r="Z4662" s="2" t="s">
        <v>104</v>
      </c>
      <c r="AA4662" s="2" t="s">
        <v>387</v>
      </c>
      <c r="AB4662" s="2" t="s">
        <v>1329</v>
      </c>
      <c r="AC4662" s="2" t="s">
        <v>1326</v>
      </c>
      <c r="AK4662" s="2">
        <f t="shared" si="863"/>
        <v>533.5</v>
      </c>
      <c r="AL4662" s="5">
        <f t="shared" si="864"/>
        <v>0.21425702811244979</v>
      </c>
    </row>
    <row r="4663" spans="1:38" x14ac:dyDescent="0.2">
      <c r="A4663" s="2">
        <v>2026</v>
      </c>
      <c r="B4663" s="2">
        <v>8</v>
      </c>
      <c r="C4663" s="2" t="s">
        <v>3531</v>
      </c>
      <c r="D4663" s="38" t="s">
        <v>3107</v>
      </c>
      <c r="E4663" s="2" t="s">
        <v>38</v>
      </c>
      <c r="F4663" s="2" t="s">
        <v>39</v>
      </c>
      <c r="L4663" s="2" t="s">
        <v>99</v>
      </c>
      <c r="M4663" s="2" t="s">
        <v>40</v>
      </c>
      <c r="P4663" s="2" t="s">
        <v>282</v>
      </c>
      <c r="Q4663" s="38" t="s">
        <v>3089</v>
      </c>
      <c r="R4663" s="38" t="s">
        <v>3090</v>
      </c>
      <c r="S4663" s="37">
        <v>1</v>
      </c>
      <c r="T4663" s="36">
        <v>2490</v>
      </c>
      <c r="U4663" s="2">
        <f t="shared" si="865"/>
        <v>572.70000000000005</v>
      </c>
      <c r="V4663" s="2">
        <f t="shared" si="866"/>
        <v>3062.7</v>
      </c>
      <c r="W4663" s="2">
        <f>1995.2+43.97</f>
        <v>2039.17</v>
      </c>
      <c r="X4663" s="18">
        <f t="shared" si="867"/>
        <v>0.18105622489959836</v>
      </c>
      <c r="Z4663" s="2" t="s">
        <v>104</v>
      </c>
      <c r="AA4663" s="2" t="s">
        <v>387</v>
      </c>
      <c r="AB4663" s="2" t="s">
        <v>1329</v>
      </c>
      <c r="AC4663" s="2" t="s">
        <v>1326</v>
      </c>
      <c r="AK4663" s="2">
        <f t="shared" si="863"/>
        <v>450.82999999999993</v>
      </c>
      <c r="AL4663" s="5">
        <f t="shared" si="864"/>
        <v>0.18105622489959836</v>
      </c>
    </row>
    <row r="4664" spans="1:38" x14ac:dyDescent="0.2">
      <c r="A4664" s="2">
        <v>2026</v>
      </c>
      <c r="B4664" s="2">
        <v>8</v>
      </c>
      <c r="C4664" s="2" t="s">
        <v>3531</v>
      </c>
      <c r="D4664" s="38" t="s">
        <v>3107</v>
      </c>
      <c r="E4664" s="2" t="s">
        <v>38</v>
      </c>
      <c r="F4664" s="2" t="s">
        <v>39</v>
      </c>
      <c r="L4664" s="2" t="s">
        <v>99</v>
      </c>
      <c r="M4664" s="2" t="s">
        <v>80</v>
      </c>
      <c r="P4664" s="2" t="s">
        <v>68</v>
      </c>
      <c r="Q4664" s="38" t="s">
        <v>1160</v>
      </c>
      <c r="R4664" s="38" t="s">
        <v>1161</v>
      </c>
      <c r="S4664" s="37">
        <v>1</v>
      </c>
      <c r="T4664" s="36">
        <v>70</v>
      </c>
      <c r="U4664" s="2">
        <f t="shared" si="865"/>
        <v>16.100000000000001</v>
      </c>
      <c r="V4664" s="2">
        <f t="shared" si="866"/>
        <v>86.1</v>
      </c>
      <c r="W4664" s="2">
        <v>47.4</v>
      </c>
      <c r="X4664" s="18">
        <f t="shared" si="867"/>
        <v>0.3228571428571429</v>
      </c>
      <c r="Z4664" s="2" t="s">
        <v>3225</v>
      </c>
      <c r="AA4664" s="2" t="s">
        <v>71</v>
      </c>
      <c r="AB4664" s="2" t="s">
        <v>68</v>
      </c>
      <c r="AC4664" s="2" t="s">
        <v>3229</v>
      </c>
      <c r="AK4664" s="2">
        <f t="shared" si="863"/>
        <v>22.6</v>
      </c>
      <c r="AL4664" s="5">
        <f t="shared" si="864"/>
        <v>0.3228571428571429</v>
      </c>
    </row>
    <row r="4665" spans="1:38" x14ac:dyDescent="0.2">
      <c r="A4665" s="2">
        <v>2026</v>
      </c>
      <c r="B4665" s="2">
        <v>8</v>
      </c>
      <c r="C4665" s="2" t="s">
        <v>3531</v>
      </c>
      <c r="D4665" s="38" t="s">
        <v>3107</v>
      </c>
      <c r="E4665" s="2" t="s">
        <v>38</v>
      </c>
      <c r="F4665" s="2" t="s">
        <v>39</v>
      </c>
      <c r="L4665" s="2" t="s">
        <v>99</v>
      </c>
      <c r="M4665" s="2" t="s">
        <v>40</v>
      </c>
      <c r="P4665" s="2" t="s">
        <v>3515</v>
      </c>
      <c r="Q4665" s="38" t="s">
        <v>363</v>
      </c>
      <c r="R4665" s="38" t="s">
        <v>364</v>
      </c>
      <c r="S4665" s="37">
        <v>4</v>
      </c>
      <c r="T4665" s="36">
        <v>829.06</v>
      </c>
      <c r="U4665" s="2">
        <f t="shared" si="865"/>
        <v>190.68379999999999</v>
      </c>
      <c r="V4665" s="2">
        <f t="shared" si="866"/>
        <v>1019.7438</v>
      </c>
      <c r="W4665" s="17">
        <f>T4665*75%</f>
        <v>621.79499999999996</v>
      </c>
      <c r="X4665" s="18">
        <f t="shared" si="867"/>
        <v>0.25</v>
      </c>
      <c r="Z4665" s="2" t="s">
        <v>119</v>
      </c>
      <c r="AA4665" s="2" t="s">
        <v>3377</v>
      </c>
      <c r="AB4665" s="2" t="s">
        <v>3515</v>
      </c>
      <c r="AK4665" s="2">
        <f t="shared" si="863"/>
        <v>207.26499999999999</v>
      </c>
      <c r="AL4665" s="5">
        <f t="shared" si="864"/>
        <v>0.25</v>
      </c>
    </row>
    <row r="4666" spans="1:38" x14ac:dyDescent="0.2">
      <c r="A4666" s="2">
        <v>2026</v>
      </c>
      <c r="B4666" s="2">
        <v>8</v>
      </c>
      <c r="C4666" s="2" t="s">
        <v>3531</v>
      </c>
      <c r="D4666" s="2" t="s">
        <v>1542</v>
      </c>
      <c r="E4666" s="2" t="s">
        <v>108</v>
      </c>
      <c r="F4666" s="2" t="s">
        <v>39</v>
      </c>
      <c r="L4666" s="2" t="s">
        <v>177</v>
      </c>
      <c r="M4666" s="2" t="s">
        <v>40</v>
      </c>
      <c r="P4666" s="2" t="s">
        <v>2345</v>
      </c>
      <c r="Q4666" s="2" t="s">
        <v>3534</v>
      </c>
      <c r="R4666" s="2" t="s">
        <v>3535</v>
      </c>
      <c r="S4666" s="13">
        <v>1</v>
      </c>
      <c r="T4666" s="14">
        <v>87.35</v>
      </c>
      <c r="U4666" s="2">
        <f>T4666*23%</f>
        <v>20.090499999999999</v>
      </c>
      <c r="V4666" s="2">
        <f t="shared" si="866"/>
        <v>107.44049999999999</v>
      </c>
      <c r="W4666" s="2">
        <v>38.659999999999997</v>
      </c>
      <c r="X4666" s="18">
        <f t="shared" si="867"/>
        <v>0.55741270749856897</v>
      </c>
      <c r="Y4666" s="2" t="s">
        <v>2539</v>
      </c>
      <c r="Z4666" s="2" t="s">
        <v>117</v>
      </c>
      <c r="AA4666" s="2" t="s">
        <v>118</v>
      </c>
      <c r="AB4666" s="2" t="s">
        <v>119</v>
      </c>
      <c r="AC4666" s="2" t="s">
        <v>2345</v>
      </c>
      <c r="AK4666" s="2">
        <f t="shared" ref="AK4666:AK4674" si="868">T4666-W4666</f>
        <v>48.69</v>
      </c>
      <c r="AL4666" s="5">
        <f t="shared" ref="AL4666:AL4674" si="869">(T4666-W4666)/T4666</f>
        <v>0.55741270749856897</v>
      </c>
    </row>
    <row r="4667" spans="1:38" x14ac:dyDescent="0.2">
      <c r="A4667" s="2">
        <v>2026</v>
      </c>
      <c r="B4667" s="2">
        <v>8</v>
      </c>
      <c r="C4667" s="2" t="s">
        <v>3531</v>
      </c>
      <c r="D4667" s="2" t="s">
        <v>1542</v>
      </c>
      <c r="E4667" s="2" t="s">
        <v>108</v>
      </c>
      <c r="F4667" s="2" t="s">
        <v>39</v>
      </c>
      <c r="L4667" s="2" t="s">
        <v>177</v>
      </c>
      <c r="M4667" s="2" t="s">
        <v>40</v>
      </c>
      <c r="P4667" s="2" t="s">
        <v>187</v>
      </c>
      <c r="Q4667" s="2" t="s">
        <v>188</v>
      </c>
      <c r="R4667" s="2" t="s">
        <v>189</v>
      </c>
      <c r="S4667" s="13">
        <v>1</v>
      </c>
      <c r="T4667" s="14">
        <v>75</v>
      </c>
      <c r="U4667" s="2">
        <f t="shared" ref="U4667:U4674" si="870">T4667*23%</f>
        <v>17.25</v>
      </c>
      <c r="V4667" s="2">
        <f t="shared" ref="V4667:V4675" si="871">T4667+U4667</f>
        <v>92.25</v>
      </c>
      <c r="W4667" s="2">
        <f>T4667*40%</f>
        <v>30</v>
      </c>
      <c r="X4667" s="18">
        <f t="shared" si="867"/>
        <v>0.6</v>
      </c>
      <c r="Y4667" s="2" t="s">
        <v>2539</v>
      </c>
      <c r="Z4667" s="2" t="s">
        <v>117</v>
      </c>
      <c r="AA4667" s="2" t="s">
        <v>190</v>
      </c>
      <c r="AB4667" s="2" t="s">
        <v>189</v>
      </c>
      <c r="AC4667" s="2" t="s">
        <v>40</v>
      </c>
      <c r="AK4667" s="2">
        <f t="shared" si="868"/>
        <v>45</v>
      </c>
      <c r="AL4667" s="5">
        <f t="shared" si="869"/>
        <v>0.6</v>
      </c>
    </row>
    <row r="4668" spans="1:38" x14ac:dyDescent="0.2">
      <c r="A4668" s="2">
        <v>2026</v>
      </c>
      <c r="B4668" s="2">
        <v>8</v>
      </c>
      <c r="C4668" s="2" t="s">
        <v>3531</v>
      </c>
      <c r="D4668" s="2" t="s">
        <v>1542</v>
      </c>
      <c r="E4668" s="2" t="s">
        <v>108</v>
      </c>
      <c r="F4668" s="2" t="s">
        <v>39</v>
      </c>
      <c r="L4668" s="2" t="s">
        <v>177</v>
      </c>
      <c r="M4668" s="2" t="s">
        <v>40</v>
      </c>
      <c r="P4668" s="2" t="s">
        <v>187</v>
      </c>
      <c r="Q4668" s="2" t="s">
        <v>191</v>
      </c>
      <c r="R4668" s="2" t="s">
        <v>190</v>
      </c>
      <c r="S4668" s="13">
        <v>1</v>
      </c>
      <c r="T4668" s="14">
        <v>55</v>
      </c>
      <c r="U4668" s="2">
        <f t="shared" si="870"/>
        <v>12.65</v>
      </c>
      <c r="V4668" s="2">
        <f t="shared" si="871"/>
        <v>67.650000000000006</v>
      </c>
      <c r="W4668" s="2">
        <f>T4668*50%</f>
        <v>27.5</v>
      </c>
      <c r="X4668" s="18">
        <f t="shared" si="867"/>
        <v>0.5</v>
      </c>
      <c r="Y4668" s="2" t="s">
        <v>2539</v>
      </c>
      <c r="Z4668" s="2" t="s">
        <v>117</v>
      </c>
      <c r="AA4668" s="2" t="s">
        <v>190</v>
      </c>
      <c r="AB4668" s="2" t="s">
        <v>190</v>
      </c>
      <c r="AC4668" s="2" t="s">
        <v>40</v>
      </c>
      <c r="AK4668" s="2">
        <f t="shared" si="868"/>
        <v>27.5</v>
      </c>
      <c r="AL4668" s="5">
        <f t="shared" si="869"/>
        <v>0.5</v>
      </c>
    </row>
    <row r="4669" spans="1:38" x14ac:dyDescent="0.2">
      <c r="A4669" s="2">
        <v>2026</v>
      </c>
      <c r="B4669" s="2">
        <v>8</v>
      </c>
      <c r="C4669" s="2" t="s">
        <v>3531</v>
      </c>
      <c r="D4669" s="2" t="s">
        <v>415</v>
      </c>
      <c r="E4669" s="2" t="s">
        <v>38</v>
      </c>
      <c r="F4669" s="2" t="s">
        <v>39</v>
      </c>
      <c r="G4669" s="2">
        <v>219908800</v>
      </c>
      <c r="H4669" s="2" t="s">
        <v>41</v>
      </c>
      <c r="I4669" s="2" t="s">
        <v>416</v>
      </c>
      <c r="J4669" s="2" t="s">
        <v>417</v>
      </c>
      <c r="L4669" s="2" t="s">
        <v>418</v>
      </c>
      <c r="M4669" s="2" t="s">
        <v>41</v>
      </c>
      <c r="P4669" s="2" t="s">
        <v>43</v>
      </c>
      <c r="Q4669" s="2" t="s">
        <v>48</v>
      </c>
      <c r="R4669" s="2" t="s">
        <v>49</v>
      </c>
      <c r="S4669" s="13">
        <v>3</v>
      </c>
      <c r="T4669" s="14">
        <v>39</v>
      </c>
      <c r="U4669" s="2">
        <f t="shared" si="870"/>
        <v>8.9700000000000006</v>
      </c>
      <c r="V4669" s="2">
        <f t="shared" si="871"/>
        <v>47.97</v>
      </c>
      <c r="W4669" s="2">
        <f>6.6267*S4669</f>
        <v>19.880099999999999</v>
      </c>
      <c r="X4669" s="18">
        <f t="shared" si="867"/>
        <v>0.49025384615384621</v>
      </c>
      <c r="Z4669" s="2" t="s">
        <v>3225</v>
      </c>
      <c r="AA4669" s="2" t="s">
        <v>46</v>
      </c>
      <c r="AB4669" s="2" t="s">
        <v>47</v>
      </c>
      <c r="AC4669" s="2" t="s">
        <v>57</v>
      </c>
      <c r="AK4669" s="2">
        <f t="shared" si="868"/>
        <v>19.119900000000001</v>
      </c>
      <c r="AL4669" s="5">
        <f t="shared" si="869"/>
        <v>0.49025384615384621</v>
      </c>
    </row>
    <row r="4670" spans="1:38" x14ac:dyDescent="0.2">
      <c r="A4670" s="2">
        <v>2026</v>
      </c>
      <c r="B4670" s="2">
        <v>8</v>
      </c>
      <c r="C4670" s="2" t="s">
        <v>3531</v>
      </c>
      <c r="D4670" s="2" t="s">
        <v>415</v>
      </c>
      <c r="E4670" s="2" t="s">
        <v>38</v>
      </c>
      <c r="F4670" s="2" t="s">
        <v>39</v>
      </c>
      <c r="G4670" s="2">
        <v>219908800</v>
      </c>
      <c r="H4670" s="2" t="s">
        <v>41</v>
      </c>
      <c r="I4670" s="2" t="s">
        <v>416</v>
      </c>
      <c r="J4670" s="2" t="s">
        <v>417</v>
      </c>
      <c r="L4670" s="2" t="s">
        <v>418</v>
      </c>
      <c r="M4670" s="2" t="s">
        <v>41</v>
      </c>
      <c r="P4670" s="2" t="s">
        <v>169</v>
      </c>
      <c r="Q4670" s="2" t="s">
        <v>170</v>
      </c>
      <c r="R4670" s="2" t="s">
        <v>170</v>
      </c>
      <c r="S4670" s="13">
        <v>1</v>
      </c>
      <c r="T4670" s="14">
        <v>5</v>
      </c>
      <c r="U4670" s="2">
        <f t="shared" si="870"/>
        <v>1.1500000000000001</v>
      </c>
      <c r="V4670" s="2">
        <f t="shared" si="871"/>
        <v>6.15</v>
      </c>
      <c r="W4670" s="2">
        <v>5</v>
      </c>
      <c r="X4670" s="18">
        <f t="shared" si="867"/>
        <v>0</v>
      </c>
      <c r="Z4670" s="2" t="s">
        <v>169</v>
      </c>
      <c r="AA4670" s="2" t="s">
        <v>169</v>
      </c>
      <c r="AK4670" s="2">
        <f t="shared" si="868"/>
        <v>0</v>
      </c>
      <c r="AL4670" s="5">
        <f t="shared" si="869"/>
        <v>0</v>
      </c>
    </row>
    <row r="4671" spans="1:38" x14ac:dyDescent="0.2">
      <c r="A4671" s="2">
        <v>2026</v>
      </c>
      <c r="B4671" s="2">
        <v>8</v>
      </c>
      <c r="C4671" s="2" t="s">
        <v>3531</v>
      </c>
      <c r="D4671" s="2" t="s">
        <v>1589</v>
      </c>
      <c r="E4671" s="2" t="s">
        <v>38</v>
      </c>
      <c r="F4671" s="2" t="s">
        <v>39</v>
      </c>
      <c r="L4671" s="2" t="s">
        <v>571</v>
      </c>
      <c r="M4671" s="2" t="s">
        <v>80</v>
      </c>
      <c r="P4671" s="2" t="s">
        <v>72</v>
      </c>
      <c r="Q4671" s="2" t="s">
        <v>1075</v>
      </c>
      <c r="R4671" s="2" t="s">
        <v>83</v>
      </c>
      <c r="S4671" s="13">
        <v>1</v>
      </c>
      <c r="T4671" s="14">
        <v>285</v>
      </c>
      <c r="U4671" s="2">
        <f t="shared" si="870"/>
        <v>65.55</v>
      </c>
      <c r="V4671" s="2">
        <f t="shared" si="871"/>
        <v>350.55</v>
      </c>
      <c r="W4671" s="2">
        <v>171.67500000000001</v>
      </c>
      <c r="X4671" s="18">
        <f t="shared" si="867"/>
        <v>0.39763157894736839</v>
      </c>
      <c r="Z4671" s="2" t="s">
        <v>3225</v>
      </c>
      <c r="AA4671" s="2" t="s">
        <v>75</v>
      </c>
      <c r="AB4671" s="2" t="s">
        <v>76</v>
      </c>
      <c r="AC4671" s="2" t="s">
        <v>77</v>
      </c>
      <c r="AK4671" s="2">
        <f t="shared" si="868"/>
        <v>113.32499999999999</v>
      </c>
      <c r="AL4671" s="5">
        <f t="shared" si="869"/>
        <v>0.39763157894736839</v>
      </c>
    </row>
    <row r="4672" spans="1:38" x14ac:dyDescent="0.2">
      <c r="A4672" s="2">
        <v>2026</v>
      </c>
      <c r="B4672" s="2">
        <v>8</v>
      </c>
      <c r="C4672" s="2" t="s">
        <v>3531</v>
      </c>
      <c r="D4672" s="2" t="s">
        <v>1589</v>
      </c>
      <c r="E4672" s="2" t="s">
        <v>38</v>
      </c>
      <c r="F4672" s="2" t="s">
        <v>39</v>
      </c>
      <c r="L4672" s="2" t="s">
        <v>571</v>
      </c>
      <c r="M4672" s="2" t="s">
        <v>80</v>
      </c>
      <c r="P4672" s="2" t="s">
        <v>93</v>
      </c>
      <c r="Q4672" s="2" t="s">
        <v>94</v>
      </c>
      <c r="R4672" s="2" t="s">
        <v>95</v>
      </c>
      <c r="S4672" s="13">
        <v>1</v>
      </c>
      <c r="T4672" s="14">
        <v>1.48</v>
      </c>
      <c r="U4672" s="2">
        <f t="shared" si="870"/>
        <v>0.34040000000000004</v>
      </c>
      <c r="V4672" s="2">
        <f t="shared" si="871"/>
        <v>1.8204</v>
      </c>
      <c r="W4672" s="2">
        <v>1.48</v>
      </c>
      <c r="X4672" s="18">
        <f t="shared" si="867"/>
        <v>0</v>
      </c>
      <c r="Z4672" s="2" t="s">
        <v>3225</v>
      </c>
      <c r="AA4672" s="2" t="s">
        <v>96</v>
      </c>
      <c r="AB4672" s="2" t="s">
        <v>76</v>
      </c>
      <c r="AC4672" s="2" t="s">
        <v>93</v>
      </c>
      <c r="AK4672" s="2">
        <f t="shared" si="868"/>
        <v>0</v>
      </c>
      <c r="AL4672" s="5">
        <f t="shared" si="869"/>
        <v>0</v>
      </c>
    </row>
    <row r="4673" spans="1:38" x14ac:dyDescent="0.2">
      <c r="A4673" s="2">
        <v>2026</v>
      </c>
      <c r="B4673" s="2">
        <v>8</v>
      </c>
      <c r="C4673" s="2" t="s">
        <v>3531</v>
      </c>
      <c r="D4673" s="2" t="s">
        <v>549</v>
      </c>
      <c r="E4673" s="2" t="s">
        <v>108</v>
      </c>
      <c r="F4673" s="2" t="s">
        <v>395</v>
      </c>
      <c r="G4673" s="2">
        <v>503641790</v>
      </c>
      <c r="H4673" s="2" t="s">
        <v>40</v>
      </c>
      <c r="I4673" s="2" t="s">
        <v>550</v>
      </c>
      <c r="J4673" s="2" t="s">
        <v>551</v>
      </c>
      <c r="K4673" s="2">
        <v>917753665</v>
      </c>
      <c r="L4673" s="2" t="s">
        <v>99</v>
      </c>
      <c r="M4673" s="2" t="s">
        <v>40</v>
      </c>
      <c r="P4673" s="2" t="s">
        <v>187</v>
      </c>
      <c r="Q4673" s="2" t="s">
        <v>188</v>
      </c>
      <c r="R4673" s="2" t="s">
        <v>189</v>
      </c>
      <c r="S4673" s="13">
        <v>1</v>
      </c>
      <c r="T4673" s="14">
        <v>45</v>
      </c>
      <c r="U4673" s="2">
        <f t="shared" si="870"/>
        <v>10.35</v>
      </c>
      <c r="V4673" s="2">
        <f t="shared" si="871"/>
        <v>55.35</v>
      </c>
      <c r="W4673" s="2">
        <f>T4673*40%</f>
        <v>18</v>
      </c>
      <c r="X4673" s="18">
        <f t="shared" si="867"/>
        <v>0.6</v>
      </c>
      <c r="Y4673" s="2" t="s">
        <v>2539</v>
      </c>
      <c r="Z4673" s="2" t="s">
        <v>117</v>
      </c>
      <c r="AA4673" s="2" t="s">
        <v>190</v>
      </c>
      <c r="AB4673" s="2" t="s">
        <v>189</v>
      </c>
      <c r="AC4673" s="2" t="s">
        <v>40</v>
      </c>
      <c r="AK4673" s="2">
        <f t="shared" si="868"/>
        <v>27</v>
      </c>
      <c r="AL4673" s="5">
        <f t="shared" si="869"/>
        <v>0.6</v>
      </c>
    </row>
    <row r="4674" spans="1:38" x14ac:dyDescent="0.2">
      <c r="A4674" s="2">
        <v>2026</v>
      </c>
      <c r="B4674" s="2">
        <v>8</v>
      </c>
      <c r="C4674" s="2" t="s">
        <v>3531</v>
      </c>
      <c r="D4674" s="2" t="s">
        <v>549</v>
      </c>
      <c r="E4674" s="2" t="s">
        <v>108</v>
      </c>
      <c r="F4674" s="2" t="s">
        <v>395</v>
      </c>
      <c r="G4674" s="2">
        <v>503641790</v>
      </c>
      <c r="H4674" s="2" t="s">
        <v>40</v>
      </c>
      <c r="I4674" s="2" t="s">
        <v>550</v>
      </c>
      <c r="J4674" s="2" t="s">
        <v>551</v>
      </c>
      <c r="K4674" s="2">
        <v>917753665</v>
      </c>
      <c r="L4674" s="2" t="s">
        <v>99</v>
      </c>
      <c r="M4674" s="2" t="s">
        <v>40</v>
      </c>
      <c r="P4674" s="2" t="s">
        <v>187</v>
      </c>
      <c r="Q4674" s="2" t="s">
        <v>191</v>
      </c>
      <c r="R4674" s="2" t="s">
        <v>190</v>
      </c>
      <c r="S4674" s="13">
        <v>3</v>
      </c>
      <c r="T4674" s="14">
        <v>49.5</v>
      </c>
      <c r="U4674" s="2">
        <f t="shared" si="870"/>
        <v>11.385</v>
      </c>
      <c r="V4674" s="2">
        <f t="shared" si="871"/>
        <v>60.884999999999998</v>
      </c>
      <c r="W4674" s="2">
        <f>T4674*50%</f>
        <v>24.75</v>
      </c>
      <c r="X4674" s="18">
        <f t="shared" si="867"/>
        <v>0.5</v>
      </c>
      <c r="Y4674" s="2" t="s">
        <v>2539</v>
      </c>
      <c r="Z4674" s="2" t="s">
        <v>117</v>
      </c>
      <c r="AA4674" s="2" t="s">
        <v>190</v>
      </c>
      <c r="AB4674" s="2" t="s">
        <v>190</v>
      </c>
      <c r="AC4674" s="2" t="s">
        <v>40</v>
      </c>
      <c r="AK4674" s="2">
        <f t="shared" si="868"/>
        <v>24.75</v>
      </c>
      <c r="AL4674" s="5">
        <f t="shared" si="869"/>
        <v>0.5</v>
      </c>
    </row>
    <row r="4675" spans="1:38" x14ac:dyDescent="0.2">
      <c r="A4675" s="2">
        <v>2026</v>
      </c>
      <c r="B4675" s="2">
        <v>8</v>
      </c>
      <c r="C4675" s="2" t="s">
        <v>3531</v>
      </c>
      <c r="D4675" s="2" t="s">
        <v>3551</v>
      </c>
      <c r="E4675" s="2" t="s">
        <v>108</v>
      </c>
      <c r="F4675" s="2" t="s">
        <v>39</v>
      </c>
      <c r="L4675" s="2" t="s">
        <v>133</v>
      </c>
      <c r="M4675" s="2" t="s">
        <v>80</v>
      </c>
      <c r="P4675" s="2" t="s">
        <v>1038</v>
      </c>
      <c r="Q4675" s="2" t="s">
        <v>3536</v>
      </c>
      <c r="R4675" s="2" t="s">
        <v>3537</v>
      </c>
      <c r="S4675" s="13">
        <v>2</v>
      </c>
      <c r="T4675" s="14">
        <v>589.42999999999995</v>
      </c>
      <c r="U4675" s="2">
        <f>T4675*23%</f>
        <v>135.56889999999999</v>
      </c>
      <c r="V4675" s="2">
        <f t="shared" si="871"/>
        <v>724.99889999999994</v>
      </c>
      <c r="W4675" s="2">
        <f>186.43*S4675</f>
        <v>372.86</v>
      </c>
      <c r="X4675" s="18">
        <f t="shared" si="867"/>
        <v>0.36742276436557342</v>
      </c>
      <c r="Z4675" s="2" t="s">
        <v>3225</v>
      </c>
      <c r="AA4675" s="2" t="s">
        <v>1041</v>
      </c>
      <c r="AB4675" s="2" t="s">
        <v>2030</v>
      </c>
      <c r="AC4675" s="2" t="s">
        <v>1038</v>
      </c>
      <c r="AK4675" s="2">
        <f t="shared" ref="AK4675:AK4706" si="872">T4675-W4675</f>
        <v>216.56999999999994</v>
      </c>
      <c r="AL4675" s="5">
        <f t="shared" ref="AL4675:AL4706" si="873">(T4675-W4675)/T4675</f>
        <v>0.36742276436557342</v>
      </c>
    </row>
    <row r="4676" spans="1:38" x14ac:dyDescent="0.2">
      <c r="A4676" s="2">
        <v>2026</v>
      </c>
      <c r="B4676" s="2">
        <v>8</v>
      </c>
      <c r="C4676" s="2" t="s">
        <v>3531</v>
      </c>
      <c r="D4676" s="2" t="s">
        <v>3551</v>
      </c>
      <c r="E4676" s="2" t="s">
        <v>108</v>
      </c>
      <c r="F4676" s="2" t="s">
        <v>39</v>
      </c>
      <c r="L4676" s="2" t="s">
        <v>133</v>
      </c>
      <c r="M4676" s="2" t="s">
        <v>80</v>
      </c>
      <c r="P4676" s="2" t="s">
        <v>1038</v>
      </c>
      <c r="Q4676" s="2" t="s">
        <v>3538</v>
      </c>
      <c r="R4676" s="2" t="s">
        <v>3539</v>
      </c>
      <c r="S4676" s="13">
        <v>2</v>
      </c>
      <c r="T4676" s="14">
        <v>589.42999999999995</v>
      </c>
      <c r="U4676" s="2">
        <f t="shared" ref="U4676:U4707" si="874">T4676*23%</f>
        <v>135.56889999999999</v>
      </c>
      <c r="V4676" s="2">
        <f t="shared" ref="V4676:V4708" si="875">T4676+U4676</f>
        <v>724.99889999999994</v>
      </c>
      <c r="W4676" s="2">
        <f>192.07*S4676</f>
        <v>384.14</v>
      </c>
      <c r="X4676" s="18">
        <f t="shared" si="867"/>
        <v>0.34828563188164835</v>
      </c>
      <c r="Z4676" s="2" t="s">
        <v>3225</v>
      </c>
      <c r="AA4676" s="2" t="s">
        <v>1041</v>
      </c>
      <c r="AB4676" s="2" t="s">
        <v>2030</v>
      </c>
      <c r="AC4676" s="2" t="s">
        <v>1038</v>
      </c>
      <c r="AK4676" s="2">
        <f t="shared" si="872"/>
        <v>205.28999999999996</v>
      </c>
      <c r="AL4676" s="5">
        <f t="shared" si="873"/>
        <v>0.34828563188164835</v>
      </c>
    </row>
    <row r="4677" spans="1:38" x14ac:dyDescent="0.2">
      <c r="A4677" s="2">
        <v>2026</v>
      </c>
      <c r="B4677" s="2">
        <v>8</v>
      </c>
      <c r="C4677" s="2" t="s">
        <v>3531</v>
      </c>
      <c r="D4677" s="2" t="s">
        <v>319</v>
      </c>
      <c r="E4677" s="2" t="s">
        <v>38</v>
      </c>
      <c r="F4677" s="2" t="s">
        <v>39</v>
      </c>
      <c r="G4677" s="2">
        <v>500883262</v>
      </c>
      <c r="H4677" s="2" t="s">
        <v>40</v>
      </c>
      <c r="I4677" s="2" t="s">
        <v>99</v>
      </c>
      <c r="J4677" s="2" t="s">
        <v>320</v>
      </c>
      <c r="L4677" s="2" t="s">
        <v>99</v>
      </c>
      <c r="M4677" s="2" t="s">
        <v>80</v>
      </c>
      <c r="P4677" s="2" t="s">
        <v>72</v>
      </c>
      <c r="Q4677" s="2" t="s">
        <v>484</v>
      </c>
      <c r="R4677" s="2" t="s">
        <v>74</v>
      </c>
      <c r="S4677" s="13">
        <v>1</v>
      </c>
      <c r="T4677" s="14">
        <v>230</v>
      </c>
      <c r="U4677" s="2">
        <f t="shared" si="874"/>
        <v>52.900000000000006</v>
      </c>
      <c r="V4677" s="2">
        <f t="shared" si="875"/>
        <v>282.89999999999998</v>
      </c>
      <c r="W4677" s="2">
        <v>131.93</v>
      </c>
      <c r="X4677" s="18">
        <f t="shared" si="867"/>
        <v>0.42639130434782607</v>
      </c>
      <c r="Z4677" s="2" t="s">
        <v>3225</v>
      </c>
      <c r="AA4677" s="2" t="s">
        <v>75</v>
      </c>
      <c r="AB4677" s="2" t="s">
        <v>76</v>
      </c>
      <c r="AC4677" s="2" t="s">
        <v>77</v>
      </c>
      <c r="AF4677" s="2">
        <f>AJ4677</f>
        <v>0</v>
      </c>
      <c r="AG4677" s="2">
        <v>131.93</v>
      </c>
      <c r="AH4677" s="2">
        <v>220</v>
      </c>
      <c r="AK4677" s="2">
        <f t="shared" si="872"/>
        <v>98.07</v>
      </c>
      <c r="AL4677" s="5">
        <f t="shared" si="873"/>
        <v>0.42639130434782607</v>
      </c>
    </row>
    <row r="4678" spans="1:38" x14ac:dyDescent="0.2">
      <c r="A4678" s="2">
        <v>2026</v>
      </c>
      <c r="B4678" s="2">
        <v>8</v>
      </c>
      <c r="C4678" s="2" t="s">
        <v>3531</v>
      </c>
      <c r="D4678" s="2" t="s">
        <v>319</v>
      </c>
      <c r="E4678" s="2" t="s">
        <v>38</v>
      </c>
      <c r="F4678" s="2" t="s">
        <v>39</v>
      </c>
      <c r="G4678" s="2">
        <v>500883262</v>
      </c>
      <c r="H4678" s="2" t="s">
        <v>40</v>
      </c>
      <c r="I4678" s="2" t="s">
        <v>99</v>
      </c>
      <c r="J4678" s="2" t="s">
        <v>320</v>
      </c>
      <c r="L4678" s="2" t="s">
        <v>99</v>
      </c>
      <c r="M4678" s="2" t="s">
        <v>80</v>
      </c>
      <c r="P4678" s="2" t="s">
        <v>93</v>
      </c>
      <c r="Q4678" s="2" t="s">
        <v>94</v>
      </c>
      <c r="R4678" s="2" t="s">
        <v>95</v>
      </c>
      <c r="S4678" s="13">
        <v>1</v>
      </c>
      <c r="T4678" s="14">
        <v>1.48</v>
      </c>
      <c r="U4678" s="2">
        <f t="shared" si="874"/>
        <v>0.34040000000000004</v>
      </c>
      <c r="V4678" s="2">
        <f t="shared" si="875"/>
        <v>1.8204</v>
      </c>
      <c r="W4678" s="2">
        <v>1.48</v>
      </c>
      <c r="X4678" s="18">
        <f t="shared" si="867"/>
        <v>0</v>
      </c>
      <c r="Z4678" s="2" t="s">
        <v>3225</v>
      </c>
      <c r="AA4678" s="2" t="s">
        <v>96</v>
      </c>
      <c r="AB4678" s="2" t="s">
        <v>76</v>
      </c>
      <c r="AC4678" s="2" t="s">
        <v>93</v>
      </c>
      <c r="AK4678" s="2">
        <f t="shared" si="872"/>
        <v>0</v>
      </c>
      <c r="AL4678" s="5">
        <f t="shared" si="873"/>
        <v>0</v>
      </c>
    </row>
    <row r="4679" spans="1:38" x14ac:dyDescent="0.2">
      <c r="A4679" s="2">
        <v>2026</v>
      </c>
      <c r="B4679" s="2">
        <v>8</v>
      </c>
      <c r="C4679" s="2" t="s">
        <v>3531</v>
      </c>
      <c r="D4679" s="2" t="s">
        <v>2556</v>
      </c>
      <c r="E4679" s="2" t="s">
        <v>108</v>
      </c>
      <c r="F4679" s="2" t="s">
        <v>717</v>
      </c>
      <c r="G4679" s="2">
        <v>500228264</v>
      </c>
      <c r="H4679" s="2" t="s">
        <v>109</v>
      </c>
      <c r="I4679" s="2" t="s">
        <v>2936</v>
      </c>
      <c r="J4679" s="2" t="s">
        <v>2937</v>
      </c>
      <c r="K4679" s="2">
        <v>962004672</v>
      </c>
      <c r="L4679" s="2" t="s">
        <v>398</v>
      </c>
      <c r="M4679" s="2" t="s">
        <v>80</v>
      </c>
      <c r="P4679" s="2" t="s">
        <v>72</v>
      </c>
      <c r="Q4679" s="2" t="s">
        <v>3026</v>
      </c>
      <c r="R4679" s="2" t="s">
        <v>331</v>
      </c>
      <c r="S4679" s="13">
        <v>1</v>
      </c>
      <c r="T4679" s="14">
        <v>210</v>
      </c>
      <c r="U4679" s="2">
        <f t="shared" si="874"/>
        <v>48.300000000000004</v>
      </c>
      <c r="V4679" s="2">
        <f t="shared" si="875"/>
        <v>258.3</v>
      </c>
      <c r="W4679" s="2">
        <v>113.4</v>
      </c>
      <c r="X4679" s="18">
        <f t="shared" si="867"/>
        <v>0.45999999999999996</v>
      </c>
      <c r="Z4679" s="2" t="s">
        <v>3225</v>
      </c>
      <c r="AA4679" s="2" t="s">
        <v>75</v>
      </c>
      <c r="AB4679" s="2" t="s">
        <v>76</v>
      </c>
      <c r="AC4679" s="2" t="s">
        <v>77</v>
      </c>
      <c r="AK4679" s="2">
        <f t="shared" si="872"/>
        <v>96.6</v>
      </c>
      <c r="AL4679" s="5">
        <f t="shared" si="873"/>
        <v>0.45999999999999996</v>
      </c>
    </row>
    <row r="4680" spans="1:38" x14ac:dyDescent="0.2">
      <c r="A4680" s="2">
        <v>2026</v>
      </c>
      <c r="B4680" s="2">
        <v>8</v>
      </c>
      <c r="C4680" s="2" t="s">
        <v>3531</v>
      </c>
      <c r="D4680" s="2" t="s">
        <v>2556</v>
      </c>
      <c r="E4680" s="2" t="s">
        <v>108</v>
      </c>
      <c r="F4680" s="2" t="s">
        <v>717</v>
      </c>
      <c r="G4680" s="2">
        <v>500228264</v>
      </c>
      <c r="H4680" s="2" t="s">
        <v>109</v>
      </c>
      <c r="I4680" s="2" t="s">
        <v>2936</v>
      </c>
      <c r="J4680" s="2" t="s">
        <v>2937</v>
      </c>
      <c r="K4680" s="2">
        <v>962004672</v>
      </c>
      <c r="L4680" s="2" t="s">
        <v>398</v>
      </c>
      <c r="M4680" s="2" t="s">
        <v>80</v>
      </c>
      <c r="P4680" s="2" t="s">
        <v>93</v>
      </c>
      <c r="Q4680" s="2" t="s">
        <v>94</v>
      </c>
      <c r="R4680" s="2" t="s">
        <v>95</v>
      </c>
      <c r="S4680" s="13">
        <v>1</v>
      </c>
      <c r="T4680" s="14">
        <v>1.48</v>
      </c>
      <c r="U4680" s="2">
        <f t="shared" si="874"/>
        <v>0.34040000000000004</v>
      </c>
      <c r="V4680" s="2">
        <f t="shared" si="875"/>
        <v>1.8204</v>
      </c>
      <c r="W4680" s="2">
        <v>1.48</v>
      </c>
      <c r="X4680" s="18">
        <f t="shared" si="867"/>
        <v>0</v>
      </c>
      <c r="Z4680" s="2" t="s">
        <v>3225</v>
      </c>
      <c r="AA4680" s="2" t="s">
        <v>96</v>
      </c>
      <c r="AB4680" s="2" t="s">
        <v>76</v>
      </c>
      <c r="AC4680" s="2" t="s">
        <v>93</v>
      </c>
      <c r="AK4680" s="2">
        <f t="shared" si="872"/>
        <v>0</v>
      </c>
      <c r="AL4680" s="5">
        <f t="shared" si="873"/>
        <v>0</v>
      </c>
    </row>
    <row r="4681" spans="1:38" x14ac:dyDescent="0.2">
      <c r="A4681" s="2">
        <v>2026</v>
      </c>
      <c r="B4681" s="2">
        <v>8</v>
      </c>
      <c r="C4681" s="2" t="s">
        <v>3531</v>
      </c>
      <c r="D4681" s="2" t="s">
        <v>341</v>
      </c>
      <c r="E4681" s="2" t="s">
        <v>98</v>
      </c>
      <c r="F4681" s="2" t="s">
        <v>39</v>
      </c>
      <c r="G4681" s="2">
        <v>515045209</v>
      </c>
      <c r="H4681" s="2" t="s">
        <v>40</v>
      </c>
      <c r="I4681" s="2" t="s">
        <v>342</v>
      </c>
      <c r="J4681" s="2" t="s">
        <v>343</v>
      </c>
      <c r="K4681" s="2">
        <v>910797622</v>
      </c>
      <c r="L4681" s="2" t="s">
        <v>344</v>
      </c>
      <c r="M4681" s="2" t="s">
        <v>80</v>
      </c>
      <c r="P4681" s="2" t="s">
        <v>72</v>
      </c>
      <c r="Q4681" s="2" t="s">
        <v>2406</v>
      </c>
      <c r="R4681" s="2" t="s">
        <v>1415</v>
      </c>
      <c r="S4681" s="13">
        <v>1</v>
      </c>
      <c r="T4681" s="14">
        <v>235</v>
      </c>
      <c r="U4681" s="2">
        <f t="shared" si="874"/>
        <v>54.050000000000004</v>
      </c>
      <c r="V4681" s="2">
        <f t="shared" si="875"/>
        <v>289.05</v>
      </c>
      <c r="W4681" s="2">
        <v>129.02000000000001</v>
      </c>
      <c r="X4681" s="18">
        <f t="shared" si="867"/>
        <v>0.45097872340425527</v>
      </c>
      <c r="Z4681" s="2" t="s">
        <v>3225</v>
      </c>
      <c r="AA4681" s="2" t="s">
        <v>75</v>
      </c>
      <c r="AB4681" s="2" t="s">
        <v>76</v>
      </c>
      <c r="AC4681" s="2" t="s">
        <v>77</v>
      </c>
      <c r="AK4681" s="2">
        <f t="shared" si="872"/>
        <v>105.97999999999999</v>
      </c>
      <c r="AL4681" s="5">
        <f t="shared" si="873"/>
        <v>0.45097872340425527</v>
      </c>
    </row>
    <row r="4682" spans="1:38" x14ac:dyDescent="0.2">
      <c r="A4682" s="2">
        <v>2026</v>
      </c>
      <c r="B4682" s="2">
        <v>8</v>
      </c>
      <c r="C4682" s="2" t="s">
        <v>3531</v>
      </c>
      <c r="D4682" s="2" t="s">
        <v>341</v>
      </c>
      <c r="E4682" s="2" t="s">
        <v>98</v>
      </c>
      <c r="F4682" s="2" t="s">
        <v>39</v>
      </c>
      <c r="G4682" s="2">
        <v>515045209</v>
      </c>
      <c r="H4682" s="2" t="s">
        <v>40</v>
      </c>
      <c r="I4682" s="2" t="s">
        <v>342</v>
      </c>
      <c r="J4682" s="2" t="s">
        <v>343</v>
      </c>
      <c r="K4682" s="2">
        <v>910797622</v>
      </c>
      <c r="L4682" s="2" t="s">
        <v>344</v>
      </c>
      <c r="M4682" s="2" t="s">
        <v>80</v>
      </c>
      <c r="P4682" s="2" t="s">
        <v>93</v>
      </c>
      <c r="Q4682" s="2" t="s">
        <v>94</v>
      </c>
      <c r="R4682" s="2" t="s">
        <v>95</v>
      </c>
      <c r="S4682" s="13">
        <v>1</v>
      </c>
      <c r="T4682" s="14">
        <v>1.48</v>
      </c>
      <c r="U4682" s="2">
        <f t="shared" si="874"/>
        <v>0.34040000000000004</v>
      </c>
      <c r="V4682" s="2">
        <f t="shared" si="875"/>
        <v>1.8204</v>
      </c>
      <c r="W4682" s="2">
        <v>1.48</v>
      </c>
      <c r="X4682" s="18">
        <f t="shared" si="867"/>
        <v>0</v>
      </c>
      <c r="Z4682" s="2" t="s">
        <v>3225</v>
      </c>
      <c r="AA4682" s="2" t="s">
        <v>96</v>
      </c>
      <c r="AB4682" s="2" t="s">
        <v>76</v>
      </c>
      <c r="AC4682" s="2" t="s">
        <v>93</v>
      </c>
      <c r="AK4682" s="2">
        <f t="shared" si="872"/>
        <v>0</v>
      </c>
      <c r="AL4682" s="5">
        <f t="shared" si="873"/>
        <v>0</v>
      </c>
    </row>
    <row r="4683" spans="1:38" x14ac:dyDescent="0.2">
      <c r="A4683" s="2">
        <v>2026</v>
      </c>
      <c r="B4683" s="2">
        <v>8</v>
      </c>
      <c r="C4683" s="2" t="s">
        <v>3531</v>
      </c>
      <c r="D4683" s="2" t="s">
        <v>749</v>
      </c>
      <c r="E4683" s="2" t="s">
        <v>108</v>
      </c>
      <c r="F4683" s="2" t="s">
        <v>39</v>
      </c>
      <c r="G4683" s="2">
        <v>510039537</v>
      </c>
      <c r="H4683" s="2" t="s">
        <v>40</v>
      </c>
      <c r="I4683" s="2" t="s">
        <v>571</v>
      </c>
      <c r="J4683" s="2" t="s">
        <v>750</v>
      </c>
      <c r="K4683" s="2">
        <v>969042927</v>
      </c>
      <c r="L4683" s="2" t="s">
        <v>571</v>
      </c>
      <c r="M4683" s="2" t="s">
        <v>80</v>
      </c>
      <c r="P4683" s="2" t="s">
        <v>72</v>
      </c>
      <c r="Q4683" s="2" t="s">
        <v>3540</v>
      </c>
      <c r="R4683" s="2" t="s">
        <v>1415</v>
      </c>
      <c r="S4683" s="13">
        <v>1</v>
      </c>
      <c r="T4683" s="14">
        <v>250</v>
      </c>
      <c r="U4683" s="2">
        <f t="shared" si="874"/>
        <v>57.5</v>
      </c>
      <c r="V4683" s="2">
        <f t="shared" si="875"/>
        <v>307.5</v>
      </c>
      <c r="W4683" s="2">
        <v>133.05000000000001</v>
      </c>
      <c r="X4683" s="18">
        <f t="shared" si="867"/>
        <v>0.46779999999999994</v>
      </c>
      <c r="Z4683" s="2" t="s">
        <v>3225</v>
      </c>
      <c r="AA4683" s="2" t="s">
        <v>75</v>
      </c>
      <c r="AB4683" s="2" t="s">
        <v>76</v>
      </c>
      <c r="AC4683" s="2" t="s">
        <v>77</v>
      </c>
      <c r="AK4683" s="2">
        <f t="shared" si="872"/>
        <v>116.94999999999999</v>
      </c>
      <c r="AL4683" s="5">
        <f t="shared" si="873"/>
        <v>0.46779999999999994</v>
      </c>
    </row>
    <row r="4684" spans="1:38" x14ac:dyDescent="0.2">
      <c r="A4684" s="2">
        <v>2026</v>
      </c>
      <c r="B4684" s="2">
        <v>8</v>
      </c>
      <c r="C4684" s="2" t="s">
        <v>3531</v>
      </c>
      <c r="D4684" s="2" t="s">
        <v>749</v>
      </c>
      <c r="E4684" s="2" t="s">
        <v>108</v>
      </c>
      <c r="F4684" s="2" t="s">
        <v>39</v>
      </c>
      <c r="G4684" s="2">
        <v>510039537</v>
      </c>
      <c r="H4684" s="2" t="s">
        <v>40</v>
      </c>
      <c r="I4684" s="2" t="s">
        <v>571</v>
      </c>
      <c r="J4684" s="2" t="s">
        <v>750</v>
      </c>
      <c r="K4684" s="2">
        <v>969042927</v>
      </c>
      <c r="L4684" s="2" t="s">
        <v>571</v>
      </c>
      <c r="M4684" s="2" t="s">
        <v>80</v>
      </c>
      <c r="P4684" s="2" t="s">
        <v>93</v>
      </c>
      <c r="Q4684" s="2" t="s">
        <v>94</v>
      </c>
      <c r="R4684" s="2" t="s">
        <v>95</v>
      </c>
      <c r="S4684" s="13">
        <v>1</v>
      </c>
      <c r="T4684" s="14">
        <v>1.48</v>
      </c>
      <c r="U4684" s="2">
        <f t="shared" si="874"/>
        <v>0.34040000000000004</v>
      </c>
      <c r="V4684" s="2">
        <f t="shared" si="875"/>
        <v>1.8204</v>
      </c>
      <c r="W4684" s="2">
        <v>1.48</v>
      </c>
      <c r="X4684" s="18">
        <f t="shared" si="867"/>
        <v>0</v>
      </c>
      <c r="Z4684" s="2" t="s">
        <v>3225</v>
      </c>
      <c r="AA4684" s="2" t="s">
        <v>96</v>
      </c>
      <c r="AB4684" s="2" t="s">
        <v>76</v>
      </c>
      <c r="AC4684" s="2" t="s">
        <v>93</v>
      </c>
      <c r="AK4684" s="2">
        <f t="shared" si="872"/>
        <v>0</v>
      </c>
      <c r="AL4684" s="5">
        <f t="shared" si="873"/>
        <v>0</v>
      </c>
    </row>
    <row r="4685" spans="1:38" x14ac:dyDescent="0.2">
      <c r="A4685" s="2">
        <v>2026</v>
      </c>
      <c r="B4685" s="2">
        <v>8</v>
      </c>
      <c r="C4685" s="2" t="s">
        <v>3531</v>
      </c>
      <c r="D4685" s="2" t="s">
        <v>3552</v>
      </c>
      <c r="E4685" s="2" t="s">
        <v>38</v>
      </c>
      <c r="F4685" s="2" t="s">
        <v>39</v>
      </c>
      <c r="L4685" s="2" t="s">
        <v>293</v>
      </c>
      <c r="M4685" s="2" t="s">
        <v>80</v>
      </c>
      <c r="P4685" s="2" t="s">
        <v>72</v>
      </c>
      <c r="Q4685" s="2" t="s">
        <v>196</v>
      </c>
      <c r="R4685" s="2" t="s">
        <v>197</v>
      </c>
      <c r="S4685" s="13">
        <v>1</v>
      </c>
      <c r="T4685" s="14">
        <v>410</v>
      </c>
      <c r="U4685" s="2">
        <f t="shared" si="874"/>
        <v>94.3</v>
      </c>
      <c r="V4685" s="2">
        <f t="shared" si="875"/>
        <v>504.3</v>
      </c>
      <c r="W4685" s="2">
        <v>206.64</v>
      </c>
      <c r="X4685" s="18">
        <f t="shared" si="867"/>
        <v>0.49600000000000005</v>
      </c>
      <c r="Z4685" s="2" t="s">
        <v>3225</v>
      </c>
      <c r="AA4685" s="2" t="s">
        <v>75</v>
      </c>
      <c r="AB4685" s="2" t="s">
        <v>76</v>
      </c>
      <c r="AC4685" s="2" t="s">
        <v>77</v>
      </c>
      <c r="AK4685" s="2">
        <f t="shared" si="872"/>
        <v>203.36</v>
      </c>
      <c r="AL4685" s="5">
        <f t="shared" si="873"/>
        <v>0.49600000000000005</v>
      </c>
    </row>
    <row r="4686" spans="1:38" x14ac:dyDescent="0.2">
      <c r="A4686" s="2">
        <v>2026</v>
      </c>
      <c r="B4686" s="2">
        <v>8</v>
      </c>
      <c r="C4686" s="2" t="s">
        <v>3531</v>
      </c>
      <c r="D4686" s="2" t="s">
        <v>3552</v>
      </c>
      <c r="E4686" s="2" t="s">
        <v>38</v>
      </c>
      <c r="F4686" s="2" t="s">
        <v>39</v>
      </c>
      <c r="L4686" s="2" t="s">
        <v>293</v>
      </c>
      <c r="M4686" s="2" t="s">
        <v>80</v>
      </c>
      <c r="P4686" s="2" t="s">
        <v>93</v>
      </c>
      <c r="Q4686" s="2" t="s">
        <v>94</v>
      </c>
      <c r="R4686" s="2" t="s">
        <v>95</v>
      </c>
      <c r="S4686" s="13">
        <v>1</v>
      </c>
      <c r="T4686" s="14">
        <v>1.48</v>
      </c>
      <c r="U4686" s="2">
        <f t="shared" si="874"/>
        <v>0.34040000000000004</v>
      </c>
      <c r="V4686" s="2">
        <f t="shared" si="875"/>
        <v>1.8204</v>
      </c>
      <c r="W4686" s="2">
        <v>1.48</v>
      </c>
      <c r="X4686" s="18">
        <f t="shared" si="867"/>
        <v>0</v>
      </c>
      <c r="Z4686" s="2" t="s">
        <v>3225</v>
      </c>
      <c r="AA4686" s="2" t="s">
        <v>96</v>
      </c>
      <c r="AB4686" s="2" t="s">
        <v>76</v>
      </c>
      <c r="AC4686" s="2" t="s">
        <v>93</v>
      </c>
      <c r="AK4686" s="2">
        <f t="shared" si="872"/>
        <v>0</v>
      </c>
      <c r="AL4686" s="5">
        <f t="shared" si="873"/>
        <v>0</v>
      </c>
    </row>
    <row r="4687" spans="1:38" x14ac:dyDescent="0.2">
      <c r="A4687" s="2">
        <v>2026</v>
      </c>
      <c r="B4687" s="2">
        <v>8</v>
      </c>
      <c r="C4687" s="2" t="s">
        <v>3531</v>
      </c>
      <c r="D4687" s="2" t="s">
        <v>3553</v>
      </c>
      <c r="E4687" s="2" t="s">
        <v>108</v>
      </c>
      <c r="F4687" s="2" t="s">
        <v>477</v>
      </c>
      <c r="L4687" s="2" t="s">
        <v>600</v>
      </c>
      <c r="M4687" s="2" t="s">
        <v>80</v>
      </c>
      <c r="P4687" s="2" t="s">
        <v>72</v>
      </c>
      <c r="Q4687" s="2" t="s">
        <v>1448</v>
      </c>
      <c r="R4687" s="2" t="s">
        <v>307</v>
      </c>
      <c r="S4687" s="13">
        <v>1</v>
      </c>
      <c r="T4687" s="14">
        <v>230</v>
      </c>
      <c r="U4687" s="2">
        <f t="shared" si="874"/>
        <v>52.900000000000006</v>
      </c>
      <c r="V4687" s="2">
        <f t="shared" si="875"/>
        <v>282.89999999999998</v>
      </c>
      <c r="W4687" s="2">
        <f>110.628+11.82</f>
        <v>122.44800000000001</v>
      </c>
      <c r="X4687" s="18">
        <f t="shared" si="867"/>
        <v>0.46761739130434782</v>
      </c>
      <c r="Z4687" s="2" t="s">
        <v>3225</v>
      </c>
      <c r="AA4687" s="2" t="s">
        <v>75</v>
      </c>
      <c r="AB4687" s="2" t="s">
        <v>76</v>
      </c>
      <c r="AC4687" s="2" t="s">
        <v>77</v>
      </c>
      <c r="AK4687" s="2">
        <f t="shared" si="872"/>
        <v>107.55199999999999</v>
      </c>
      <c r="AL4687" s="5">
        <f t="shared" si="873"/>
        <v>0.46761739130434782</v>
      </c>
    </row>
    <row r="4688" spans="1:38" x14ac:dyDescent="0.2">
      <c r="A4688" s="2">
        <v>2026</v>
      </c>
      <c r="B4688" s="2">
        <v>8</v>
      </c>
      <c r="C4688" s="2" t="s">
        <v>3531</v>
      </c>
      <c r="D4688" s="2" t="s">
        <v>3553</v>
      </c>
      <c r="E4688" s="2" t="s">
        <v>108</v>
      </c>
      <c r="F4688" s="2" t="s">
        <v>477</v>
      </c>
      <c r="L4688" s="2" t="s">
        <v>600</v>
      </c>
      <c r="M4688" s="2" t="s">
        <v>80</v>
      </c>
      <c r="P4688" s="2" t="s">
        <v>93</v>
      </c>
      <c r="Q4688" s="2" t="s">
        <v>94</v>
      </c>
      <c r="R4688" s="2" t="s">
        <v>95</v>
      </c>
      <c r="S4688" s="13">
        <v>1</v>
      </c>
      <c r="T4688" s="14">
        <v>1.48</v>
      </c>
      <c r="U4688" s="2">
        <f t="shared" si="874"/>
        <v>0.34040000000000004</v>
      </c>
      <c r="V4688" s="2">
        <f t="shared" si="875"/>
        <v>1.8204</v>
      </c>
      <c r="W4688" s="2">
        <v>1.48</v>
      </c>
      <c r="X4688" s="18">
        <f t="shared" si="867"/>
        <v>0</v>
      </c>
      <c r="Z4688" s="2" t="s">
        <v>3225</v>
      </c>
      <c r="AA4688" s="2" t="s">
        <v>96</v>
      </c>
      <c r="AB4688" s="2" t="s">
        <v>76</v>
      </c>
      <c r="AC4688" s="2" t="s">
        <v>93</v>
      </c>
      <c r="AK4688" s="2">
        <f t="shared" si="872"/>
        <v>0</v>
      </c>
      <c r="AL4688" s="5">
        <f t="shared" si="873"/>
        <v>0</v>
      </c>
    </row>
    <row r="4689" spans="1:38" x14ac:dyDescent="0.2">
      <c r="A4689" s="2">
        <v>2026</v>
      </c>
      <c r="B4689" s="2">
        <v>8</v>
      </c>
      <c r="C4689" s="2" t="s">
        <v>3531</v>
      </c>
      <c r="D4689" s="2" t="s">
        <v>1375</v>
      </c>
      <c r="E4689" s="2" t="s">
        <v>183</v>
      </c>
      <c r="F4689" s="2" t="s">
        <v>366</v>
      </c>
      <c r="L4689" s="2" t="s">
        <v>571</v>
      </c>
      <c r="M4689" s="2" t="s">
        <v>80</v>
      </c>
      <c r="P4689" s="2" t="s">
        <v>72</v>
      </c>
      <c r="Q4689" s="2" t="s">
        <v>1122</v>
      </c>
      <c r="R4689" s="2" t="s">
        <v>79</v>
      </c>
      <c r="S4689" s="13">
        <v>1</v>
      </c>
      <c r="T4689" s="14">
        <v>210</v>
      </c>
      <c r="U4689" s="2">
        <f t="shared" si="874"/>
        <v>48.300000000000004</v>
      </c>
      <c r="V4689" s="2">
        <f t="shared" si="875"/>
        <v>258.3</v>
      </c>
      <c r="W4689" s="2">
        <v>113.9</v>
      </c>
      <c r="X4689" s="18">
        <f t="shared" si="867"/>
        <v>0.45761904761904759</v>
      </c>
      <c r="Z4689" s="2" t="s">
        <v>3225</v>
      </c>
      <c r="AA4689" s="2" t="s">
        <v>75</v>
      </c>
      <c r="AB4689" s="2" t="s">
        <v>76</v>
      </c>
      <c r="AC4689" s="2" t="s">
        <v>77</v>
      </c>
      <c r="AK4689" s="2">
        <f t="shared" si="872"/>
        <v>96.1</v>
      </c>
      <c r="AL4689" s="5">
        <f t="shared" si="873"/>
        <v>0.45761904761904759</v>
      </c>
    </row>
    <row r="4690" spans="1:38" x14ac:dyDescent="0.2">
      <c r="A4690" s="2">
        <v>2026</v>
      </c>
      <c r="B4690" s="2">
        <v>8</v>
      </c>
      <c r="C4690" s="2" t="s">
        <v>3531</v>
      </c>
      <c r="D4690" s="2" t="s">
        <v>1375</v>
      </c>
      <c r="E4690" s="2" t="s">
        <v>183</v>
      </c>
      <c r="F4690" s="2" t="s">
        <v>366</v>
      </c>
      <c r="L4690" s="2" t="s">
        <v>571</v>
      </c>
      <c r="M4690" s="2" t="s">
        <v>80</v>
      </c>
      <c r="P4690" s="2" t="s">
        <v>93</v>
      </c>
      <c r="Q4690" s="2" t="s">
        <v>94</v>
      </c>
      <c r="R4690" s="2" t="s">
        <v>95</v>
      </c>
      <c r="S4690" s="13">
        <v>1</v>
      </c>
      <c r="T4690" s="14">
        <v>1.48</v>
      </c>
      <c r="U4690" s="2">
        <f t="shared" si="874"/>
        <v>0.34040000000000004</v>
      </c>
      <c r="V4690" s="2">
        <f t="shared" si="875"/>
        <v>1.8204</v>
      </c>
      <c r="W4690" s="2">
        <v>1.48</v>
      </c>
      <c r="X4690" s="18">
        <f t="shared" si="867"/>
        <v>0</v>
      </c>
      <c r="Z4690" s="2" t="s">
        <v>3225</v>
      </c>
      <c r="AA4690" s="2" t="s">
        <v>96</v>
      </c>
      <c r="AB4690" s="2" t="s">
        <v>76</v>
      </c>
      <c r="AC4690" s="2" t="s">
        <v>93</v>
      </c>
      <c r="AK4690" s="2">
        <f t="shared" si="872"/>
        <v>0</v>
      </c>
      <c r="AL4690" s="5">
        <f t="shared" si="873"/>
        <v>0</v>
      </c>
    </row>
    <row r="4691" spans="1:38" x14ac:dyDescent="0.2">
      <c r="A4691" s="2">
        <v>2026</v>
      </c>
      <c r="B4691" s="2">
        <v>8</v>
      </c>
      <c r="C4691" s="2" t="s">
        <v>3531</v>
      </c>
      <c r="D4691" s="2" t="s">
        <v>1572</v>
      </c>
      <c r="E4691" s="2" t="s">
        <v>752</v>
      </c>
      <c r="F4691" s="2" t="s">
        <v>39</v>
      </c>
      <c r="L4691" s="2" t="s">
        <v>461</v>
      </c>
      <c r="M4691" s="2" t="s">
        <v>109</v>
      </c>
      <c r="P4691" s="2" t="s">
        <v>282</v>
      </c>
      <c r="Q4691" s="2" t="s">
        <v>3541</v>
      </c>
      <c r="R4691" s="2" t="s">
        <v>3542</v>
      </c>
      <c r="S4691" s="13">
        <v>1</v>
      </c>
      <c r="T4691" s="14">
        <v>1171</v>
      </c>
      <c r="U4691" s="2">
        <f t="shared" si="874"/>
        <v>269.33</v>
      </c>
      <c r="V4691" s="2">
        <f t="shared" si="875"/>
        <v>1440.33</v>
      </c>
      <c r="W4691" s="2">
        <f>819.07+25.03</f>
        <v>844.1</v>
      </c>
      <c r="X4691" s="18">
        <f t="shared" si="867"/>
        <v>0.27916310845431253</v>
      </c>
      <c r="Z4691" s="2" t="s">
        <v>104</v>
      </c>
      <c r="AA4691" s="2" t="s">
        <v>578</v>
      </c>
      <c r="AB4691" s="2" t="s">
        <v>119</v>
      </c>
      <c r="AC4691" s="2" t="s">
        <v>1326</v>
      </c>
      <c r="AK4691" s="2">
        <f t="shared" si="872"/>
        <v>326.89999999999998</v>
      </c>
      <c r="AL4691" s="5">
        <f t="shared" si="873"/>
        <v>0.27916310845431253</v>
      </c>
    </row>
    <row r="4692" spans="1:38" x14ac:dyDescent="0.2">
      <c r="A4692" s="2">
        <v>2026</v>
      </c>
      <c r="B4692" s="2">
        <v>8</v>
      </c>
      <c r="C4692" s="2" t="s">
        <v>3531</v>
      </c>
      <c r="D4692" s="2" t="s">
        <v>1572</v>
      </c>
      <c r="E4692" s="2" t="s">
        <v>752</v>
      </c>
      <c r="F4692" s="2" t="s">
        <v>39</v>
      </c>
      <c r="L4692" s="2" t="s">
        <v>461</v>
      </c>
      <c r="M4692" s="2" t="s">
        <v>109</v>
      </c>
      <c r="P4692" s="2" t="s">
        <v>282</v>
      </c>
      <c r="Q4692" s="2" t="s">
        <v>3543</v>
      </c>
      <c r="R4692" s="2" t="s">
        <v>3544</v>
      </c>
      <c r="S4692" s="13">
        <v>1</v>
      </c>
      <c r="T4692" s="14">
        <v>872</v>
      </c>
      <c r="U4692" s="2">
        <f t="shared" si="874"/>
        <v>200.56</v>
      </c>
      <c r="V4692" s="2">
        <f t="shared" si="875"/>
        <v>1072.56</v>
      </c>
      <c r="W4692" s="2">
        <f>610.4+18.64</f>
        <v>629.04</v>
      </c>
      <c r="X4692" s="18">
        <f t="shared" si="867"/>
        <v>0.27862385321100924</v>
      </c>
      <c r="Z4692" s="2" t="s">
        <v>104</v>
      </c>
      <c r="AA4692" s="2" t="s">
        <v>578</v>
      </c>
      <c r="AB4692" s="2" t="s">
        <v>119</v>
      </c>
      <c r="AC4692" s="2" t="s">
        <v>1326</v>
      </c>
      <c r="AK4692" s="2">
        <f t="shared" si="872"/>
        <v>242.96000000000004</v>
      </c>
      <c r="AL4692" s="5">
        <f t="shared" si="873"/>
        <v>0.27862385321100924</v>
      </c>
    </row>
    <row r="4693" spans="1:38" x14ac:dyDescent="0.2">
      <c r="A4693" s="2">
        <v>2026</v>
      </c>
      <c r="B4693" s="2">
        <v>8</v>
      </c>
      <c r="C4693" s="2" t="s">
        <v>3531</v>
      </c>
      <c r="D4693" s="2" t="s">
        <v>1572</v>
      </c>
      <c r="E4693" s="2" t="s">
        <v>752</v>
      </c>
      <c r="F4693" s="2" t="s">
        <v>39</v>
      </c>
      <c r="L4693" s="2" t="s">
        <v>461</v>
      </c>
      <c r="M4693" s="2" t="s">
        <v>109</v>
      </c>
      <c r="P4693" s="2" t="s">
        <v>282</v>
      </c>
      <c r="Q4693" s="2" t="s">
        <v>3545</v>
      </c>
      <c r="R4693" s="2" t="s">
        <v>3546</v>
      </c>
      <c r="S4693" s="13">
        <v>1</v>
      </c>
      <c r="T4693" s="14">
        <v>788</v>
      </c>
      <c r="U4693" s="2">
        <f t="shared" si="874"/>
        <v>181.24</v>
      </c>
      <c r="V4693" s="2">
        <f t="shared" si="875"/>
        <v>969.24</v>
      </c>
      <c r="W4693" s="2">
        <f>551.6+16.84</f>
        <v>568.44000000000005</v>
      </c>
      <c r="X4693" s="18">
        <f t="shared" si="867"/>
        <v>0.27862944162436543</v>
      </c>
      <c r="Z4693" s="2" t="s">
        <v>104</v>
      </c>
      <c r="AA4693" s="2" t="s">
        <v>578</v>
      </c>
      <c r="AB4693" s="2" t="s">
        <v>119</v>
      </c>
      <c r="AC4693" s="2" t="s">
        <v>1326</v>
      </c>
      <c r="AK4693" s="2">
        <f t="shared" si="872"/>
        <v>219.55999999999995</v>
      </c>
      <c r="AL4693" s="5">
        <f t="shared" si="873"/>
        <v>0.27862944162436543</v>
      </c>
    </row>
    <row r="4694" spans="1:38" x14ac:dyDescent="0.2">
      <c r="A4694" s="2">
        <v>2026</v>
      </c>
      <c r="B4694" s="2">
        <v>8</v>
      </c>
      <c r="C4694" s="2" t="s">
        <v>3531</v>
      </c>
      <c r="D4694" s="2" t="s">
        <v>1572</v>
      </c>
      <c r="E4694" s="2" t="s">
        <v>752</v>
      </c>
      <c r="F4694" s="2" t="s">
        <v>39</v>
      </c>
      <c r="L4694" s="2" t="s">
        <v>461</v>
      </c>
      <c r="M4694" s="2" t="s">
        <v>109</v>
      </c>
      <c r="P4694" s="2" t="s">
        <v>282</v>
      </c>
      <c r="Q4694" s="2" t="s">
        <v>3547</v>
      </c>
      <c r="R4694" s="2" t="s">
        <v>3548</v>
      </c>
      <c r="S4694" s="13">
        <v>1</v>
      </c>
      <c r="T4694" s="14">
        <v>2783</v>
      </c>
      <c r="U4694" s="2">
        <f t="shared" si="874"/>
        <v>640.09</v>
      </c>
      <c r="V4694" s="2">
        <f t="shared" si="875"/>
        <v>3423.09</v>
      </c>
      <c r="W4694" s="2">
        <f>1948.1+59.49</f>
        <v>2007.59</v>
      </c>
      <c r="X4694" s="18">
        <f t="shared" si="867"/>
        <v>0.27862378727991377</v>
      </c>
      <c r="Z4694" s="2" t="s">
        <v>104</v>
      </c>
      <c r="AA4694" s="2" t="s">
        <v>578</v>
      </c>
      <c r="AB4694" s="2" t="s">
        <v>119</v>
      </c>
      <c r="AC4694" s="2" t="s">
        <v>1326</v>
      </c>
      <c r="AK4694" s="2">
        <f t="shared" si="872"/>
        <v>775.41000000000008</v>
      </c>
      <c r="AL4694" s="5">
        <f t="shared" si="873"/>
        <v>0.27862378727991377</v>
      </c>
    </row>
    <row r="4695" spans="1:38" x14ac:dyDescent="0.2">
      <c r="A4695" s="2">
        <v>2026</v>
      </c>
      <c r="B4695" s="2">
        <v>8</v>
      </c>
      <c r="C4695" s="2" t="s">
        <v>3531</v>
      </c>
      <c r="D4695" s="2" t="s">
        <v>500</v>
      </c>
      <c r="E4695" s="2" t="s">
        <v>38</v>
      </c>
      <c r="F4695" s="2" t="s">
        <v>39</v>
      </c>
      <c r="G4695" s="2">
        <v>513244468</v>
      </c>
      <c r="H4695" s="2" t="s">
        <v>41</v>
      </c>
      <c r="I4695" s="2" t="s">
        <v>501</v>
      </c>
      <c r="J4695" s="2" t="s">
        <v>502</v>
      </c>
      <c r="K4695" s="2">
        <v>918010109</v>
      </c>
      <c r="L4695" s="2" t="s">
        <v>99</v>
      </c>
      <c r="M4695" s="2" t="s">
        <v>41</v>
      </c>
      <c r="P4695" s="2" t="s">
        <v>282</v>
      </c>
      <c r="Q4695" s="2" t="s">
        <v>3549</v>
      </c>
      <c r="R4695" s="2" t="s">
        <v>3550</v>
      </c>
      <c r="S4695" s="13">
        <v>1</v>
      </c>
      <c r="T4695" s="14">
        <v>1400</v>
      </c>
      <c r="U4695" s="2">
        <f t="shared" si="874"/>
        <v>322</v>
      </c>
      <c r="V4695" s="2">
        <f t="shared" si="875"/>
        <v>1722</v>
      </c>
      <c r="W4695" s="2">
        <v>1400</v>
      </c>
      <c r="X4695" s="18">
        <f t="shared" si="867"/>
        <v>0</v>
      </c>
      <c r="Z4695" s="2" t="s">
        <v>3225</v>
      </c>
      <c r="AA4695" s="2" t="s">
        <v>71</v>
      </c>
      <c r="AB4695" s="2" t="s">
        <v>1599</v>
      </c>
      <c r="AC4695" s="2" t="s">
        <v>1599</v>
      </c>
      <c r="AK4695" s="2">
        <f t="shared" si="872"/>
        <v>0</v>
      </c>
      <c r="AL4695" s="5">
        <f t="shared" si="873"/>
        <v>0</v>
      </c>
    </row>
    <row r="4696" spans="1:38" x14ac:dyDescent="0.2">
      <c r="A4696" s="2">
        <v>2026</v>
      </c>
      <c r="B4696" s="2">
        <v>8</v>
      </c>
      <c r="C4696" s="2" t="s">
        <v>3531</v>
      </c>
      <c r="D4696" s="2" t="s">
        <v>2051</v>
      </c>
      <c r="E4696" s="2" t="s">
        <v>108</v>
      </c>
      <c r="F4696" s="2" t="s">
        <v>39</v>
      </c>
      <c r="L4696" s="2" t="s">
        <v>339</v>
      </c>
      <c r="M4696" s="2" t="s">
        <v>80</v>
      </c>
      <c r="P4696" s="2" t="s">
        <v>72</v>
      </c>
      <c r="Q4696" s="2" t="s">
        <v>1025</v>
      </c>
      <c r="R4696" s="2" t="s">
        <v>197</v>
      </c>
      <c r="S4696" s="13">
        <v>1</v>
      </c>
      <c r="T4696" s="14">
        <v>270</v>
      </c>
      <c r="U4696" s="2">
        <f t="shared" si="874"/>
        <v>62.1</v>
      </c>
      <c r="V4696" s="2">
        <f t="shared" si="875"/>
        <v>332.1</v>
      </c>
      <c r="W4696" s="2">
        <v>152.85</v>
      </c>
      <c r="X4696" s="18">
        <f t="shared" si="867"/>
        <v>0.43388888888888894</v>
      </c>
      <c r="Z4696" s="2" t="s">
        <v>3225</v>
      </c>
      <c r="AA4696" s="2" t="s">
        <v>75</v>
      </c>
      <c r="AB4696" s="2" t="s">
        <v>76</v>
      </c>
      <c r="AC4696" s="2" t="s">
        <v>77</v>
      </c>
      <c r="AK4696" s="2">
        <f t="shared" si="872"/>
        <v>117.15</v>
      </c>
      <c r="AL4696" s="5">
        <f t="shared" si="873"/>
        <v>0.43388888888888894</v>
      </c>
    </row>
    <row r="4697" spans="1:38" x14ac:dyDescent="0.2">
      <c r="A4697" s="2">
        <v>2026</v>
      </c>
      <c r="B4697" s="2">
        <v>8</v>
      </c>
      <c r="C4697" s="2" t="s">
        <v>3531</v>
      </c>
      <c r="D4697" s="2" t="s">
        <v>2051</v>
      </c>
      <c r="E4697" s="2" t="s">
        <v>108</v>
      </c>
      <c r="F4697" s="2" t="s">
        <v>39</v>
      </c>
      <c r="L4697" s="2" t="s">
        <v>339</v>
      </c>
      <c r="M4697" s="2" t="s">
        <v>80</v>
      </c>
      <c r="P4697" s="2" t="s">
        <v>93</v>
      </c>
      <c r="Q4697" s="2" t="s">
        <v>94</v>
      </c>
      <c r="R4697" s="2" t="s">
        <v>95</v>
      </c>
      <c r="S4697" s="13">
        <v>1</v>
      </c>
      <c r="T4697" s="14">
        <v>1.48</v>
      </c>
      <c r="U4697" s="2">
        <f t="shared" si="874"/>
        <v>0.34040000000000004</v>
      </c>
      <c r="V4697" s="2">
        <f t="shared" si="875"/>
        <v>1.8204</v>
      </c>
      <c r="W4697" s="2">
        <v>1.48</v>
      </c>
      <c r="X4697" s="18">
        <f t="shared" si="867"/>
        <v>0</v>
      </c>
      <c r="Z4697" s="2" t="s">
        <v>3225</v>
      </c>
      <c r="AA4697" s="2" t="s">
        <v>96</v>
      </c>
      <c r="AB4697" s="2" t="s">
        <v>76</v>
      </c>
      <c r="AC4697" s="2" t="s">
        <v>93</v>
      </c>
      <c r="AK4697" s="2">
        <f t="shared" si="872"/>
        <v>0</v>
      </c>
      <c r="AL4697" s="5">
        <f t="shared" si="873"/>
        <v>0</v>
      </c>
    </row>
    <row r="4698" spans="1:38" x14ac:dyDescent="0.2">
      <c r="A4698" s="2">
        <v>2026</v>
      </c>
      <c r="B4698" s="2">
        <v>8</v>
      </c>
      <c r="C4698" s="2" t="s">
        <v>3531</v>
      </c>
      <c r="D4698" s="2" t="s">
        <v>2903</v>
      </c>
      <c r="E4698" s="2" t="s">
        <v>38</v>
      </c>
      <c r="F4698" s="2" t="s">
        <v>3442</v>
      </c>
      <c r="L4698" s="2" t="s">
        <v>99</v>
      </c>
      <c r="M4698" s="2" t="s">
        <v>40</v>
      </c>
      <c r="P4698" s="2" t="s">
        <v>187</v>
      </c>
      <c r="Q4698" s="2" t="s">
        <v>191</v>
      </c>
      <c r="R4698" s="2" t="s">
        <v>190</v>
      </c>
      <c r="S4698" s="13">
        <v>1</v>
      </c>
      <c r="T4698" s="14">
        <v>28.4</v>
      </c>
      <c r="U4698" s="2">
        <f t="shared" si="874"/>
        <v>6.532</v>
      </c>
      <c r="V4698" s="2">
        <f t="shared" si="875"/>
        <v>34.932000000000002</v>
      </c>
      <c r="W4698" s="2">
        <f>T4698*50%</f>
        <v>14.2</v>
      </c>
      <c r="X4698" s="18">
        <f t="shared" si="867"/>
        <v>0.5</v>
      </c>
      <c r="Y4698" s="2" t="s">
        <v>3298</v>
      </c>
      <c r="Z4698" s="2" t="s">
        <v>117</v>
      </c>
      <c r="AA4698" s="2" t="s">
        <v>190</v>
      </c>
      <c r="AB4698" s="2" t="s">
        <v>190</v>
      </c>
      <c r="AC4698" s="2" t="s">
        <v>40</v>
      </c>
      <c r="AK4698" s="2">
        <f t="shared" si="872"/>
        <v>14.2</v>
      </c>
      <c r="AL4698" s="5">
        <f t="shared" si="873"/>
        <v>0.5</v>
      </c>
    </row>
    <row r="4699" spans="1:38" x14ac:dyDescent="0.2">
      <c r="A4699" s="2">
        <v>2026</v>
      </c>
      <c r="B4699" s="2">
        <v>8</v>
      </c>
      <c r="C4699" s="2" t="s">
        <v>3531</v>
      </c>
      <c r="D4699" s="2" t="s">
        <v>1417</v>
      </c>
      <c r="E4699" s="2" t="s">
        <v>108</v>
      </c>
      <c r="F4699" s="2" t="s">
        <v>39</v>
      </c>
      <c r="G4699" s="2">
        <v>502696338</v>
      </c>
      <c r="H4699" s="2" t="s">
        <v>40</v>
      </c>
      <c r="I4699" s="2" t="s">
        <v>2410</v>
      </c>
      <c r="J4699" s="2" t="s">
        <v>2411</v>
      </c>
      <c r="L4699" s="2" t="s">
        <v>201</v>
      </c>
      <c r="M4699" s="2" t="s">
        <v>80</v>
      </c>
      <c r="P4699" s="2" t="s">
        <v>72</v>
      </c>
      <c r="Q4699" s="2" t="s">
        <v>202</v>
      </c>
      <c r="R4699" s="2" t="s">
        <v>197</v>
      </c>
      <c r="S4699" s="13">
        <v>1</v>
      </c>
      <c r="T4699" s="14">
        <v>275</v>
      </c>
      <c r="U4699" s="2">
        <f t="shared" si="874"/>
        <v>63.25</v>
      </c>
      <c r="V4699" s="2">
        <f t="shared" si="875"/>
        <v>338.25</v>
      </c>
      <c r="W4699" s="2">
        <v>152.85</v>
      </c>
      <c r="X4699" s="18">
        <f t="shared" si="867"/>
        <v>0.44418181818181818</v>
      </c>
      <c r="Z4699" s="2" t="s">
        <v>3225</v>
      </c>
      <c r="AA4699" s="2" t="s">
        <v>75</v>
      </c>
      <c r="AB4699" s="2" t="s">
        <v>76</v>
      </c>
      <c r="AC4699" s="2" t="s">
        <v>77</v>
      </c>
      <c r="AK4699" s="2">
        <f t="shared" si="872"/>
        <v>122.15</v>
      </c>
      <c r="AL4699" s="5">
        <f t="shared" si="873"/>
        <v>0.44418181818181818</v>
      </c>
    </row>
    <row r="4700" spans="1:38" x14ac:dyDescent="0.2">
      <c r="A4700" s="2">
        <v>2026</v>
      </c>
      <c r="B4700" s="2">
        <v>8</v>
      </c>
      <c r="C4700" s="2" t="s">
        <v>3531</v>
      </c>
      <c r="D4700" s="2" t="s">
        <v>1417</v>
      </c>
      <c r="E4700" s="2" t="s">
        <v>108</v>
      </c>
      <c r="F4700" s="2" t="s">
        <v>39</v>
      </c>
      <c r="G4700" s="2">
        <v>502696338</v>
      </c>
      <c r="H4700" s="2" t="s">
        <v>40</v>
      </c>
      <c r="I4700" s="2" t="s">
        <v>2410</v>
      </c>
      <c r="J4700" s="2" t="s">
        <v>2411</v>
      </c>
      <c r="L4700" s="2" t="s">
        <v>201</v>
      </c>
      <c r="M4700" s="2" t="s">
        <v>80</v>
      </c>
      <c r="P4700" s="2" t="s">
        <v>93</v>
      </c>
      <c r="Q4700" s="2" t="s">
        <v>94</v>
      </c>
      <c r="R4700" s="2" t="s">
        <v>95</v>
      </c>
      <c r="S4700" s="13">
        <v>1</v>
      </c>
      <c r="T4700" s="14">
        <v>1.48</v>
      </c>
      <c r="U4700" s="2">
        <f t="shared" si="874"/>
        <v>0.34040000000000004</v>
      </c>
      <c r="V4700" s="2">
        <f t="shared" si="875"/>
        <v>1.8204</v>
      </c>
      <c r="W4700" s="2">
        <v>1.48</v>
      </c>
      <c r="X4700" s="18">
        <f t="shared" si="867"/>
        <v>0</v>
      </c>
      <c r="Z4700" s="2" t="s">
        <v>3225</v>
      </c>
      <c r="AA4700" s="2" t="s">
        <v>96</v>
      </c>
      <c r="AB4700" s="2" t="s">
        <v>76</v>
      </c>
      <c r="AC4700" s="2" t="s">
        <v>93</v>
      </c>
      <c r="AK4700" s="2">
        <f t="shared" si="872"/>
        <v>0</v>
      </c>
      <c r="AL4700" s="5">
        <f t="shared" si="873"/>
        <v>0</v>
      </c>
    </row>
    <row r="4701" spans="1:38" x14ac:dyDescent="0.2">
      <c r="A4701" s="2">
        <v>2026</v>
      </c>
      <c r="B4701" s="2">
        <v>8</v>
      </c>
      <c r="C4701" s="2" t="s">
        <v>3531</v>
      </c>
      <c r="D4701" s="2" t="s">
        <v>549</v>
      </c>
      <c r="E4701" s="2" t="s">
        <v>108</v>
      </c>
      <c r="F4701" s="2" t="s">
        <v>395</v>
      </c>
      <c r="G4701" s="2">
        <v>503641790</v>
      </c>
      <c r="H4701" s="2" t="s">
        <v>40</v>
      </c>
      <c r="I4701" s="2" t="s">
        <v>550</v>
      </c>
      <c r="J4701" s="2" t="s">
        <v>551</v>
      </c>
      <c r="K4701" s="2">
        <v>917753665</v>
      </c>
      <c r="L4701" s="2" t="s">
        <v>99</v>
      </c>
      <c r="M4701" s="2" t="s">
        <v>80</v>
      </c>
      <c r="P4701" s="2" t="s">
        <v>72</v>
      </c>
      <c r="Q4701" s="2" t="s">
        <v>664</v>
      </c>
      <c r="R4701" s="2" t="s">
        <v>79</v>
      </c>
      <c r="S4701" s="13">
        <v>1</v>
      </c>
      <c r="T4701" s="14">
        <v>210</v>
      </c>
      <c r="U4701" s="2">
        <f t="shared" si="874"/>
        <v>48.300000000000004</v>
      </c>
      <c r="V4701" s="2">
        <f t="shared" si="875"/>
        <v>258.3</v>
      </c>
      <c r="W4701" s="2">
        <f>113.905+11.25</f>
        <v>125.155</v>
      </c>
      <c r="X4701" s="18">
        <f t="shared" si="867"/>
        <v>0.40402380952380951</v>
      </c>
      <c r="Z4701" s="2" t="s">
        <v>3225</v>
      </c>
      <c r="AA4701" s="2" t="s">
        <v>75</v>
      </c>
      <c r="AB4701" s="2" t="s">
        <v>76</v>
      </c>
      <c r="AC4701" s="2" t="s">
        <v>77</v>
      </c>
      <c r="AK4701" s="2">
        <f t="shared" si="872"/>
        <v>84.844999999999999</v>
      </c>
      <c r="AL4701" s="5">
        <f t="shared" si="873"/>
        <v>0.40402380952380951</v>
      </c>
    </row>
    <row r="4702" spans="1:38" x14ac:dyDescent="0.2">
      <c r="A4702" s="2">
        <v>2026</v>
      </c>
      <c r="B4702" s="2">
        <v>8</v>
      </c>
      <c r="C4702" s="2" t="s">
        <v>3531</v>
      </c>
      <c r="D4702" s="2" t="s">
        <v>549</v>
      </c>
      <c r="E4702" s="2" t="s">
        <v>108</v>
      </c>
      <c r="F4702" s="2" t="s">
        <v>395</v>
      </c>
      <c r="G4702" s="2">
        <v>503641790</v>
      </c>
      <c r="H4702" s="2" t="s">
        <v>40</v>
      </c>
      <c r="I4702" s="2" t="s">
        <v>550</v>
      </c>
      <c r="J4702" s="2" t="s">
        <v>551</v>
      </c>
      <c r="K4702" s="2">
        <v>917753665</v>
      </c>
      <c r="L4702" s="2" t="s">
        <v>99</v>
      </c>
      <c r="M4702" s="2" t="s">
        <v>80</v>
      </c>
      <c r="P4702" s="2" t="s">
        <v>72</v>
      </c>
      <c r="Q4702" s="2" t="s">
        <v>202</v>
      </c>
      <c r="R4702" s="2" t="s">
        <v>197</v>
      </c>
      <c r="S4702" s="13">
        <v>1</v>
      </c>
      <c r="T4702" s="14">
        <v>275</v>
      </c>
      <c r="U4702" s="2">
        <f t="shared" si="874"/>
        <v>63.25</v>
      </c>
      <c r="V4702" s="2">
        <f t="shared" si="875"/>
        <v>338.25</v>
      </c>
      <c r="W4702" s="2">
        <v>152.85</v>
      </c>
      <c r="X4702" s="18">
        <f t="shared" si="867"/>
        <v>0.44418181818181818</v>
      </c>
      <c r="Z4702" s="2" t="s">
        <v>3225</v>
      </c>
      <c r="AA4702" s="2" t="s">
        <v>75</v>
      </c>
      <c r="AB4702" s="2" t="s">
        <v>76</v>
      </c>
      <c r="AC4702" s="2" t="s">
        <v>77</v>
      </c>
      <c r="AK4702" s="2">
        <f t="shared" si="872"/>
        <v>122.15</v>
      </c>
      <c r="AL4702" s="5">
        <f t="shared" si="873"/>
        <v>0.44418181818181818</v>
      </c>
    </row>
    <row r="4703" spans="1:38" x14ac:dyDescent="0.2">
      <c r="A4703" s="2">
        <v>2026</v>
      </c>
      <c r="B4703" s="2">
        <v>8</v>
      </c>
      <c r="C4703" s="2" t="s">
        <v>3531</v>
      </c>
      <c r="D4703" s="2" t="s">
        <v>549</v>
      </c>
      <c r="E4703" s="2" t="s">
        <v>108</v>
      </c>
      <c r="F4703" s="2" t="s">
        <v>395</v>
      </c>
      <c r="G4703" s="2">
        <v>503641790</v>
      </c>
      <c r="H4703" s="2" t="s">
        <v>40</v>
      </c>
      <c r="I4703" s="2" t="s">
        <v>550</v>
      </c>
      <c r="J4703" s="2" t="s">
        <v>551</v>
      </c>
      <c r="K4703" s="2">
        <v>917753665</v>
      </c>
      <c r="L4703" s="2" t="s">
        <v>99</v>
      </c>
      <c r="M4703" s="2" t="s">
        <v>80</v>
      </c>
      <c r="P4703" s="2" t="s">
        <v>93</v>
      </c>
      <c r="Q4703" s="2" t="s">
        <v>94</v>
      </c>
      <c r="R4703" s="2" t="s">
        <v>95</v>
      </c>
      <c r="S4703" s="13">
        <v>2</v>
      </c>
      <c r="T4703" s="14">
        <v>2.96</v>
      </c>
      <c r="U4703" s="2">
        <f t="shared" si="874"/>
        <v>0.68080000000000007</v>
      </c>
      <c r="V4703" s="2">
        <f t="shared" si="875"/>
        <v>3.6408</v>
      </c>
      <c r="W4703" s="2">
        <f>1.48*S4703</f>
        <v>2.96</v>
      </c>
      <c r="X4703" s="18">
        <f t="shared" si="867"/>
        <v>0</v>
      </c>
      <c r="Z4703" s="2" t="s">
        <v>3225</v>
      </c>
      <c r="AA4703" s="2" t="s">
        <v>96</v>
      </c>
      <c r="AB4703" s="2" t="s">
        <v>76</v>
      </c>
      <c r="AC4703" s="2" t="s">
        <v>93</v>
      </c>
      <c r="AK4703" s="2">
        <f t="shared" si="872"/>
        <v>0</v>
      </c>
      <c r="AL4703" s="5">
        <f t="shared" si="873"/>
        <v>0</v>
      </c>
    </row>
    <row r="4704" spans="1:38" x14ac:dyDescent="0.2">
      <c r="A4704" s="2">
        <v>2026</v>
      </c>
      <c r="B4704" s="2">
        <v>8</v>
      </c>
      <c r="C4704" s="2" t="s">
        <v>3531</v>
      </c>
      <c r="D4704" s="2" t="s">
        <v>606</v>
      </c>
      <c r="E4704" s="2" t="s">
        <v>108</v>
      </c>
      <c r="F4704" s="2" t="s">
        <v>39</v>
      </c>
      <c r="G4704" s="2">
        <v>504822187</v>
      </c>
      <c r="H4704" s="2" t="s">
        <v>109</v>
      </c>
      <c r="I4704" s="2" t="s">
        <v>607</v>
      </c>
      <c r="J4704" s="2" t="s">
        <v>608</v>
      </c>
      <c r="K4704" s="2">
        <v>966216853</v>
      </c>
      <c r="L4704" s="2" t="s">
        <v>461</v>
      </c>
      <c r="M4704" s="2" t="s">
        <v>41</v>
      </c>
      <c r="P4704" s="2" t="s">
        <v>43</v>
      </c>
      <c r="Q4704" s="2" t="s">
        <v>54</v>
      </c>
      <c r="R4704" s="2" t="s">
        <v>55</v>
      </c>
      <c r="S4704" s="13">
        <v>5</v>
      </c>
      <c r="T4704" s="14">
        <v>80</v>
      </c>
      <c r="U4704" s="2">
        <f t="shared" si="874"/>
        <v>18.400000000000002</v>
      </c>
      <c r="V4704" s="2">
        <f t="shared" si="875"/>
        <v>98.4</v>
      </c>
      <c r="W4704" s="2">
        <f>10.6*S4704</f>
        <v>53</v>
      </c>
      <c r="X4704" s="18">
        <f t="shared" si="867"/>
        <v>0.33750000000000002</v>
      </c>
      <c r="Z4704" s="2" t="s">
        <v>3225</v>
      </c>
      <c r="AA4704" s="2" t="s">
        <v>46</v>
      </c>
      <c r="AB4704" s="2" t="s">
        <v>56</v>
      </c>
      <c r="AC4704" s="2" t="s">
        <v>57</v>
      </c>
      <c r="AK4704" s="2">
        <f t="shared" si="872"/>
        <v>27</v>
      </c>
      <c r="AL4704" s="5">
        <f t="shared" si="873"/>
        <v>0.33750000000000002</v>
      </c>
    </row>
    <row r="4705" spans="1:38" x14ac:dyDescent="0.2">
      <c r="A4705" s="2">
        <v>2026</v>
      </c>
      <c r="B4705" s="2">
        <v>8</v>
      </c>
      <c r="C4705" s="2" t="s">
        <v>3531</v>
      </c>
      <c r="D4705" s="2" t="s">
        <v>606</v>
      </c>
      <c r="E4705" s="2" t="s">
        <v>108</v>
      </c>
      <c r="F4705" s="2" t="s">
        <v>39</v>
      </c>
      <c r="G4705" s="2">
        <v>504822187</v>
      </c>
      <c r="H4705" s="2" t="s">
        <v>109</v>
      </c>
      <c r="I4705" s="2" t="s">
        <v>607</v>
      </c>
      <c r="J4705" s="2" t="s">
        <v>608</v>
      </c>
      <c r="K4705" s="2">
        <v>966216853</v>
      </c>
      <c r="L4705" s="2" t="s">
        <v>461</v>
      </c>
      <c r="M4705" s="2" t="s">
        <v>41</v>
      </c>
      <c r="P4705" s="2" t="s">
        <v>84</v>
      </c>
      <c r="Q4705" s="2" t="s">
        <v>270</v>
      </c>
      <c r="R4705" s="2" t="s">
        <v>271</v>
      </c>
      <c r="S4705" s="13">
        <v>2</v>
      </c>
      <c r="T4705" s="14">
        <v>24</v>
      </c>
      <c r="U4705" s="2">
        <f t="shared" si="874"/>
        <v>5.5200000000000005</v>
      </c>
      <c r="V4705" s="2">
        <f t="shared" si="875"/>
        <v>29.52</v>
      </c>
      <c r="W4705" s="2">
        <f>6.86*S4705</f>
        <v>13.72</v>
      </c>
      <c r="X4705" s="18">
        <f t="shared" si="867"/>
        <v>0.42833333333333329</v>
      </c>
      <c r="Z4705" s="2" t="s">
        <v>3225</v>
      </c>
      <c r="AA4705" s="2" t="s">
        <v>87</v>
      </c>
      <c r="AB4705" s="2" t="s">
        <v>90</v>
      </c>
      <c r="AC4705" s="2" t="s">
        <v>84</v>
      </c>
      <c r="AK4705" s="2">
        <f t="shared" si="872"/>
        <v>10.28</v>
      </c>
      <c r="AL4705" s="5">
        <f t="shared" si="873"/>
        <v>0.42833333333333329</v>
      </c>
    </row>
    <row r="4706" spans="1:38" x14ac:dyDescent="0.2">
      <c r="A4706" s="2">
        <v>2026</v>
      </c>
      <c r="B4706" s="2">
        <v>8</v>
      </c>
      <c r="C4706" s="2" t="s">
        <v>3531</v>
      </c>
      <c r="D4706" s="2" t="s">
        <v>633</v>
      </c>
      <c r="E4706" s="2" t="s">
        <v>183</v>
      </c>
      <c r="F4706" s="2" t="s">
        <v>366</v>
      </c>
      <c r="H4706" s="2" t="s">
        <v>290</v>
      </c>
      <c r="L4706" s="2" t="s">
        <v>339</v>
      </c>
      <c r="M4706" s="2" t="s">
        <v>80</v>
      </c>
      <c r="P4706" s="2" t="s">
        <v>72</v>
      </c>
      <c r="Q4706" s="2" t="s">
        <v>664</v>
      </c>
      <c r="R4706" s="2" t="s">
        <v>79</v>
      </c>
      <c r="S4706" s="13">
        <v>1</v>
      </c>
      <c r="T4706" s="14">
        <v>210</v>
      </c>
      <c r="U4706" s="2">
        <f t="shared" si="874"/>
        <v>48.300000000000004</v>
      </c>
      <c r="V4706" s="2">
        <f t="shared" si="875"/>
        <v>258.3</v>
      </c>
      <c r="W4706" s="2">
        <f>113.905+11.25</f>
        <v>125.155</v>
      </c>
      <c r="X4706" s="18">
        <f t="shared" si="867"/>
        <v>0.40402380952380951</v>
      </c>
      <c r="Z4706" s="2" t="s">
        <v>3225</v>
      </c>
      <c r="AA4706" s="2" t="s">
        <v>75</v>
      </c>
      <c r="AB4706" s="2" t="s">
        <v>76</v>
      </c>
      <c r="AC4706" s="2" t="s">
        <v>77</v>
      </c>
      <c r="AK4706" s="2">
        <f t="shared" si="872"/>
        <v>84.844999999999999</v>
      </c>
      <c r="AL4706" s="5">
        <f t="shared" si="873"/>
        <v>0.40402380952380951</v>
      </c>
    </row>
    <row r="4707" spans="1:38" x14ac:dyDescent="0.2">
      <c r="A4707" s="2">
        <v>2026</v>
      </c>
      <c r="B4707" s="2">
        <v>8</v>
      </c>
      <c r="C4707" s="2" t="s">
        <v>3531</v>
      </c>
      <c r="D4707" s="2" t="s">
        <v>633</v>
      </c>
      <c r="E4707" s="2" t="s">
        <v>183</v>
      </c>
      <c r="F4707" s="2" t="s">
        <v>366</v>
      </c>
      <c r="H4707" s="2" t="s">
        <v>290</v>
      </c>
      <c r="L4707" s="2" t="s">
        <v>339</v>
      </c>
      <c r="M4707" s="2" t="s">
        <v>80</v>
      </c>
      <c r="P4707" s="2" t="s">
        <v>93</v>
      </c>
      <c r="Q4707" s="2" t="s">
        <v>94</v>
      </c>
      <c r="R4707" s="2" t="s">
        <v>95</v>
      </c>
      <c r="S4707" s="13">
        <v>1</v>
      </c>
      <c r="T4707" s="14">
        <v>1.48</v>
      </c>
      <c r="U4707" s="2">
        <f t="shared" si="874"/>
        <v>0.34040000000000004</v>
      </c>
      <c r="V4707" s="2">
        <f t="shared" si="875"/>
        <v>1.8204</v>
      </c>
      <c r="W4707" s="2">
        <v>1.48</v>
      </c>
      <c r="X4707" s="18">
        <f t="shared" si="867"/>
        <v>0</v>
      </c>
      <c r="Z4707" s="2" t="s">
        <v>3225</v>
      </c>
      <c r="AA4707" s="2" t="s">
        <v>96</v>
      </c>
      <c r="AB4707" s="2" t="s">
        <v>76</v>
      </c>
      <c r="AC4707" s="2" t="s">
        <v>93</v>
      </c>
      <c r="AK4707" s="2">
        <f t="shared" ref="AK4707:AK4721" si="876">T4707-W4707</f>
        <v>0</v>
      </c>
      <c r="AL4707" s="5">
        <f t="shared" ref="AL4707:AL4721" si="877">(T4707-W4707)/T4707</f>
        <v>0</v>
      </c>
    </row>
    <row r="4708" spans="1:38" x14ac:dyDescent="0.2">
      <c r="A4708" s="2">
        <v>2026</v>
      </c>
      <c r="B4708" s="2">
        <v>8</v>
      </c>
      <c r="C4708" s="2" t="s">
        <v>3531</v>
      </c>
      <c r="D4708" s="35" t="s">
        <v>3513</v>
      </c>
      <c r="E4708" s="2" t="s">
        <v>38</v>
      </c>
      <c r="F4708" s="2" t="s">
        <v>39</v>
      </c>
      <c r="L4708" s="2" t="s">
        <v>99</v>
      </c>
      <c r="M4708" s="2" t="s">
        <v>80</v>
      </c>
      <c r="P4708" s="2" t="s">
        <v>72</v>
      </c>
      <c r="Q4708" s="2" t="s">
        <v>73</v>
      </c>
      <c r="R4708" s="2" t="s">
        <v>74</v>
      </c>
      <c r="S4708" s="13">
        <v>1</v>
      </c>
      <c r="T4708" s="14">
        <v>230</v>
      </c>
      <c r="U4708" s="2">
        <f>T4708*23%</f>
        <v>52.900000000000006</v>
      </c>
      <c r="V4708" s="2">
        <f t="shared" si="875"/>
        <v>282.89999999999998</v>
      </c>
      <c r="W4708" s="2">
        <v>133.4616</v>
      </c>
      <c r="X4708" s="18">
        <f t="shared" si="867"/>
        <v>0.41973217391304346</v>
      </c>
      <c r="Z4708" s="2" t="s">
        <v>3225</v>
      </c>
      <c r="AA4708" s="2" t="s">
        <v>75</v>
      </c>
      <c r="AB4708" s="2" t="s">
        <v>76</v>
      </c>
      <c r="AC4708" s="2" t="s">
        <v>77</v>
      </c>
      <c r="AK4708" s="2">
        <f t="shared" si="876"/>
        <v>96.538399999999996</v>
      </c>
      <c r="AL4708" s="5">
        <f t="shared" si="877"/>
        <v>0.41973217391304346</v>
      </c>
    </row>
    <row r="4709" spans="1:38" x14ac:dyDescent="0.2">
      <c r="A4709" s="2">
        <v>2026</v>
      </c>
      <c r="B4709" s="2">
        <v>8</v>
      </c>
      <c r="C4709" s="2" t="s">
        <v>3531</v>
      </c>
      <c r="D4709" s="35" t="s">
        <v>3513</v>
      </c>
      <c r="E4709" s="2" t="s">
        <v>38</v>
      </c>
      <c r="F4709" s="2" t="s">
        <v>39</v>
      </c>
      <c r="L4709" s="2" t="s">
        <v>99</v>
      </c>
      <c r="M4709" s="2" t="s">
        <v>80</v>
      </c>
      <c r="P4709" s="2" t="s">
        <v>93</v>
      </c>
      <c r="Q4709" s="2" t="s">
        <v>94</v>
      </c>
      <c r="R4709" s="2" t="s">
        <v>95</v>
      </c>
      <c r="S4709" s="13">
        <v>1</v>
      </c>
      <c r="T4709" s="14">
        <v>1.48</v>
      </c>
      <c r="U4709" s="2">
        <f t="shared" ref="U4709:U4721" si="878">T4709*23%</f>
        <v>0.34040000000000004</v>
      </c>
      <c r="V4709" s="2">
        <f t="shared" ref="V4709:V4721" si="879">T4709+U4709</f>
        <v>1.8204</v>
      </c>
      <c r="W4709" s="2">
        <v>1.48</v>
      </c>
      <c r="X4709" s="18">
        <f t="shared" si="867"/>
        <v>0</v>
      </c>
      <c r="Z4709" s="2" t="s">
        <v>3225</v>
      </c>
      <c r="AA4709" s="2" t="s">
        <v>96</v>
      </c>
      <c r="AB4709" s="2" t="s">
        <v>76</v>
      </c>
      <c r="AC4709" s="2" t="s">
        <v>93</v>
      </c>
      <c r="AK4709" s="2">
        <f t="shared" si="876"/>
        <v>0</v>
      </c>
      <c r="AL4709" s="5">
        <f t="shared" si="877"/>
        <v>0</v>
      </c>
    </row>
    <row r="4710" spans="1:38" x14ac:dyDescent="0.2">
      <c r="A4710" s="2">
        <v>2026</v>
      </c>
      <c r="B4710" s="2">
        <v>8</v>
      </c>
      <c r="C4710" s="2" t="s">
        <v>3531</v>
      </c>
      <c r="D4710" s="2" t="s">
        <v>2122</v>
      </c>
      <c r="E4710" s="2" t="s">
        <v>108</v>
      </c>
      <c r="F4710" s="2" t="s">
        <v>39</v>
      </c>
      <c r="L4710" s="2" t="s">
        <v>461</v>
      </c>
      <c r="M4710" s="2" t="s">
        <v>41</v>
      </c>
      <c r="P4710" s="2" t="s">
        <v>282</v>
      </c>
      <c r="Q4710" s="2" t="s">
        <v>2123</v>
      </c>
      <c r="R4710" s="2" t="s">
        <v>2124</v>
      </c>
      <c r="S4710" s="13">
        <v>-2</v>
      </c>
      <c r="T4710" s="14">
        <v>-239.8</v>
      </c>
      <c r="U4710" s="2">
        <f t="shared" si="878"/>
        <v>-55.154000000000003</v>
      </c>
      <c r="V4710" s="2">
        <f t="shared" si="879"/>
        <v>-294.95400000000001</v>
      </c>
      <c r="W4710" s="2">
        <v>146</v>
      </c>
      <c r="X4710" s="18">
        <f t="shared" si="867"/>
        <v>-0.39115929941618016</v>
      </c>
      <c r="Z4710" s="2" t="s">
        <v>3225</v>
      </c>
      <c r="AA4710" s="2" t="s">
        <v>71</v>
      </c>
      <c r="AB4710" s="2" t="s">
        <v>1599</v>
      </c>
      <c r="AC4710" s="2" t="s">
        <v>1599</v>
      </c>
      <c r="AK4710" s="2">
        <f t="shared" si="876"/>
        <v>-385.8</v>
      </c>
      <c r="AL4710" s="18">
        <f t="shared" ref="AL4710:AL4711" si="880">SIGN(T4710)*((ABS(T4710)-W4710)/ABS(T4710))</f>
        <v>-0.39115929941618016</v>
      </c>
    </row>
    <row r="4711" spans="1:38" x14ac:dyDescent="0.2">
      <c r="A4711" s="2">
        <v>2026</v>
      </c>
      <c r="B4711" s="2">
        <v>8</v>
      </c>
      <c r="C4711" s="2" t="s">
        <v>3531</v>
      </c>
      <c r="D4711" s="2" t="s">
        <v>2122</v>
      </c>
      <c r="E4711" s="2" t="s">
        <v>108</v>
      </c>
      <c r="F4711" s="2" t="s">
        <v>39</v>
      </c>
      <c r="L4711" s="2" t="s">
        <v>461</v>
      </c>
      <c r="M4711" s="2" t="s">
        <v>41</v>
      </c>
      <c r="P4711" s="2" t="s">
        <v>282</v>
      </c>
      <c r="Q4711" s="2" t="s">
        <v>1701</v>
      </c>
      <c r="R4711" s="2" t="s">
        <v>1702</v>
      </c>
      <c r="S4711" s="13">
        <v>-1</v>
      </c>
      <c r="T4711" s="14">
        <v>-759</v>
      </c>
      <c r="U4711" s="2">
        <f t="shared" si="878"/>
        <v>-174.57000000000002</v>
      </c>
      <c r="V4711" s="2">
        <f t="shared" si="879"/>
        <v>-933.57</v>
      </c>
      <c r="W4711" s="2">
        <v>399.2</v>
      </c>
      <c r="X4711" s="18">
        <f t="shared" si="867"/>
        <v>-0.47404479578392622</v>
      </c>
      <c r="Z4711" s="2" t="s">
        <v>3225</v>
      </c>
      <c r="AA4711" s="2" t="s">
        <v>71</v>
      </c>
      <c r="AB4711" s="2" t="s">
        <v>1599</v>
      </c>
      <c r="AC4711" s="2" t="s">
        <v>1599</v>
      </c>
      <c r="AK4711" s="2">
        <f t="shared" si="876"/>
        <v>-1158.2</v>
      </c>
      <c r="AL4711" s="18">
        <f t="shared" si="880"/>
        <v>-0.47404479578392622</v>
      </c>
    </row>
    <row r="4712" spans="1:38" x14ac:dyDescent="0.2">
      <c r="A4712" s="2">
        <v>2026</v>
      </c>
      <c r="B4712" s="2">
        <v>8</v>
      </c>
      <c r="C4712" s="2" t="s">
        <v>3531</v>
      </c>
      <c r="D4712" s="2" t="s">
        <v>781</v>
      </c>
      <c r="E4712" s="2" t="s">
        <v>38</v>
      </c>
      <c r="F4712" s="2" t="s">
        <v>39</v>
      </c>
      <c r="G4712" s="2">
        <v>510219675</v>
      </c>
      <c r="H4712" s="2" t="s">
        <v>40</v>
      </c>
      <c r="I4712" s="2" t="s">
        <v>782</v>
      </c>
      <c r="J4712" s="2" t="s">
        <v>783</v>
      </c>
      <c r="K4712" s="2">
        <v>917341136</v>
      </c>
      <c r="L4712" s="2" t="s">
        <v>99</v>
      </c>
      <c r="M4712" s="2" t="s">
        <v>80</v>
      </c>
      <c r="P4712" s="2" t="s">
        <v>43</v>
      </c>
      <c r="Q4712" s="2" t="s">
        <v>54</v>
      </c>
      <c r="R4712" s="2" t="s">
        <v>55</v>
      </c>
      <c r="S4712" s="13">
        <v>1</v>
      </c>
      <c r="T4712" s="14">
        <v>18</v>
      </c>
      <c r="U4712" s="2">
        <f t="shared" si="878"/>
        <v>4.1400000000000006</v>
      </c>
      <c r="V4712" s="2">
        <f t="shared" si="879"/>
        <v>22.14</v>
      </c>
      <c r="W4712" s="2">
        <v>10.6</v>
      </c>
      <c r="X4712" s="18">
        <f t="shared" si="867"/>
        <v>0.41111111111111115</v>
      </c>
      <c r="Z4712" s="2" t="s">
        <v>3225</v>
      </c>
      <c r="AA4712" s="2" t="s">
        <v>46</v>
      </c>
      <c r="AB4712" s="2" t="s">
        <v>56</v>
      </c>
      <c r="AC4712" s="2" t="s">
        <v>57</v>
      </c>
      <c r="AK4712" s="2">
        <f t="shared" si="876"/>
        <v>7.4</v>
      </c>
      <c r="AL4712" s="5">
        <f t="shared" si="877"/>
        <v>0.41111111111111115</v>
      </c>
    </row>
    <row r="4713" spans="1:38" x14ac:dyDescent="0.2">
      <c r="A4713" s="2">
        <v>2026</v>
      </c>
      <c r="B4713" s="2">
        <v>8</v>
      </c>
      <c r="C4713" s="2" t="s">
        <v>3531</v>
      </c>
      <c r="D4713" s="2" t="s">
        <v>3334</v>
      </c>
      <c r="E4713" s="2" t="s">
        <v>108</v>
      </c>
      <c r="F4713" s="2" t="s">
        <v>39</v>
      </c>
      <c r="L4713" s="2" t="s">
        <v>461</v>
      </c>
      <c r="M4713" s="2" t="s">
        <v>80</v>
      </c>
      <c r="P4713" s="2" t="s">
        <v>72</v>
      </c>
      <c r="Q4713" s="2" t="s">
        <v>73</v>
      </c>
      <c r="R4713" s="2" t="s">
        <v>74</v>
      </c>
      <c r="S4713" s="13">
        <v>1</v>
      </c>
      <c r="T4713" s="14">
        <v>221</v>
      </c>
      <c r="U4713" s="2">
        <f t="shared" si="878"/>
        <v>50.830000000000005</v>
      </c>
      <c r="V4713" s="2">
        <f t="shared" si="879"/>
        <v>271.83</v>
      </c>
      <c r="W4713" s="2">
        <v>133.4616</v>
      </c>
      <c r="X4713" s="18">
        <f t="shared" si="867"/>
        <v>0.39610135746606334</v>
      </c>
      <c r="Z4713" s="2" t="s">
        <v>3225</v>
      </c>
      <c r="AA4713" s="2" t="s">
        <v>75</v>
      </c>
      <c r="AB4713" s="2" t="s">
        <v>76</v>
      </c>
      <c r="AC4713" s="2" t="s">
        <v>77</v>
      </c>
      <c r="AK4713" s="2">
        <f t="shared" si="876"/>
        <v>87.538399999999996</v>
      </c>
      <c r="AL4713" s="5">
        <f t="shared" si="877"/>
        <v>0.39610135746606334</v>
      </c>
    </row>
    <row r="4714" spans="1:38" x14ac:dyDescent="0.2">
      <c r="A4714" s="2">
        <v>2026</v>
      </c>
      <c r="B4714" s="2">
        <v>8</v>
      </c>
      <c r="C4714" s="2" t="s">
        <v>3531</v>
      </c>
      <c r="D4714" s="2" t="s">
        <v>3334</v>
      </c>
      <c r="E4714" s="2" t="s">
        <v>108</v>
      </c>
      <c r="F4714" s="2" t="s">
        <v>39</v>
      </c>
      <c r="L4714" s="2" t="s">
        <v>461</v>
      </c>
      <c r="M4714" s="2" t="s">
        <v>80</v>
      </c>
      <c r="P4714" s="2" t="s">
        <v>93</v>
      </c>
      <c r="Q4714" s="2" t="s">
        <v>94</v>
      </c>
      <c r="R4714" s="2" t="s">
        <v>95</v>
      </c>
      <c r="S4714" s="13">
        <v>1</v>
      </c>
      <c r="T4714" s="14">
        <v>1.48</v>
      </c>
      <c r="U4714" s="2">
        <f t="shared" si="878"/>
        <v>0.34040000000000004</v>
      </c>
      <c r="V4714" s="2">
        <f t="shared" si="879"/>
        <v>1.8204</v>
      </c>
      <c r="W4714" s="2">
        <v>1.48</v>
      </c>
      <c r="X4714" s="18">
        <f t="shared" si="867"/>
        <v>0</v>
      </c>
      <c r="Z4714" s="2" t="s">
        <v>3225</v>
      </c>
      <c r="AA4714" s="2" t="s">
        <v>96</v>
      </c>
      <c r="AB4714" s="2" t="s">
        <v>76</v>
      </c>
      <c r="AC4714" s="2" t="s">
        <v>93</v>
      </c>
      <c r="AK4714" s="2">
        <f t="shared" si="876"/>
        <v>0</v>
      </c>
      <c r="AL4714" s="5">
        <f t="shared" si="877"/>
        <v>0</v>
      </c>
    </row>
    <row r="4715" spans="1:38" x14ac:dyDescent="0.2">
      <c r="A4715" s="2">
        <v>2026</v>
      </c>
      <c r="B4715" s="2">
        <v>8</v>
      </c>
      <c r="C4715" s="2" t="s">
        <v>3531</v>
      </c>
      <c r="D4715" s="2" t="s">
        <v>3556</v>
      </c>
      <c r="E4715" s="2" t="s">
        <v>108</v>
      </c>
      <c r="F4715" s="2" t="s">
        <v>39</v>
      </c>
      <c r="L4715" s="2" t="s">
        <v>461</v>
      </c>
      <c r="M4715" s="2" t="s">
        <v>109</v>
      </c>
      <c r="P4715" s="2" t="s">
        <v>40</v>
      </c>
      <c r="Q4715" s="2" t="s">
        <v>3554</v>
      </c>
      <c r="R4715" s="2" t="s">
        <v>3555</v>
      </c>
      <c r="S4715" s="13">
        <v>1</v>
      </c>
      <c r="T4715" s="14">
        <v>3500</v>
      </c>
      <c r="U4715" s="2">
        <f t="shared" si="878"/>
        <v>805</v>
      </c>
      <c r="V4715" s="2">
        <f t="shared" si="879"/>
        <v>4305</v>
      </c>
      <c r="W4715" s="2">
        <f>T4715*70%</f>
        <v>2450</v>
      </c>
      <c r="X4715" s="18">
        <f t="shared" si="867"/>
        <v>0.3</v>
      </c>
      <c r="Z4715" s="2" t="s">
        <v>104</v>
      </c>
      <c r="AA4715" s="2" t="s">
        <v>150</v>
      </c>
      <c r="AB4715" s="2" t="s">
        <v>475</v>
      </c>
      <c r="AC4715" s="2" t="s">
        <v>119</v>
      </c>
      <c r="AK4715" s="2">
        <f t="shared" si="876"/>
        <v>1050</v>
      </c>
      <c r="AL4715" s="5">
        <f t="shared" si="877"/>
        <v>0.3</v>
      </c>
    </row>
    <row r="4716" spans="1:38" x14ac:dyDescent="0.2">
      <c r="A4716" s="2">
        <v>2026</v>
      </c>
      <c r="B4716" s="2">
        <v>8</v>
      </c>
      <c r="C4716" s="2" t="s">
        <v>3531</v>
      </c>
      <c r="D4716" s="2" t="s">
        <v>3556</v>
      </c>
      <c r="E4716" s="2" t="s">
        <v>108</v>
      </c>
      <c r="F4716" s="2" t="s">
        <v>39</v>
      </c>
      <c r="L4716" s="2" t="s">
        <v>461</v>
      </c>
      <c r="M4716" s="2" t="s">
        <v>109</v>
      </c>
      <c r="P4716" s="2" t="s">
        <v>169</v>
      </c>
      <c r="Q4716" s="2" t="s">
        <v>170</v>
      </c>
      <c r="R4716" s="2" t="s">
        <v>170</v>
      </c>
      <c r="S4716" s="13">
        <v>1</v>
      </c>
      <c r="T4716" s="14">
        <v>200</v>
      </c>
      <c r="U4716" s="2">
        <f t="shared" si="878"/>
        <v>46</v>
      </c>
      <c r="V4716" s="2">
        <f t="shared" si="879"/>
        <v>246</v>
      </c>
      <c r="X4716" s="18">
        <f t="shared" si="867"/>
        <v>1</v>
      </c>
      <c r="Z4716" s="2" t="s">
        <v>169</v>
      </c>
      <c r="AA4716" s="2" t="s">
        <v>169</v>
      </c>
      <c r="AK4716" s="2">
        <f t="shared" si="876"/>
        <v>200</v>
      </c>
      <c r="AL4716" s="5">
        <f t="shared" si="877"/>
        <v>1</v>
      </c>
    </row>
    <row r="4717" spans="1:38" x14ac:dyDescent="0.2">
      <c r="A4717" s="2">
        <v>2026</v>
      </c>
      <c r="B4717" s="2">
        <v>8</v>
      </c>
      <c r="C4717" s="2" t="s">
        <v>3531</v>
      </c>
      <c r="D4717" s="2" t="s">
        <v>2903</v>
      </c>
      <c r="E4717" s="2" t="s">
        <v>38</v>
      </c>
      <c r="F4717" s="2" t="s">
        <v>3442</v>
      </c>
      <c r="L4717" s="2" t="s">
        <v>99</v>
      </c>
      <c r="M4717" s="2" t="s">
        <v>80</v>
      </c>
      <c r="P4717" s="2" t="s">
        <v>43</v>
      </c>
      <c r="Q4717" s="2" t="s">
        <v>52</v>
      </c>
      <c r="R4717" s="2" t="s">
        <v>53</v>
      </c>
      <c r="S4717" s="13">
        <v>1</v>
      </c>
      <c r="T4717" s="14">
        <v>10.8</v>
      </c>
      <c r="U4717" s="2">
        <f t="shared" si="878"/>
        <v>2.4840000000000004</v>
      </c>
      <c r="V4717" s="2">
        <f t="shared" si="879"/>
        <v>13.284000000000001</v>
      </c>
      <c r="W4717" s="2">
        <f>5.2973*S4717</f>
        <v>5.2972999999999999</v>
      </c>
      <c r="X4717" s="18">
        <f t="shared" si="867"/>
        <v>0.50950925925925927</v>
      </c>
      <c r="Z4717" s="2" t="s">
        <v>3225</v>
      </c>
      <c r="AA4717" s="2" t="s">
        <v>46</v>
      </c>
      <c r="AB4717" s="2" t="s">
        <v>47</v>
      </c>
      <c r="AC4717" s="2" t="s">
        <v>57</v>
      </c>
      <c r="AK4717" s="2">
        <f t="shared" si="876"/>
        <v>5.5027000000000008</v>
      </c>
      <c r="AL4717" s="5">
        <f t="shared" si="877"/>
        <v>0.50950925925925927</v>
      </c>
    </row>
    <row r="4718" spans="1:38" x14ac:dyDescent="0.2">
      <c r="A4718" s="2">
        <v>2026</v>
      </c>
      <c r="B4718" s="2">
        <v>8</v>
      </c>
      <c r="C4718" s="2" t="s">
        <v>3531</v>
      </c>
      <c r="D4718" s="2" t="s">
        <v>2903</v>
      </c>
      <c r="E4718" s="2" t="s">
        <v>38</v>
      </c>
      <c r="F4718" s="2" t="s">
        <v>3442</v>
      </c>
      <c r="L4718" s="2" t="s">
        <v>99</v>
      </c>
      <c r="M4718" s="2" t="s">
        <v>40</v>
      </c>
      <c r="P4718" s="2" t="s">
        <v>2345</v>
      </c>
      <c r="Q4718" s="2" t="s">
        <v>54</v>
      </c>
      <c r="R4718" s="2" t="s">
        <v>55</v>
      </c>
      <c r="S4718" s="13">
        <v>1</v>
      </c>
      <c r="T4718" s="14">
        <v>14</v>
      </c>
      <c r="U4718" s="2">
        <f t="shared" si="878"/>
        <v>3.22</v>
      </c>
      <c r="V4718" s="2">
        <f t="shared" si="879"/>
        <v>17.22</v>
      </c>
      <c r="W4718" s="2">
        <v>10.6</v>
      </c>
      <c r="X4718" s="18">
        <f t="shared" si="867"/>
        <v>0.24285714285714288</v>
      </c>
      <c r="Z4718" s="2" t="s">
        <v>3225</v>
      </c>
      <c r="AA4718" s="2" t="s">
        <v>46</v>
      </c>
      <c r="AB4718" s="2" t="s">
        <v>56</v>
      </c>
      <c r="AC4718" s="2" t="s">
        <v>57</v>
      </c>
      <c r="AK4718" s="2">
        <f t="shared" si="876"/>
        <v>3.4000000000000004</v>
      </c>
      <c r="AL4718" s="5">
        <f t="shared" si="877"/>
        <v>0.24285714285714288</v>
      </c>
    </row>
    <row r="4719" spans="1:38" x14ac:dyDescent="0.2">
      <c r="A4719" s="2">
        <v>2026</v>
      </c>
      <c r="B4719" s="2">
        <v>8</v>
      </c>
      <c r="C4719" s="2" t="s">
        <v>3531</v>
      </c>
      <c r="D4719" s="2" t="s">
        <v>2903</v>
      </c>
      <c r="E4719" s="2" t="s">
        <v>38</v>
      </c>
      <c r="F4719" s="2" t="s">
        <v>3442</v>
      </c>
      <c r="L4719" s="2" t="s">
        <v>99</v>
      </c>
      <c r="M4719" s="2" t="s">
        <v>80</v>
      </c>
      <c r="P4719" s="2" t="s">
        <v>84</v>
      </c>
      <c r="Q4719" s="2" t="s">
        <v>270</v>
      </c>
      <c r="R4719" s="2" t="s">
        <v>271</v>
      </c>
      <c r="S4719" s="13">
        <v>1</v>
      </c>
      <c r="T4719" s="14">
        <v>12</v>
      </c>
      <c r="U4719" s="2">
        <f t="shared" si="878"/>
        <v>2.7600000000000002</v>
      </c>
      <c r="V4719" s="2">
        <f t="shared" si="879"/>
        <v>14.76</v>
      </c>
      <c r="W4719" s="2">
        <v>6.86</v>
      </c>
      <c r="X4719" s="18">
        <f t="shared" ref="X4719:X4721" si="881">SIGN(T4719)*((ABS(T4719)-W4719)/ABS(T4719))</f>
        <v>0.42833333333333329</v>
      </c>
      <c r="Z4719" s="2" t="s">
        <v>3225</v>
      </c>
      <c r="AA4719" s="2" t="s">
        <v>87</v>
      </c>
      <c r="AB4719" s="2" t="s">
        <v>90</v>
      </c>
      <c r="AC4719" s="2" t="s">
        <v>84</v>
      </c>
      <c r="AK4719" s="2">
        <f t="shared" si="876"/>
        <v>5.14</v>
      </c>
      <c r="AL4719" s="5">
        <f t="shared" si="877"/>
        <v>0.42833333333333329</v>
      </c>
    </row>
    <row r="4720" spans="1:38" x14ac:dyDescent="0.2">
      <c r="A4720" s="2">
        <v>2026</v>
      </c>
      <c r="B4720" s="2">
        <v>8</v>
      </c>
      <c r="C4720" s="2" t="s">
        <v>3531</v>
      </c>
      <c r="D4720" s="2" t="s">
        <v>2903</v>
      </c>
      <c r="E4720" s="2" t="s">
        <v>38</v>
      </c>
      <c r="F4720" s="2" t="s">
        <v>3442</v>
      </c>
      <c r="L4720" s="2" t="s">
        <v>99</v>
      </c>
      <c r="M4720" s="2" t="s">
        <v>80</v>
      </c>
      <c r="P4720" s="2" t="s">
        <v>84</v>
      </c>
      <c r="Q4720" s="2" t="s">
        <v>88</v>
      </c>
      <c r="R4720" s="2" t="s">
        <v>89</v>
      </c>
      <c r="S4720" s="13">
        <v>1</v>
      </c>
      <c r="T4720" s="14">
        <v>7.2</v>
      </c>
      <c r="U4720" s="2">
        <f t="shared" si="878"/>
        <v>1.6560000000000001</v>
      </c>
      <c r="V4720" s="2">
        <f t="shared" si="879"/>
        <v>8.8559999999999999</v>
      </c>
      <c r="W4720" s="2">
        <v>3.5966999999999998</v>
      </c>
      <c r="X4720" s="18">
        <f t="shared" si="881"/>
        <v>0.50045833333333334</v>
      </c>
      <c r="Z4720" s="2" t="s">
        <v>3225</v>
      </c>
      <c r="AA4720" s="2" t="s">
        <v>87</v>
      </c>
      <c r="AB4720" s="2" t="s">
        <v>90</v>
      </c>
      <c r="AC4720" s="2" t="s">
        <v>84</v>
      </c>
      <c r="AK4720" s="2">
        <f t="shared" si="876"/>
        <v>3.6033000000000004</v>
      </c>
      <c r="AL4720" s="5">
        <f t="shared" si="877"/>
        <v>0.50045833333333334</v>
      </c>
    </row>
    <row r="4721" spans="1:38" x14ac:dyDescent="0.2">
      <c r="A4721" s="2">
        <v>2026</v>
      </c>
      <c r="B4721" s="2">
        <v>8</v>
      </c>
      <c r="C4721" s="2" t="s">
        <v>3531</v>
      </c>
      <c r="D4721" s="2" t="s">
        <v>2903</v>
      </c>
      <c r="E4721" s="2" t="s">
        <v>38</v>
      </c>
      <c r="F4721" s="2" t="s">
        <v>3442</v>
      </c>
      <c r="L4721" s="2" t="s">
        <v>99</v>
      </c>
      <c r="M4721" s="2" t="s">
        <v>80</v>
      </c>
      <c r="P4721" s="2" t="s">
        <v>84</v>
      </c>
      <c r="Q4721" s="2" t="s">
        <v>3040</v>
      </c>
      <c r="R4721" s="2" t="s">
        <v>3041</v>
      </c>
      <c r="S4721" s="13">
        <v>1</v>
      </c>
      <c r="T4721" s="14">
        <v>2.7</v>
      </c>
      <c r="U4721" s="2">
        <f t="shared" si="878"/>
        <v>0.62100000000000011</v>
      </c>
      <c r="V4721" s="2">
        <f t="shared" si="879"/>
        <v>3.3210000000000002</v>
      </c>
      <c r="W4721" s="2">
        <v>1.67</v>
      </c>
      <c r="X4721" s="18">
        <f t="shared" si="881"/>
        <v>0.38148148148148153</v>
      </c>
      <c r="Z4721" s="2" t="s">
        <v>3225</v>
      </c>
      <c r="AA4721" s="2" t="s">
        <v>3376</v>
      </c>
      <c r="AB4721" s="2" t="s">
        <v>90</v>
      </c>
      <c r="AC4721" s="2" t="s">
        <v>84</v>
      </c>
      <c r="AK4721" s="2">
        <f t="shared" si="876"/>
        <v>1.0300000000000002</v>
      </c>
      <c r="AL4721" s="5">
        <f t="shared" si="877"/>
        <v>0.38148148148148153</v>
      </c>
    </row>
  </sheetData>
  <autoFilter ref="A1:AL4721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2026-08-15T08:31:58Z</dcterms:modified>
</cp:coreProperties>
</file>