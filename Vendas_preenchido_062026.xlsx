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E4E4D90F-0973-4C9E-B3AA-7AB2DD93C4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443" i="1" l="1"/>
  <c r="AK4443" i="1" s="1"/>
  <c r="W4442" i="1"/>
  <c r="AL4442" i="1" s="1"/>
  <c r="W4440" i="1"/>
  <c r="X4440" i="1" s="1"/>
  <c r="W4439" i="1"/>
  <c r="AK4439" i="1" s="1"/>
  <c r="AK4436" i="1"/>
  <c r="AL4436" i="1"/>
  <c r="AK4437" i="1"/>
  <c r="AL4437" i="1"/>
  <c r="AK4438" i="1"/>
  <c r="AL4438" i="1"/>
  <c r="AL4439" i="1"/>
  <c r="AK4441" i="1"/>
  <c r="AL4441" i="1"/>
  <c r="AK4444" i="1"/>
  <c r="AL4444" i="1"/>
  <c r="AK4445" i="1"/>
  <c r="AL4445" i="1"/>
  <c r="W4435" i="1"/>
  <c r="X4435" i="1" s="1"/>
  <c r="X4436" i="1"/>
  <c r="X4437" i="1"/>
  <c r="X4438" i="1"/>
  <c r="X4441" i="1"/>
  <c r="X4444" i="1"/>
  <c r="X4445" i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43" i="1"/>
  <c r="V4443" i="1" s="1"/>
  <c r="U4444" i="1"/>
  <c r="V4444" i="1" s="1"/>
  <c r="U4445" i="1"/>
  <c r="V4445" i="1" s="1"/>
  <c r="U4435" i="1"/>
  <c r="V4435" i="1" s="1"/>
  <c r="W4190" i="1"/>
  <c r="AL4190" i="1" s="1"/>
  <c r="W4093" i="1"/>
  <c r="AL4093" i="1" s="1"/>
  <c r="W3872" i="1"/>
  <c r="X3872" i="1" s="1"/>
  <c r="W3398" i="1"/>
  <c r="AL3398" i="1" s="1"/>
  <c r="W951" i="1"/>
  <c r="X951" i="1" s="1"/>
  <c r="W87" i="1"/>
  <c r="X87" i="1" s="1"/>
  <c r="W4086" i="1"/>
  <c r="AL4086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11" i="1"/>
  <c r="AL4411" i="1" s="1"/>
  <c r="W4378" i="1"/>
  <c r="AL4378" i="1" s="1"/>
  <c r="AL4233" i="1"/>
  <c r="AK4233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4" i="1"/>
  <c r="AL4254" i="1" s="1"/>
  <c r="W4157" i="1"/>
  <c r="AL4157" i="1" s="1"/>
  <c r="W4084" i="1"/>
  <c r="AL4084" i="1" s="1"/>
  <c r="W1429" i="1"/>
  <c r="W67" i="1"/>
  <c r="W2332" i="1"/>
  <c r="W776" i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80" i="1"/>
  <c r="AL4380" i="1" s="1"/>
  <c r="W4284" i="1"/>
  <c r="AK4284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9" i="1"/>
  <c r="X4409" i="1" s="1"/>
  <c r="W4376" i="1"/>
  <c r="X4376" i="1" s="1"/>
  <c r="W4283" i="1"/>
  <c r="X4283" i="1" s="1"/>
  <c r="W3308" i="1"/>
  <c r="X3308" i="1" s="1"/>
  <c r="W2716" i="1"/>
  <c r="AL2716" i="1" s="1"/>
  <c r="W830" i="1"/>
  <c r="AL830" i="1" s="1"/>
  <c r="W474" i="1"/>
  <c r="AL474" i="1" s="1"/>
  <c r="W4429" i="1"/>
  <c r="AK4429" i="1" s="1"/>
  <c r="W4282" i="1"/>
  <c r="X4282" i="1" s="1"/>
  <c r="W4083" i="1"/>
  <c r="AL4083" i="1" s="1"/>
  <c r="W4156" i="1"/>
  <c r="AL4156" i="1" s="1"/>
  <c r="W4141" i="1"/>
  <c r="AL4141" i="1" s="1"/>
  <c r="W4082" i="1"/>
  <c r="AL4082" i="1" s="1"/>
  <c r="W3641" i="1"/>
  <c r="X3641" i="1" s="1"/>
  <c r="W4081" i="1"/>
  <c r="AL4081" i="1" s="1"/>
  <c r="W3929" i="1"/>
  <c r="AL3929" i="1" s="1"/>
  <c r="W1506" i="1"/>
  <c r="AK1506" i="1" s="1"/>
  <c r="W1505" i="1"/>
  <c r="AK1505" i="1" s="1"/>
  <c r="W1504" i="1"/>
  <c r="W1502" i="1"/>
  <c r="X4246" i="1"/>
  <c r="X4247" i="1"/>
  <c r="X4250" i="1"/>
  <c r="U4247" i="1"/>
  <c r="V4247" i="1" s="1"/>
  <c r="U4246" i="1"/>
  <c r="V4246" i="1" s="1"/>
  <c r="W4242" i="1"/>
  <c r="X4242" i="1" s="1"/>
  <c r="W4241" i="1"/>
  <c r="U4250" i="1"/>
  <c r="V4250" i="1" s="1"/>
  <c r="W4263" i="1"/>
  <c r="X4263" i="1" s="1"/>
  <c r="W4262" i="1"/>
  <c r="X4262" i="1" s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AL4218" i="1" s="1"/>
  <c r="W4217" i="1"/>
  <c r="AK4217" i="1" s="1"/>
  <c r="W4216" i="1"/>
  <c r="X4216" i="1" s="1"/>
  <c r="W4215" i="1"/>
  <c r="X4215" i="1" s="1"/>
  <c r="W4214" i="1"/>
  <c r="AL4214" i="1" s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6" i="1"/>
  <c r="AL4316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4" i="1"/>
  <c r="AL4144" i="1" s="1"/>
  <c r="W3481" i="1"/>
  <c r="AL3481" i="1" s="1"/>
  <c r="W4251" i="1"/>
  <c r="W2271" i="1"/>
  <c r="W4338" i="1"/>
  <c r="AL4338" i="1" s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20" i="1"/>
  <c r="AL4420" i="1" s="1"/>
  <c r="W4309" i="1"/>
  <c r="X4309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4" i="1"/>
  <c r="X4213" i="1"/>
  <c r="X4212" i="1"/>
  <c r="AL4220" i="1"/>
  <c r="AK4220" i="1"/>
  <c r="AL4215" i="1"/>
  <c r="AK4215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AL930" i="1" s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5" i="1"/>
  <c r="AK4085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AL4422" i="1" s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5" i="1"/>
  <c r="AL4335" i="1"/>
  <c r="AK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7" i="1"/>
  <c r="AL4377" i="1"/>
  <c r="AK4379" i="1"/>
  <c r="AL4379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15" i="1"/>
  <c r="AL4415" i="1"/>
  <c r="AK4417" i="1"/>
  <c r="AL4417" i="1"/>
  <c r="AK4418" i="1"/>
  <c r="AK4421" i="1"/>
  <c r="AL4421" i="1"/>
  <c r="AK4422" i="1"/>
  <c r="AK4424" i="1"/>
  <c r="AL4424" i="1"/>
  <c r="AK4427" i="1"/>
  <c r="AL4427" i="1"/>
  <c r="AK4428" i="1"/>
  <c r="AL4428" i="1"/>
  <c r="X4241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7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21" i="1"/>
  <c r="X4423" i="1"/>
  <c r="X4424" i="1"/>
  <c r="X4427" i="1"/>
  <c r="X4428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AL317" i="1" s="1"/>
  <c r="W318" i="1"/>
  <c r="AL318" i="1" s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L457" i="1" s="1"/>
  <c r="AK455" i="1"/>
  <c r="W459" i="1"/>
  <c r="AK4273" i="1"/>
  <c r="AL4273" i="1"/>
  <c r="AK4281" i="1"/>
  <c r="AL4281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U4157" i="1"/>
  <c r="V4157" i="1" s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J4144" i="1"/>
  <c r="AF4144" i="1" s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U4086" i="1"/>
  <c r="V4086" i="1" s="1"/>
  <c r="X4085" i="1"/>
  <c r="U4085" i="1"/>
  <c r="V4085" i="1" s="1"/>
  <c r="U4084" i="1"/>
  <c r="V4084" i="1" s="1"/>
  <c r="U4083" i="1"/>
  <c r="V4083" i="1" s="1"/>
  <c r="U4082" i="1"/>
  <c r="V4082" i="1" s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X3387" i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J2331" i="1"/>
  <c r="AF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J2290" i="1"/>
  <c r="AF2290" i="1" s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AL1971" i="1"/>
  <c r="AK1971" i="1"/>
  <c r="AJ1971" i="1"/>
  <c r="AF1971" i="1" s="1"/>
  <c r="AK1970" i="1"/>
  <c r="AJ1970" i="1"/>
  <c r="AF1970" i="1" s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K1829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J1506" i="1"/>
  <c r="AF1506" i="1" s="1"/>
  <c r="AJ1505" i="1"/>
  <c r="AF1505" i="1" s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X318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L87" i="1"/>
  <c r="AK87" i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086" i="1" l="1"/>
  <c r="AL4443" i="1"/>
  <c r="X4443" i="1"/>
  <c r="X4442" i="1"/>
  <c r="AK4442" i="1"/>
  <c r="AK939" i="1"/>
  <c r="X4439" i="1"/>
  <c r="AL4440" i="1"/>
  <c r="AK4440" i="1"/>
  <c r="X3398" i="1"/>
  <c r="AK3398" i="1"/>
  <c r="AL939" i="1"/>
  <c r="AK3771" i="1"/>
  <c r="AK951" i="1"/>
  <c r="AL951" i="1"/>
  <c r="X4190" i="1"/>
  <c r="AK3385" i="1"/>
  <c r="X4093" i="1"/>
  <c r="AK4093" i="1"/>
  <c r="AL4435" i="1"/>
  <c r="AK3872" i="1"/>
  <c r="AL3872" i="1"/>
  <c r="X3705" i="1"/>
  <c r="AK4435" i="1"/>
  <c r="AL4309" i="1"/>
  <c r="AK2494" i="1"/>
  <c r="AK4309" i="1"/>
  <c r="X3481" i="1"/>
  <c r="X795" i="1"/>
  <c r="X1829" i="1"/>
  <c r="X1924" i="1"/>
  <c r="X1970" i="1"/>
  <c r="X2646" i="1"/>
  <c r="X4422" i="1"/>
  <c r="X4338" i="1"/>
  <c r="AK4420" i="1"/>
  <c r="AL4334" i="1"/>
  <c r="AK4277" i="1"/>
  <c r="X4217" i="1"/>
  <c r="X1776" i="1"/>
  <c r="AK4334" i="1"/>
  <c r="AK795" i="1"/>
  <c r="X1505" i="1"/>
  <c r="AK1870" i="1"/>
  <c r="AL2646" i="1"/>
  <c r="AK2187" i="1"/>
  <c r="X3464" i="1"/>
  <c r="AK3851" i="1"/>
  <c r="X4144" i="1"/>
  <c r="AL4217" i="1"/>
  <c r="AK2981" i="1"/>
  <c r="AK3463" i="1"/>
  <c r="AK318" i="1"/>
  <c r="AL2981" i="1"/>
  <c r="AK4216" i="1"/>
  <c r="AL412" i="1"/>
  <c r="AK692" i="1"/>
  <c r="X930" i="1"/>
  <c r="AL1505" i="1"/>
  <c r="AL2187" i="1"/>
  <c r="AK4218" i="1"/>
  <c r="X692" i="1"/>
  <c r="X1506" i="1"/>
  <c r="AK1827" i="1"/>
  <c r="AL2076" i="1"/>
  <c r="AK4144" i="1"/>
  <c r="AK4278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6" i="1"/>
  <c r="X410" i="1"/>
  <c r="X81" i="1"/>
  <c r="AK81" i="1"/>
  <c r="X281" i="1"/>
  <c r="AK1202" i="1"/>
  <c r="AK410" i="1"/>
  <c r="AL1877" i="1"/>
  <c r="X3666" i="1"/>
  <c r="X226" i="1"/>
  <c r="AK4190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X2290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11" i="1"/>
  <c r="AL493" i="1"/>
  <c r="X2331" i="1"/>
  <c r="X4084" i="1"/>
  <c r="X3660" i="1"/>
  <c r="AK629" i="1"/>
  <c r="AL629" i="1"/>
  <c r="AK3660" i="1"/>
  <c r="X476" i="1"/>
  <c r="AK4258" i="1"/>
  <c r="AL4258" i="1"/>
  <c r="AK4411" i="1"/>
  <c r="X4378" i="1"/>
  <c r="AK4378" i="1"/>
  <c r="X65" i="1"/>
  <c r="AK706" i="1"/>
  <c r="AK1410" i="1"/>
  <c r="X279" i="1"/>
  <c r="AL303" i="1"/>
  <c r="X4157" i="1"/>
  <c r="X4254" i="1"/>
  <c r="X303" i="1"/>
  <c r="X706" i="1"/>
  <c r="AL2331" i="1"/>
  <c r="AK474" i="1"/>
  <c r="AK4380" i="1"/>
  <c r="X4380" i="1"/>
  <c r="X1789" i="1"/>
  <c r="AL994" i="1"/>
  <c r="AL3651" i="1"/>
  <c r="AK4084" i="1"/>
  <c r="AL1050" i="1"/>
  <c r="AK1990" i="1"/>
  <c r="X2298" i="1"/>
  <c r="X2154" i="1"/>
  <c r="X994" i="1"/>
  <c r="X1050" i="1"/>
  <c r="AK1791" i="1"/>
  <c r="AK2298" i="1"/>
  <c r="AK1790" i="1"/>
  <c r="AK4157" i="1"/>
  <c r="AK4254" i="1"/>
  <c r="AK2716" i="1"/>
  <c r="AK2468" i="1"/>
  <c r="AL2468" i="1"/>
  <c r="X1908" i="1"/>
  <c r="X3651" i="1"/>
  <c r="AL279" i="1"/>
  <c r="AL4429" i="1"/>
  <c r="AL4283" i="1"/>
  <c r="AK3145" i="1"/>
  <c r="AK4283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4" i="1"/>
  <c r="AL4409" i="1"/>
  <c r="X3652" i="1"/>
  <c r="AK4409" i="1"/>
  <c r="AL3144" i="1"/>
  <c r="AK3308" i="1"/>
  <c r="X3929" i="1"/>
  <c r="AL3308" i="1"/>
  <c r="AK3652" i="1"/>
  <c r="AL4284" i="1"/>
  <c r="AK4023" i="1"/>
  <c r="AK2790" i="1"/>
  <c r="AL4282" i="1"/>
  <c r="X4429" i="1"/>
  <c r="AK2875" i="1"/>
  <c r="AK3929" i="1"/>
  <c r="AK4282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1" i="1"/>
  <c r="AL4376" i="1"/>
  <c r="X4083" i="1"/>
  <c r="AK4376" i="1"/>
  <c r="AL1410" i="1"/>
  <c r="AL1908" i="1"/>
  <c r="AK1788" i="1"/>
  <c r="X1980" i="1"/>
  <c r="X4141" i="1"/>
  <c r="AK4083" i="1"/>
  <c r="AK4081" i="1"/>
  <c r="AK3641" i="1"/>
  <c r="X4156" i="1"/>
  <c r="AL3641" i="1"/>
  <c r="X4082" i="1"/>
  <c r="AK4141" i="1"/>
  <c r="AK4082" i="1"/>
  <c r="AK4156" i="1"/>
  <c r="AL3124" i="1"/>
  <c r="AK41" i="1"/>
  <c r="X41" i="1"/>
  <c r="X4410" i="1"/>
  <c r="X4430" i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<sst xmlns="http://schemas.openxmlformats.org/spreadsheetml/2006/main" count="54123" uniqueCount="3443">
  <si>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</si>
  <si>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</si>
  <si>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</si>
  <si>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</si>
  <si>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</si>
  <si>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</si>
  <si>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</si>
  <si>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</si>
  <si>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</si>
  <si>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</si>
  <si>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</si>
  <si>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</si>
  <si>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</si>
  <si>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</si>
  <si>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</si>
  <si>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</si>
  <si>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</si>
  <si>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</si>
  <si>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</si>
  <si>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</si>
  <si>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</si>
  <si>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</si>
  <si>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</si>
  <si>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</si>
  <si>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</si>
  <si>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</si>
  <si>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</si>
  <si>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</si>
  <si>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</si>
  <si>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</si>
  <si>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</si>
  <si>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</si>
  <si>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</si>
  <si>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</si>
  <si>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</si>
  <si>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</si>
  <si>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</si>
  <si>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</si>
  <si>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</si>
  <si>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</si>
  <si>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</si>
  <si>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</si>
  <si>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</si>
  <si>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</si>
  <si>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</si>
  <si>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</si>
  <si>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</si>
  <si>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</si>
  <si>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</si>
  <si>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</si>
  <si>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</si>
  <si>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</si>
  <si>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</si>
  <si>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</si>
  <si>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</si>
  <si>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</si>
  <si>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</si>
  <si>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</si>
  <si>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</si>
  <si>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</si>
  <si>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</si>
  <si>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</si>
  <si>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</si>
  <si>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</si>
  <si>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</si>
  <si>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</si>
  <si>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</si>
  <si>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</si>
  <si>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</si>
  <si>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</si>
  <si>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</si>
  <si>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</si>
  <si>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</si>
  <si>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</si>
  <si>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</si>
  <si>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</si>
  <si>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</si>
  <si>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</si>
  <si>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</si>
  <si>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</si>
  <si>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</si>
  <si>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</si>
  <si>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</si>
  <si>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</si>
  <si>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</si>
  <si>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</si>
  <si>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</si>
  <si>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</si>
  <si>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</si>
  <si>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</si>
  <si>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</si>
  <si>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</si>
  <si>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</si>
  <si>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</si>
  <si>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</si>
  <si>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</si>
  <si>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</si>
  <si>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</si>
  <si>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</si>
  <si>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</si>
  <si>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</si>
  <si>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</si>
  <si>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</si>
  <si>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</si>
  <si>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</si>
  <si>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</si>
  <si>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</si>
  <si>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</si>
  <si>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</si>
  <si>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</si>
  <si>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</si>
  <si>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</si>
  <si>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</si>
  <si>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</si>
  <si>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</si>
  <si>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</si>
  <si>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</si>
  <si>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</si>
  <si>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</si>
  <si>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</si>
  <si>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</si>
  <si>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</si>
  <si>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</si>
  <si>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</si>
  <si>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</si>
  <si>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</si>
  <si>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</si>
  <si>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</si>
  <si>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</si>
  <si>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</si>
  <si>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</si>
  <si>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</si>
  <si>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</si>
  <si>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</si>
  <si>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</si>
  <si>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</si>
  <si>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</si>
  <si>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</si>
  <si>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</si>
  <si>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</si>
  <si>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</si>
  <si>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</si>
  <si>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</si>
  <si>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</si>
  <si>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</si>
  <si>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</si>
  <si>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</si>
  <si>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</si>
  <si>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</si>
  <si>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</si>
  <si>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</si>
  <si>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</si>
  <si>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</si>
  <si>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</si>
  <si>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</si>
  <si>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</si>
  <si>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</si>
  <si>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</si>
  <si>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</si>
  <si>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</si>
  <si>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</si>
  <si>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</si>
  <si>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</si>
  <si>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</si>
  <si>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</si>
  <si>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</si>
  <si>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</si>
  <si>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</si>
  <si>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</si>
  <si>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</si>
  <si>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</si>
  <si>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</si>
  <si>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</si>
  <si>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</si>
  <si>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</si>
  <si>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</si>
  <si>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</si>
  <si>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</si>
  <si>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</si>
  <si>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</si>
  <si>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</si>
  <si>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</si>
  <si>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</si>
  <si>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</si>
  <si>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</si>
  <si>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</si>
  <si>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</si>
  <si>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</si>
  <si>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</si>
  <si>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</si>
  <si>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</si>
  <si>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</si>
  <si>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</si>
  <si>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</si>
  <si>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</si>
  <si>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</si>
  <si>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</si>
  <si>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</si>
  <si>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</si>
  <si>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</si>
  <si>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</si>
  <si>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</si>
  <si>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</si>
  <si>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</si>
  <si>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</si>
  <si>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</si>
  <si>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</si>
  <si>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</si>
  <si>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</si>
  <si>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</si>
  <si>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</si>
  <si>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</si>
  <si>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</si>
  <si>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</si>
  <si>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</si>
  <si>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</si>
  <si>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</si>
  <si>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</si>
  <si>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</si>
  <si>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</si>
  <si>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</si>
  <si>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</si>
  <si>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</si>
  <si>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</si>
  <si>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</si>
  <si>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</si>
  <si>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</si>
  <si>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</si>
  <si>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</si>
  <si>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</si>
  <si>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</si>
  <si>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</si>
  <si>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</si>
  <si>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</si>
  <si>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</si>
  <si>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</si>
  <si>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</si>
  <si>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</si>
  <si>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</si>
  <si>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</si>
  <si>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</si>
  <si>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</si>
  <si>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</si>
  <si>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</si>
  <si>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</si>
  <si>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</si>
  <si>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</si>
  <si>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</si>
  <si>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</si>
  <si>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</si>
  <si>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</si>
  <si>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</si>
  <si>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</si>
  <si>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</si>
  <si>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</si>
  <si>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</si>
  <si>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</si>
  <si>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</si>
  <si>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</si>
  <si>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</si>
  <si>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</si>
  <si>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</si>
  <si>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</si>
  <si>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</si>
  <si>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</si>
  <si>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</si>
  <si>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</si>
  <si>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</si>
  <si>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</si>
  <si>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</si>
  <si>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</si>
  <si>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</si>
  <si>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</si>
  <si>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</si>
  <si>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</si>
  <si>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</si>
  <si>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</si>
  <si>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</si>
  <si>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</si>
  <si>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</si>
  <si>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</si>
  <si>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</si>
  <si>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</si>
  <si>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</si>
  <si>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</si>
  <si>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</si>
  <si>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</si>
  <si>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</si>
  <si>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</si>
  <si>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</si>
  <si>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</si>
  <si>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</si>
  <si>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</si>
  <si>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</si>
  <si>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</si>
  <si>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</si>
  <si>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</si>
  <si>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</si>
  <si>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</si>
  <si>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</si>
  <si>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</si>
  <si>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</si>
  <si>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</si>
  <si>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</si>
  <si>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</si>
  <si>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</si>
  <si>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</si>
  <si>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</si>
  <si>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</si>
  <si>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</si>
  <si>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</si>
  <si>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</si>
  <si>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</si>
  <si>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</si>
  <si>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</si>
  <si>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</si>
  <si>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</si>
  <si>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</si>
  <si>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</si>
  <si>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</si>
  <si>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</si>
  <si>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</si>
  <si>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</si>
  <si>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</si>
  <si>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</si>
  <si>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</si>
  <si>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</si>
  <si>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</si>
  <si>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</si>
  <si>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</si>
  <si>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</si>
  <si>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</si>
  <si>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</si>
  <si>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</si>
  <si>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</si>
  <si>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</si>
  <si>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</si>
  <si>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</si>
  <si>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</si>
  <si>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</si>
  <si>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</si>
  <si>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</si>
  <si>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</si>
  <si>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</si>
  <si>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</si>
  <si>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</si>
  <si>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</si>
  <si>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</si>
  <si>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</si>
  <si>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</si>
  <si>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</si>
  <si>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</si>
  <si>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</si>
  <si>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</si>
  <si>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</si>
  <si>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</si>
  <si>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</si>
  <si>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</si>
  <si>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</si>
  <si>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</si>
  <si>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</si>
  <si>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</si>
  <si>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</si>
  <si>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</si>
  <si>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</si>
  <si>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</si>
  <si>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</si>
  <si>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</si>
  <si>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</si>
  <si>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</si>
  <si>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</si>
  <si>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</si>
  <si>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</si>
  <si>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</si>
  <si>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</si>
  <si>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</si>
  <si>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</si>
  <si>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</si>
  <si>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</si>
  <si>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</si>
  <si>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</si>
  <si>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</si>
  <si>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</si>
  <si>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</si>
  <si>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</si>
  <si>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</si>
  <si>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</si>
  <si>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</si>
  <si>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</si>
  <si>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</si>
  <si>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</si>
  <si>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</si>
  <si>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</si>
  <si>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</si>
  <si>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</si>
  <si>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</si>
  <si>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</si>
  <si>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</si>
  <si>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</si>
  <si>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</si>
  <si>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</si>
  <si>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</si>
  <si>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</si>
  <si>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</si>
  <si>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</si>
  <si>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</si>
  <si>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</si>
  <si>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</si>
  <si>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</si>
  <si>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</si>
  <si>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</si>
  <si>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</si>
  <si>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</si>
  <si>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</si>
  <si>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</si>
  <si>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</si>
  <si>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</si>
  <si>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</si>
  <si>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</si>
  <si>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</si>
  <si>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</si>
  <si>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</si>
  <si>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</si>
  <si>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</si>
  <si>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</si>
  <si>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</si>
  <si>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</si>
  <si>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</si>
  <si>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</si>
  <si>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</si>
  <si>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</si>
  <si>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</si>
  <si>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</si>
  <si>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</si>
  <si>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</si>
  <si>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</si>
  <si>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</si>
  <si>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</si>
  <si>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</si>
  <si>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</si>
  <si>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</si>
  <si>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</si>
  <si>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</si>
  <si>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</si>
  <si>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</si>
  <si>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</si>
  <si>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</si>
  <si>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</si>
  <si>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</si>
  <si>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</si>
  <si>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</si>
  <si>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</si>
  <si>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</si>
  <si>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</si>
  <si>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</si>
  <si>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</si>
  <si>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</si>
  <si>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</si>
  <si>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</si>
  <si>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</si>
  <si>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</si>
  <si>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</si>
  <si>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</si>
  <si>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</si>
  <si>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</si>
  <si>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</si>
  <si>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</si>
  <si>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</si>
  <si>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</si>
  <si>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</si>
  <si>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</si>
  <si>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</si>
  <si>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</si>
  <si>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</si>
  <si>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</si>
  <si>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</si>
  <si>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</si>
  <si>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</si>
  <si>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</si>
  <si>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</si>
  <si>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</si>
  <si>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</si>
  <si>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</si>
  <si>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</si>
  <si>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</si>
  <si>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</si>
  <si>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</si>
  <si>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</si>
  <si>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</si>
  <si>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</si>
  <si>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</si>
  <si>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</si>
  <si>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</si>
  <si>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</si>
  <si>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</si>
  <si>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</si>
  <si>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</si>
  <si>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</si>
  <si>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</si>
  <si>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</si>
  <si>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</si>
  <si>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</si>
  <si>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</si>
  <si>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</si>
  <si>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</si>
  <si>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</si>
  <si>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</si>
  <si>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</si>
  <si>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</si>
  <si>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</si>
  <si>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</si>
  <si>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</si>
  <si>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</si>
  <si>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</si>
  <si>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</si>
  <si>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</si>
  <si>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</si>
  <si>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</si>
  <si>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</si>
  <si>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</si>
  <si>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</si>
  <si>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</si>
  <si>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</si>
  <si>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</si>
  <si>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</si>
  <si>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</si>
  <si>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</si>
  <si>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</si>
  <si>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</si>
  <si>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</si>
  <si>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</si>
  <si>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</si>
  <si>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</si>
  <si>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</si>
  <si>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</si>
  <si>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</si>
  <si>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</si>
  <si>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</si>
  <si>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</si>
  <si>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</si>
  <si>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</si>
  <si>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</si>
  <si>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</si>
  <si>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</si>
  <si>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</si>
  <si>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</si>
  <si>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</si>
  <si>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</si>
  <si>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</si>
  <si>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</si>
  <si>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</si>
  <si>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</si>
  <si>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</si>
  <si>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</si>
  <si>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</si>
  <si>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</si>
  <si>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</si>
  <si>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</si>
  <si>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</si>
  <si>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</si>
  <si>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</si>
  <si>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</si>
  <si>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</si>
  <si>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</si>
  <si>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</si>
  <si>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</si>
  <si>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</si>
  <si>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</si>
  <si>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</si>
  <si>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</si>
  <si>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</si>
  <si>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</si>
  <si>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</si>
  <si>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</si>
  <si>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</si>
  <si>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</si>
  <si>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</si>
  <si>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</si>
  <si>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</si>
  <si>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</si>
  <si>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</si>
  <si>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</si>
  <si>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</si>
  <si>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</si>
  <si>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</si>
  <si>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</si>
  <si>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</si>
  <si>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</si>
  <si>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</si>
  <si>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</si>
  <si>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</si>
  <si>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</si>
  <si>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</si>
  <si>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</si>
  <si>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</si>
  <si>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</si>
  <si>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</si>
  <si>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</si>
  <si>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</si>
  <si>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</si>
  <si>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</si>
  <si>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</si>
  <si>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</si>
  <si>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</si>
  <si>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</si>
  <si>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</si>
  <si>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</si>
  <si>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</si>
  <si>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</si>
  <si>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</si>
  <si>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</si>
  <si>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</si>
  <si>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</si>
  <si>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</si>
  <si>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</si>
  <si>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</si>
  <si>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</si>
  <si>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</si>
  <si>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</si>
  <si>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</si>
  <si>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</si>
  <si>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</si>
  <si>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</si>
  <si>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</si>
  <si>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</si>
  <si>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</si>
  <si>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</si>
  <si>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</si>
  <si>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</si>
  <si>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</si>
  <si>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</si>
  <si>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</si>
  <si>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</si>
  <si>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</si>
  <si>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</si>
  <si>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</si>
  <si>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</si>
  <si>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</si>
  <si>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</si>
  <si>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</si>
  <si>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</si>
  <si>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</si>
  <si>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</si>
  <si>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</si>
  <si>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</si>
  <si>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</si>
  <si>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</si>
  <si>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</si>
  <si>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</si>
  <si>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</si>
  <si>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</si>
  <si>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</si>
  <si>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</si>
  <si>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</si>
  <si>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</si>
  <si>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</si>
  <si>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</si>
  <si>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</si>
  <si>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</si>
  <si>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</si>
  <si>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</si>
  <si>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</si>
  <si>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</si>
  <si>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</si>
  <si>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</si>
  <si>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</si>
  <si>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</si>
  <si>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</si>
  <si>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</si>
  <si>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</si>
  <si>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</si>
  <si>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</si>
  <si>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</si>
  <si>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</si>
  <si>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</si>
  <si>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</si>
  <si>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</si>
  <si>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</si>
  <si>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</si>
  <si>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</si>
  <si>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</si>
  <si>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</si>
  <si>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</si>
  <si>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</si>
  <si>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</si>
  <si>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</si>
  <si>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</si>
  <si>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</si>
  <si>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</si>
  <si>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</si>
  <si>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</si>
  <si>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</si>
  <si>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</si>
  <si>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</si>
  <si>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</si>
  <si>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</si>
  <si>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</si>
  <si>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</si>
  <si>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</si>
  <si>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</si>
  <si>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</si>
  <si>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</si>
  <si>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</si>
  <si>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</si>
  <si>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</si>
  <si>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</si>
  <si>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</si>
  <si>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</si>
  <si>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</si>
  <si>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</si>
  <si>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</si>
  <si>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</si>
  <si>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</si>
  <si>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</si>
  <si>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</si>
  <si>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</si>
  <si>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</si>
  <si>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</si>
  <si>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</si>
  <si>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</si>
  <si>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</si>
  <si>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</si>
  <si>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</si>
  <si>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</si>
  <si>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</si>
  <si>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</si>
  <si>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</si>
  <si>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</si>
  <si>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</si>
  <si>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</si>
  <si>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</si>
  <si>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</si>
  <si>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</si>
  <si>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</si>
  <si>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</si>
  <si>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</si>
  <si>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</si>
  <si>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</si>
  <si>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</si>
  <si>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</si>
  <si>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</si>
  <si>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</si>
  <si>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</si>
  <si>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</si>
  <si>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</si>
  <si>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</si>
  <si>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</si>
  <si>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</si>
  <si>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</si>
  <si>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</si>
  <si>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</si>
  <si>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</si>
  <si>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</si>
  <si>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</si>
  <si>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</si>
  <si>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</si>
  <si>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</si>
  <si>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</si>
  <si>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</si>
  <si>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</si>
  <si>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</si>
  <si>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</si>
  <si>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</si>
  <si>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</si>
  <si>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</si>
  <si>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</si>
  <si>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</si>
  <si>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</si>
  <si>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</si>
  <si>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</si>
  <si>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</si>
  <si>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</si>
  <si>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</si>
  <si>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</si>
  <si>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</si>
  <si>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</si>
  <si>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</si>
  <si>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</si>
  <si>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</si>
  <si>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</si>
  <si>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</si>
  <si>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</si>
  <si>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</si>
  <si>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</si>
  <si>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</si>
  <si>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</si>
  <si>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</si>
  <si>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</si>
  <si>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</si>
  <si>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</si>
  <si>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</si>
  <si>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</si>
  <si>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</si>
  <si>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</si>
  <si>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</si>
  <si>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</si>
  <si>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</si>
  <si>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</si>
  <si>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</si>
  <si>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</si>
  <si>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</si>
  <si>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</si>
  <si>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</si>
  <si>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</si>
  <si>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</si>
  <si>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</si>
  <si>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</si>
  <si>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</si>
  <si>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</si>
  <si>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</si>
  <si>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</si>
  <si>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</si>
  <si>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</si>
  <si>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</si>
  <si>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</si>
  <si>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</si>
  <si>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</si>
  <si>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</si>
  <si>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</si>
  <si>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</si>
  <si>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</si>
  <si>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</si>
  <si>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</si>
  <si>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</si>
  <si>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</si>
  <si>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</si>
  <si>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</si>
  <si>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</si>
  <si>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</si>
  <si>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</si>
  <si>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</si>
  <si>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</si>
  <si>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</si>
  <si>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</si>
  <si>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</si>
  <si>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</si>
  <si>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</si>
  <si>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</si>
  <si>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</si>
  <si>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</si>
  <si>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</si>
  <si>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</si>
  <si>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</si>
  <si>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</si>
  <si>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</si>
  <si>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</si>
  <si>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</si>
  <si>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</si>
  <si>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</si>
  <si>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</si>
  <si>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</si>
  <si>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</si>
  <si>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</si>
  <si>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</si>
  <si>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</si>
  <si>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</si>
  <si>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</si>
  <si>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</si>
  <si>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</si>
  <si>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</si>
  <si>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</si>
  <si>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</si>
  <si>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</si>
  <si>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</si>
  <si>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</si>
  <si>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</si>
  <si>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</si>
  <si>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</si>
  <si>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</si>
  <si>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</si>
  <si>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</si>
  <si>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</si>
  <si>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</si>
  <si>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</si>
  <si>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</si>
  <si>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</si>
  <si>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</si>
  <si>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</si>
  <si>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</si>
  <si>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</si>
  <si>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</si>
  <si>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</si>
  <si>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</si>
  <si>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</si>
  <si>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</si>
  <si>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</si>
  <si>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</si>
  <si>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</si>
  <si>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</si>
  <si>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</si>
  <si>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</si>
  <si>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</si>
  <si>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</si>
  <si>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</si>
  <si>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</si>
  <si>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</si>
  <si>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</si>
  <si>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</si>
  <si>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</si>
  <si>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</si>
  <si>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</si>
  <si>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</si>
  <si>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</si>
  <si>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</si>
  <si>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</si>
  <si>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</si>
  <si>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</si>
  <si>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</si>
  <si>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</si>
  <si>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</si>
  <si>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</si>
  <si>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</si>
  <si>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</si>
  <si>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</si>
  <si>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</si>
  <si>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</si>
  <si>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</si>
  <si>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</si>
  <si>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</si>
  <si>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</si>
  <si>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</si>
  <si>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</si>
  <si>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</si>
  <si>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</si>
  <si>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</si>
  <si>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</si>
  <si>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</si>
  <si>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</si>
  <si>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</si>
  <si>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</si>
  <si>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</si>
  <si>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</si>
  <si>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</si>
  <si>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</si>
  <si>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</si>
  <si>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</si>
  <si>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</si>
  <si>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</si>
  <si>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</si>
  <si>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</si>
  <si>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</si>
  <si>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</si>
  <si>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</si>
  <si>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</si>
  <si>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</si>
  <si>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</si>
  <si>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</si>
  <si>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</si>
  <si>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</si>
  <si>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</si>
  <si>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</si>
  <si>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</si>
  <si>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</si>
  <si>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</si>
  <si>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</si>
  <si>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</si>
  <si>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</si>
  <si>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</si>
  <si>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</si>
  <si>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</si>
  <si>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</si>
  <si>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</si>
  <si>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</si>
  <si>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</si>
  <si>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</si>
  <si>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</si>
  <si>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</si>
  <si>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</si>
  <si>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</si>
  <si>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</si>
  <si>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</si>
  <si>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</si>
  <si>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</si>
  <si>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</si>
  <si>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</si>
  <si>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</si>
  <si>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</si>
  <si>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</si>
  <si>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</si>
  <si>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</si>
  <si>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</si>
  <si>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</si>
  <si>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</si>
  <si>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</si>
  <si>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</si>
  <si>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</si>
  <si>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</si>
  <si>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</si>
  <si>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</si>
  <si>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</si>
  <si>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</si>
  <si>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</si>
  <si>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</si>
  <si>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</si>
  <si>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</si>
  <si>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</si>
  <si>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</si>
  <si>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</si>
  <si>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</si>
  <si>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</si>
  <si>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</si>
  <si>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</si>
  <si>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</si>
  <si>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</si>
  <si>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</si>
  <si>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</si>
  <si>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</si>
  <si>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</si>
  <si>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</si>
  <si>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</si>
  <si>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</si>
  <si>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</si>
  <si>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</si>
  <si>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</si>
  <si>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</si>
  <si>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</si>
  <si>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</si>
  <si>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</si>
  <si>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</si>
  <si>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</si>
  <si>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</si>
  <si>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</si>
  <si>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</si>
  <si>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</si>
  <si>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</si>
  <si>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</si>
  <si>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</si>
  <si>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</si>
  <si>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</si>
  <si>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</si>
  <si>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</si>
  <si>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</si>
  <si>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</si>
  <si>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</si>
  <si>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</si>
  <si>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</si>
  <si>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</si>
  <si>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</si>
  <si>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</si>
  <si>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</si>
  <si>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</si>
  <si>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</si>
  <si>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</si>
  <si>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</si>
  <si>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</si>
  <si>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</si>
  <si>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</si>
  <si>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</si>
  <si>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</si>
  <si>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</si>
  <si>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</si>
  <si>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</si>
  <si>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</si>
  <si>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</si>
  <si>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</si>
  <si>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</si>
  <si>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</si>
  <si>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</si>
  <si>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</si>
  <si>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</si>
  <si>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</si>
  <si>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</si>
  <si>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</si>
  <si>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</si>
  <si>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</si>
  <si>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</si>
  <si>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</si>
  <si>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</si>
  <si>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</si>
  <si>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</si>
  <si>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</si>
  <si>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</si>
  <si>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</si>
  <si>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</si>
  <si>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</si>
  <si>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</si>
  <si>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</si>
  <si>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</si>
  <si>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</si>
  <si>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</si>
  <si>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</si>
  <si>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</si>
  <si>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</si>
  <si>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</si>
  <si>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</si>
  <si>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</si>
  <si>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</si>
  <si>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</si>
  <si>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</si>
  <si>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</si>
  <si>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</si>
  <si>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</si>
  <si>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</si>
  <si>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</si>
  <si>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</si>
  <si>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</si>
  <si>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</si>
  <si>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</si>
  <si>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</si>
  <si>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</si>
  <si>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</si>
  <si>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</si>
  <si>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</si>
  <si>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</si>
  <si>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</si>
  <si>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</si>
  <si>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</si>
  <si>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</si>
  <si>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</si>
  <si>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</si>
  <si>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</si>
  <si>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</si>
  <si>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</si>
  <si>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</si>
  <si>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</si>
  <si>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</si>
  <si>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</si>
  <si>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</si>
  <si>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</si>
  <si>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</si>
  <si>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</si>
  <si>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</si>
  <si>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</si>
  <si>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</si>
  <si>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</si>
  <si>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</si>
  <si>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</si>
  <si>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</si>
  <si>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</si>
  <si>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</si>
  <si>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</si>
  <si>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</si>
  <si>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</si>
  <si>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</si>
  <si>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</si>
  <si>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</si>
  <si>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</si>
  <si>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</si>
  <si>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</si>
  <si>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</si>
  <si>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</si>
  <si>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</si>
  <si>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</si>
  <si>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</si>
  <si>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</si>
  <si>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</si>
  <si>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</si>
  <si>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</si>
  <si>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</si>
  <si>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</si>
  <si>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</si>
  <si>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</si>
  <si>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</si>
  <si>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</si>
  <si>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</si>
  <si>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</si>
  <si>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</si>
  <si>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</si>
  <si>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</si>
  <si>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</si>
  <si>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</si>
  <si>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</si>
  <si>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</si>
  <si>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</si>
  <si>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</si>
  <si>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</si>
  <si>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</si>
  <si>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</si>
  <si>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</si>
  <si>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</si>
  <si>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</si>
  <si>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</si>
  <si>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</si>
  <si>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</si>
  <si>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</si>
  <si>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</si>
  <si>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</si>
  <si>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</si>
  <si>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</si>
  <si>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</si>
  <si>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</si>
  <si>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</si>
  <si>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</si>
  <si>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</si>
  <si>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</si>
  <si>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</si>
  <si>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</si>
  <si>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</si>
  <si>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</si>
  <si>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</si>
  <si>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</si>
  <si>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</si>
  <si>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</si>
  <si>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</si>
  <si>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</si>
  <si>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</si>
  <si>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</si>
  <si>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</si>
  <si>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</si>
  <si>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</si>
  <si>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</si>
  <si>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</si>
  <si>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</si>
  <si>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</si>
  <si>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</si>
  <si>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</si>
  <si>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</si>
  <si>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</si>
  <si>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</si>
  <si>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</si>
  <si>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</si>
  <si>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</si>
  <si>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</si>
  <si>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</si>
  <si>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</si>
  <si>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</si>
  <si>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</si>
  <si>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</si>
  <si>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</si>
  <si>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</si>
  <si>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</si>
  <si>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</si>
  <si>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</si>
  <si>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</si>
  <si>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</si>
  <si>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</si>
  <si>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</si>
  <si>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</si>
  <si>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</si>
  <si>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</si>
  <si>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</si>
  <si>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</si>
  <si>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</si>
  <si>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</si>
  <si>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</si>
  <si>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</si>
  <si>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</si>
  <si>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</si>
  <si>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</si>
  <si>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</si>
  <si>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</si>
  <si>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</si>
  <si>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</si>
  <si>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</si>
  <si>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</si>
  <si>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</si>
  <si>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</si>
  <si>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</si>
  <si>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</si>
  <si>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</si>
  <si>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</si>
  <si>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</si>
  <si>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</si>
  <si>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</si>
  <si>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</si>
  <si>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</si>
  <si>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</si>
  <si>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</si>
  <si>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</si>
  <si>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</si>
  <si>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</si>
  <si>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</si>
  <si>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</si>
  <si>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</si>
  <si>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</si>
  <si>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</si>
  <si>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</si>
  <si>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</si>
  <si>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</si>
  <si>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</si>
  <si>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</si>
  <si>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</si>
  <si>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</si>
  <si>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</si>
  <si>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</si>
  <si>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</si>
  <si>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</si>
  <si>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</si>
  <si>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</si>
  <si>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</si>
  <si>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</si>
  <si>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</si>
  <si>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</si>
  <si>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</si>
  <si>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</si>
  <si>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</si>
  <si>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</si>
  <si>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</si>
  <si>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</si>
  <si>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</si>
  <si>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</si>
  <si>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</si>
  <si>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</si>
  <si>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</si>
  <si>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</si>
  <si>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</si>
  <si>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</si>
  <si>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</si>
  <si>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</si>
  <si>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</si>
  <si>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</si>
  <si>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</si>
  <si>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</si>
  <si>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</si>
  <si>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</si>
  <si>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</si>
  <si>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</si>
  <si>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</si>
  <si>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</si>
  <si>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</si>
  <si>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</si>
  <si>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</si>
  <si>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</si>
  <si>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</si>
  <si>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</si>
  <si>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</si>
  <si>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</si>
  <si>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</si>
  <si>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</si>
  <si>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</si>
  <si>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</si>
  <si>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</si>
  <si>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</si>
  <si>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</si>
  <si>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</si>
  <si>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</si>
  <si>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</si>
  <si>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</si>
  <si>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</si>
  <si>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</si>
  <si>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</si>
  <si>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</si>
  <si>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</si>
  <si>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</si>
  <si>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</si>
  <si>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</si>
  <si>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</si>
  <si>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</si>
  <si>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</si>
  <si>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</si>
  <si>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</si>
  <si>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</si>
  <si>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</si>
  <si>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</si>
  <si>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</si>
  <si>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</si>
  <si>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</si>
  <si>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</si>
  <si>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</si>
  <si>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</si>
  <si>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</si>
  <si>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</si>
  <si>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</si>
  <si>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</si>
  <si>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</si>
  <si>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</si>
  <si>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</si>
  <si>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</si>
  <si>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</si>
  <si>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</si>
  <si>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</si>
  <si>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</si>
  <si>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</si>
  <si>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</si>
  <si>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</si>
  <si>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</si>
  <si>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</si>
  <si>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</si>
  <si>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</si>
  <si>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</si>
  <si>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</si>
  <si>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</si>
  <si>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</si>
  <si>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</si>
  <si>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</si>
  <si>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</si>
  <si>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</si>
  <si>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</si>
  <si>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</si>
  <si>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</si>
  <si>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</si>
  <si>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</si>
  <si>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</si>
  <si>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</si>
  <si>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</si>
  <si>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</si>
  <si>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</si>
  <si>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</si>
  <si>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</si>
  <si>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</si>
  <si>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</si>
  <si>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</si>
  <si>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</si>
  <si>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</si>
  <si>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</si>
  <si>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</si>
  <si>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</si>
  <si>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</si>
  <si>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</si>
  <si>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</si>
  <si>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</si>
  <si>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</si>
  <si>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</si>
  <si>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</si>
  <si>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</si>
  <si>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</si>
  <si>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</si>
  <si>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</si>
  <si>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</si>
  <si>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</si>
  <si>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</si>
  <si>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</si>
  <si>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</si>
  <si>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</si>
  <si>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</si>
  <si>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</si>
  <si>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</si>
  <si>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</si>
  <si>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</si>
  <si>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</si>
  <si>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</si>
  <si>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</si>
  <si>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</si>
  <si>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</si>
  <si>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</si>
  <si>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</si>
  <si>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</si>
  <si>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</si>
  <si>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</si>
  <si>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</si>
  <si>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</si>
  <si>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</si>
  <si>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</si>
  <si>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</si>
  <si>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</si>
  <si>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</si>
  <si>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</si>
  <si>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</si>
  <si>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</si>
  <si>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</si>
  <si>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</si>
  <si>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</si>
  <si>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</si>
  <si>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</si>
  <si>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</si>
  <si>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</si>
  <si>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</si>
  <si>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</si>
  <si>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</si>
  <si>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</si>
  <si>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</si>
  <si>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</si>
  <si>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</si>
  <si>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</si>
  <si>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</si>
  <si>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</si>
  <si>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</si>
  <si>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</si>
  <si>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</si>
  <si>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</si>
  <si>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</si>
  <si>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</si>
  <si>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</si>
  <si>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</si>
  <si>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</si>
  <si>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</si>
  <si>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</si>
  <si>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</si>
  <si>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</si>
  <si>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</si>
  <si>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</si>
  <si>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</si>
  <si>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</si>
  <si>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</si>
  <si>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</si>
  <si>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</si>
  <si>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</si>
  <si>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</si>
  <si>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</si>
  <si>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</si>
  <si>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</si>
  <si>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</si>
  <si>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</si>
  <si>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</si>
  <si>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</si>
  <si>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</si>
  <si>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</si>
  <si>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</si>
  <si>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</si>
  <si>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</si>
  <si>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</si>
  <si>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</si>
  <si>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</si>
  <si>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</si>
  <si>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</si>
  <si>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</si>
  <si>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</si>
  <si>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</si>
  <si>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</si>
  <si>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</si>
  <si>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</si>
  <si>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</si>
  <si>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</si>
  <si>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</si>
  <si>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</si>
  <si>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</si>
  <si>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</si>
  <si>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</si>
  <si>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</si>
  <si>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</si>
  <si>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</si>
  <si>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</si>
  <si>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</si>
  <si>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</si>
  <si>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</si>
  <si>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</si>
  <si>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</si>
  <si>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</si>
  <si>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</si>
  <si>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</si>
  <si>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</si>
  <si>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</si>
  <si>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</si>
  <si>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</si>
  <si>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</si>
  <si>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</si>
  <si>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</si>
  <si>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</si>
  <si>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</si>
  <si>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</si>
  <si>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</si>
  <si>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</si>
  <si>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</si>
  <si>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</si>
  <si>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</si>
  <si>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</si>
  <si>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</si>
  <si>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</si>
  <si>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</si>
  <si>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</si>
  <si>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</si>
  <si>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</si>
  <si>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</si>
  <si>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</si>
  <si>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</si>
  <si>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</si>
  <si>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</si>
  <si>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</si>
  <si>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</si>
  <si>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</si>
  <si>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</si>
  <si>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</si>
  <si>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</si>
  <si>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</si>
  <si>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</si>
  <si>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</si>
  <si>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</si>
  <si>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</si>
  <si>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</si>
  <si>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</si>
  <si>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</si>
  <si>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</si>
  <si>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</si>
  <si>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</si>
  <si>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</si>
  <si>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</si>
  <si>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</si>
  <si>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</si>
  <si>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</si>
  <si>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</si>
  <si>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</si>
  <si>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</si>
  <si>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</si>
  <si>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</si>
  <si>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</si>
  <si>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</si>
  <si>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</si>
  <si>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</si>
  <si>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</si>
  <si>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</si>
  <si>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</si>
  <si>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</si>
  <si>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</si>
  <si>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</si>
  <si>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</si>
  <si>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</si>
  <si>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</si>
  <si>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</si>
  <si>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</si>
  <si>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</si>
  <si>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</si>
  <si>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</si>
  <si>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</si>
  <si>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</si>
  <si>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</si>
  <si>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</si>
  <si>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</si>
  <si>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</si>
  <si>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</si>
  <si>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</si>
  <si>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</si>
  <si>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</si>
  <si>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</si>
  <si>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</si>
  <si>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</si>
  <si>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</si>
  <si>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</si>
  <si>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</si>
  <si>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</si>
  <si>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</si>
  <si>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</si>
  <si>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</si>
  <si>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</si>
  <si>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</si>
  <si>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</si>
  <si>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</si>
  <si>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</si>
  <si>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</si>
  <si>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</si>
  <si>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</si>
  <si>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</si>
  <si>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</si>
  <si>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</si>
  <si>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</si>
  <si>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</si>
  <si>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</si>
  <si>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</si>
  <si>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</si>
  <si>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</si>
  <si>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</si>
  <si>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</si>
  <si>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</si>
  <si>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</si>
  <si>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</si>
  <si>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</si>
  <si>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</si>
  <si>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</si>
  <si>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</si>
  <si>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</si>
  <si>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</si>
  <si>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</si>
  <si>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</si>
  <si>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</si>
  <si>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</si>
  <si>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</si>
  <si>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</si>
  <si>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</si>
  <si>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</si>
  <si>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</si>
  <si>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</si>
  <si>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</si>
  <si>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</si>
  <si>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</si>
  <si>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</si>
  <si>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</si>
  <si>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</si>
  <si>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</si>
  <si>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</si>
  <si>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</si>
  <si>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</si>
  <si>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</si>
  <si>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</si>
  <si>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</si>
  <si>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</si>
  <si>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</si>
  <si>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</si>
  <si>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</si>
  <si>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</si>
  <si>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</si>
  <si>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</si>
  <si>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</si>
  <si>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</si>
  <si>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</si>
  <si>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</si>
  <si>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</si>
  <si>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</si>
  <si>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</si>
  <si>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</si>
  <si>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</si>
  <si>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</si>
  <si>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</si>
  <si>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</si>
  <si>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</si>
  <si>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</si>
  <si>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</si>
  <si>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</si>
  <si>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</si>
  <si>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</si>
  <si>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</si>
  <si>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</si>
  <si>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</si>
  <si>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</si>
  <si>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</si>
  <si>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</si>
  <si>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</si>
  <si>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</si>
  <si>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</si>
  <si>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</si>
  <si>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</si>
  <si>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</si>
  <si>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</si>
  <si>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</si>
  <si>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</si>
  <si>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</si>
  <si>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</si>
  <si>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</si>
  <si>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</si>
  <si>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</si>
  <si>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</si>
  <si>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</si>
  <si>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</si>
  <si>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</si>
  <si>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</si>
  <si>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</si>
  <si>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</si>
  <si>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</si>
  <si>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</si>
  <si>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</si>
  <si>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</si>
  <si>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</si>
  <si>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</si>
  <si>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</si>
  <si>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</si>
  <si>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</si>
  <si>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</si>
  <si>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</si>
  <si>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</si>
  <si>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</si>
  <si>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</si>
  <si>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</si>
  <si>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</si>
  <si>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</si>
  <si>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</si>
  <si>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</si>
  <si>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</si>
  <si>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</si>
  <si>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</si>
  <si>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</si>
  <si>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</si>
  <si>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</si>
  <si>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</si>
  <si>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</si>
  <si>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</si>
  <si>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</si>
  <si>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</si>
  <si>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</si>
  <si>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</si>
  <si>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</si>
  <si>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</si>
  <si>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</si>
  <si>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</si>
  <si>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</si>
  <si>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</si>
  <si>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</si>
  <si>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</si>
  <si>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</si>
  <si>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</si>
  <si>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</si>
  <si>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</si>
  <si>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</si>
  <si>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</si>
  <si>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</si>
  <si>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</si>
  <si>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</si>
  <si>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</si>
  <si>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</si>
  <si>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</si>
  <si>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</si>
  <si>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</si>
  <si>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</si>
  <si>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</si>
  <si>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</si>
  <si>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</si>
  <si>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</si>
  <si>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</si>
  <si>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</si>
  <si>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</si>
  <si>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</si>
  <si>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</si>
  <si>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</si>
  <si>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</si>
  <si>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</si>
  <si>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</si>
  <si>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</si>
  <si>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</si>
  <si>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</si>
  <si>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</si>
  <si>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</si>
  <si>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</si>
  <si>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</si>
  <si>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</si>
  <si>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</si>
  <si>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</si>
  <si>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</si>
  <si>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</si>
  <si>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</si>
  <si>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</si>
  <si>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</si>
  <si>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</si>
  <si>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</si>
  <si>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</si>
  <si>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</si>
  <si>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</si>
  <si>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</si>
  <si>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</si>
  <si>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</si>
  <si>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</si>
  <si>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</si>
  <si>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</si>
  <si>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</si>
  <si>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</si>
  <si>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</si>
  <si>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</si>
  <si>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</si>
  <si>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</si>
  <si>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</si>
  <si>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</si>
  <si>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</si>
  <si>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</si>
  <si>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</si>
  <si>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</si>
  <si>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</si>
  <si>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</si>
  <si>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</si>
  <si>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</si>
  <si>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</si>
  <si>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</si>
  <si>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</si>
  <si>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</si>
  <si>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</si>
  <si>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</si>
  <si>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</si>
  <si>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</si>
  <si>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</si>
  <si>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</si>
  <si>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</si>
  <si>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</si>
  <si>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</si>
  <si>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</si>
  <si>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</si>
  <si>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</si>
  <si>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</si>
  <si>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</si>
  <si>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</si>
  <si>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</si>
  <si>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</si>
  <si>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</si>
  <si>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</si>
  <si>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</si>
  <si>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</si>
  <si>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</si>
  <si>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</si>
  <si>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</si>
  <si>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</si>
  <si>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</si>
  <si>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</si>
  <si>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</si>
  <si>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</si>
  <si>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</si>
  <si>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</si>
  <si>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</si>
  <si>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</si>
  <si>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</si>
  <si>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</si>
  <si>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</si>
  <si>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</si>
  <si>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</si>
  <si>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</si>
  <si>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</si>
  <si>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</si>
  <si>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</si>
  <si>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</si>
  <si>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</si>
  <si>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</si>
  <si>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</si>
  <si>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</si>
  <si>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</si>
  <si>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</si>
  <si>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</si>
  <si>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</si>
  <si>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</si>
  <si>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</si>
  <si>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</si>
  <si>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</si>
  <si>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</si>
  <si>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</si>
  <si>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</si>
  <si>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</si>
  <si>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</si>
  <si>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</si>
  <si>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</si>
  <si>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</si>
  <si>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</si>
  <si>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</si>
  <si>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</si>
  <si>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</si>
  <si>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</si>
  <si>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</si>
  <si>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</si>
  <si>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</si>
  <si>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</si>
  <si>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</si>
  <si>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</si>
  <si>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</si>
  <si>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</si>
  <si>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</si>
  <si>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</si>
  <si>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</si>
  <si>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</si>
  <si>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</si>
  <si>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</si>
  <si>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</si>
  <si>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</si>
  <si>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</si>
  <si>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</si>
  <si>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</si>
  <si>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</si>
  <si>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</si>
  <si>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</si>
  <si>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</si>
  <si>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</si>
  <si>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</si>
  <si>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</si>
  <si>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</si>
  <si>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</si>
  <si>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</si>
  <si>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</si>
  <si>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</si>
  <si>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</si>
  <si>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</si>
  <si>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</si>
  <si>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</si>
  <si>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</si>
  <si>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</si>
  <si>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</si>
  <si>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</si>
  <si>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</si>
  <si>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</si>
  <si>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</si>
  <si>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</si>
  <si>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</si>
  <si>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</si>
  <si>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</si>
  <si>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</si>
  <si>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</si>
  <si>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</si>
  <si>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</si>
  <si>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</si>
  <si>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</si>
  <si>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</si>
  <si>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</si>
  <si>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</si>
  <si>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</si>
  <si>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</si>
  <si>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</si>
  <si>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</si>
  <si>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</si>
  <si>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</si>
  <si>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</si>
  <si>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</si>
  <si>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</si>
  <si>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</si>
  <si>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</si>
  <si>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</si>
  <si>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</si>
  <si>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</si>
  <si>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</si>
  <si>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</si>
  <si>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</si>
  <si>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</si>
  <si>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</si>
  <si>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</si>
  <si>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</si>
  <si>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</si>
  <si>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</si>
  <si>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</si>
  <si>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</si>
  <si>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</si>
  <si>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</si>
  <si>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</si>
  <si>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</si>
  <si>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</si>
  <si>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</si>
  <si>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</si>
  <si>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</si>
  <si>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</si>
  <si>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</si>
  <si>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</si>
  <si>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</si>
  <si>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</si>
  <si>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</si>
  <si>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</si>
  <si>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</si>
  <si>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</si>
  <si>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</si>
  <si>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</si>
  <si>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</si>
  <si>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</si>
  <si>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</si>
  <si>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</si>
  <si>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</si>
  <si>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</si>
  <si>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</si>
  <si>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</si>
  <si>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</si>
  <si>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</si>
  <si>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</si>
  <si>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</si>
  <si>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</si>
  <si>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</si>
  <si>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</si>
  <si>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</si>
  <si>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</si>
  <si>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</si>
  <si>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</si>
  <si>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</si>
  <si>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</si>
  <si>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</si>
  <si>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</si>
  <si>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</si>
  <si>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</si>
  <si>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</si>
  <si>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</si>
  <si>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</si>
  <si>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</si>
  <si>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</si>
  <si>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</si>
  <si>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</si>
  <si>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</si>
  <si>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</si>
  <si>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</si>
  <si>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</si>
  <si>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</si>
  <si>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</si>
  <si>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</si>
  <si>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</si>
  <si>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</si>
  <si>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</si>
  <si>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</si>
  <si>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</si>
  <si>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</si>
  <si>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</si>
  <si>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</si>
  <si>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</si>
  <si>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</si>
  <si>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</si>
  <si>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</si>
  <si>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</si>
  <si>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</si>
  <si>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</si>
  <si>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</si>
  <si>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</si>
  <si>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</si>
  <si>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</si>
  <si>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</si>
  <si>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</si>
  <si>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</si>
  <si>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</si>
  <si>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</si>
  <si>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</si>
  <si>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</si>
  <si>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</si>
  <si>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</si>
  <si>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</si>
  <si>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</si>
  <si>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</si>
  <si>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</si>
  <si>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</si>
  <si>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</si>
  <si>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</si>
  <si>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</si>
  <si>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</si>
  <si>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</si>
  <si>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</si>
  <si>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</si>
  <si>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</si>
  <si>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</si>
  <si>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</si>
  <si>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</si>
  <si>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</si>
  <si>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</si>
  <si>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</si>
  <si>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</si>
  <si>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</si>
  <si>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</si>
  <si>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</si>
  <si>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</si>
  <si>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</si>
  <si>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</si>
  <si>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</si>
  <si>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</si>
  <si>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</si>
  <si>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</si>
  <si>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</si>
  <si>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</si>
  <si>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</si>
  <si>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</si>
  <si>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</si>
  <si>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</si>
  <si>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</si>
  <si>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</si>
  <si>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</si>
  <si>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</si>
  <si>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</si>
  <si>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</si>
  <si>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</si>
  <si>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</si>
  <si>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</si>
  <si>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</si>
  <si>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</si>
  <si>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</si>
  <si>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</si>
  <si>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</si>
  <si>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</si>
  <si>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</si>
  <si>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</si>
  <si>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</si>
  <si>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</si>
  <si>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</si>
  <si>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</si>
  <si>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</si>
  <si>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</si>
  <si>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</si>
  <si>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</si>
  <si>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</si>
  <si>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</si>
  <si>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</si>
  <si>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</si>
  <si>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</si>
  <si>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</si>
  <si>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</si>
  <si>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</si>
  <si>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</si>
  <si>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</si>
  <si>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</si>
  <si>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</si>
  <si>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</si>
  <si>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</si>
  <si>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</si>
  <si>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</si>
  <si>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</si>
  <si>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</si>
  <si>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</si>
  <si>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</si>
  <si>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</si>
  <si>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</si>
  <si>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</si>
  <si>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</si>
  <si>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</si>
  <si>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</si>
  <si>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</si>
  <si>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</si>
  <si>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</si>
  <si>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</si>
  <si>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</si>
  <si>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</si>
  <si>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</si>
  <si>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</si>
  <si>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</si>
  <si>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</si>
  <si>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</si>
  <si>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</si>
  <si>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</si>
  <si>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</si>
  <si>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</si>
  <si>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</si>
  <si>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</si>
  <si>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</si>
  <si>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</si>
  <si>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</si>
  <si>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</si>
  <si>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</si>
  <si>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</si>
  <si>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</si>
  <si>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</si>
  <si>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</si>
  <si>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</si>
  <si>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</si>
  <si>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</si>
  <si>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</si>
  <si>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</si>
  <si>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</si>
  <si>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</si>
  <si>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</si>
  <si>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</si>
  <si>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</si>
  <si>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</si>
  <si>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</si>
  <si>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</si>
  <si>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</si>
  <si>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</si>
  <si>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</si>
  <si>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</si>
  <si>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</si>
  <si>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</si>
  <si>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</si>
  <si>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</si>
  <si>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</si>
  <si>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</si>
  <si>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</si>
  <si>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</si>
  <si>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</si>
  <si>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</si>
  <si>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</si>
  <si>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</si>
  <si>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</si>
  <si>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</si>
  <si>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</si>
  <si>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</si>
  <si>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</si>
  <si>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</si>
  <si>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</si>
  <si>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</si>
  <si>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</si>
  <si>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</si>
  <si>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</si>
  <si>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</si>
  <si>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</si>
  <si>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</si>
  <si>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</si>
  <si>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</si>
  <si>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</si>
  <si>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</si>
  <si>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</si>
  <si>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</si>
  <si>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</si>
  <si>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</si>
  <si>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</si>
  <si>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</si>
  <si>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</si>
  <si>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</si>
  <si>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</si>
  <si>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</si>
  <si>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</si>
  <si>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</si>
  <si>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</si>
  <si>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</si>
  <si>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</si>
  <si>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</si>
  <si>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</si>
  <si>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</si>
  <si>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</si>
  <si>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</si>
  <si>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</si>
  <si>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</si>
  <si>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</si>
  <si>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</si>
  <si>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</si>
  <si>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</si>
  <si>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</si>
  <si>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</si>
  <si>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</si>
  <si>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</si>
  <si>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</si>
  <si>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</si>
  <si>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</si>
  <si>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</si>
  <si>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</si>
  <si>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</si>
  <si>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</si>
  <si>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</si>
  <si>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</si>
  <si>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</si>
  <si>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</si>
  <si>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</si>
  <si>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</si>
  <si>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</si>
  <si>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</si>
  <si>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</si>
  <si>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</si>
  <si>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</si>
  <si>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</si>
  <si>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</si>
  <si>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</si>
  <si>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</si>
  <si>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</si>
  <si>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</si>
  <si>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</si>
  <si>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</si>
  <si>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</si>
  <si>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</si>
  <si>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</si>
  <si>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</si>
  <si>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</si>
  <si>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</si>
  <si>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</si>
  <si>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</si>
  <si>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</si>
  <si>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</si>
  <si>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</si>
  <si>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</si>
  <si>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</si>
  <si>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</si>
  <si>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</si>
  <si>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</si>
  <si>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</si>
  <si>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</si>
  <si>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</si>
  <si>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</si>
  <si>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</si>
  <si>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</si>
  <si>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</si>
  <si>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</si>
  <si>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</si>
  <si>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</si>
  <si>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</si>
  <si>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</si>
  <si>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</si>
  <si>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</si>
  <si>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</si>
  <si>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</si>
  <si>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</si>
  <si>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</si>
  <si>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</si>
  <si>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</si>
  <si>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</si>
  <si>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</si>
  <si>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</si>
  <si>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</si>
  <si>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</si>
  <si>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</si>
  <si>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</si>
  <si>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</si>
  <si>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</si>
  <si>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</si>
  <si>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</si>
  <si>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</si>
  <si>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</si>
  <si>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</si>
  <si>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</si>
  <si>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</si>
  <si>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</si>
  <si>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</si>
  <si>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</si>
  <si>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</si>
  <si>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</si>
  <si>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</si>
  <si>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</si>
  <si>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</si>
  <si>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</si>
  <si>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</si>
  <si>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</si>
  <si>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</si>
  <si>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</si>
  <si>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</si>
  <si>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</si>
  <si>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</si>
  <si>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</si>
  <si>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</si>
  <si>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</si>
  <si>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</si>
  <si>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</si>
  <si>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</si>
  <si>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</si>
  <si>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</si>
  <si>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</si>
  <si>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</si>
  <si>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</si>
  <si>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</si>
  <si>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</si>
  <si>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</si>
  <si>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</si>
  <si>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</si>
  <si>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</si>
  <si>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</si>
  <si>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</si>
  <si>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</si>
  <si>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</si>
  <si>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</si>
  <si>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</si>
  <si>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</si>
  <si>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</si>
  <si>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</si>
  <si>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</si>
  <si>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</si>
  <si>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</si>
  <si>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</si>
  <si>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</si>
  <si>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</si>
  <si>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</si>
  <si>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</si>
  <si>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</si>
  <si>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</si>
  <si>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</si>
  <si>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</si>
  <si>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</si>
  <si>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</si>
  <si>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</si>
  <si>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</si>
  <si>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</si>
  <si>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</si>
  <si>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</si>
  <si>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</si>
  <si>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</si>
  <si>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</si>
  <si>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</si>
  <si>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</si>
  <si>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</si>
  <si>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</si>
  <si>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</si>
  <si>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</si>
  <si>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</si>
  <si>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</si>
  <si>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</si>
  <si>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</si>
  <si>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</si>
  <si>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</si>
  <si>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</si>
  <si>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</si>
  <si>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</si>
  <si>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</si>
  <si>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</si>
  <si>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</si>
  <si>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</si>
  <si>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</si>
  <si>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</si>
  <si>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</si>
  <si>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</si>
  <si>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</si>
  <si>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</si>
  <si>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</si>
  <si>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</si>
  <si>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</si>
  <si>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</si>
  <si>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</si>
  <si>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</si>
  <si>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</si>
  <si>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</si>
  <si>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</si>
  <si>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</si>
  <si>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</si>
  <si>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</si>
  <si>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</si>
  <si>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</si>
  <si>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</si>
  <si>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</si>
  <si>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</si>
  <si>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</si>
  <si>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</si>
  <si>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</si>
  <si>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</si>
  <si>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</si>
  <si>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</si>
  <si>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</si>
  <si>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</si>
  <si>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</si>
  <si>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</si>
  <si>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</si>
  <si>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</si>
  <si>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</si>
  <si>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</si>
  <si>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</si>
  <si>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</si>
  <si>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</si>
  <si>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</si>
  <si>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</si>
  <si>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</si>
  <si>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</si>
  <si>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</si>
  <si>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</si>
  <si>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</si>
  <si>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</si>
  <si>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</si>
  <si>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</si>
  <si>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</si>
  <si>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</si>
  <si>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</si>
  <si>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</si>
  <si>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</si>
  <si>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</si>
  <si>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</si>
  <si>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</si>
  <si>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</si>
  <si>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</si>
  <si>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</si>
  <si>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</si>
  <si>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</si>
  <si>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</si>
  <si>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</si>
  <si>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</si>
  <si>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</si>
  <si>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</si>
  <si>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</si>
  <si>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</si>
  <si>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</si>
  <si>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</si>
  <si>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</si>
  <si>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</si>
  <si>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</si>
  <si>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</si>
  <si>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</si>
  <si>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</si>
  <si>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</si>
  <si>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</si>
  <si>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</si>
  <si>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</si>
  <si>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</si>
  <si>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</si>
  <si>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</si>
  <si>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</si>
  <si>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</si>
  <si>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</si>
  <si>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</si>
  <si>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</si>
  <si>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</si>
  <si>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</si>
  <si>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</si>
  <si>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</si>
  <si>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</si>
  <si>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</si>
  <si>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</si>
  <si>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</si>
  <si>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</si>
  <si>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</si>
  <si>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</si>
  <si>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</si>
  <si>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</si>
  <si>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</si>
  <si>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</si>
  <si>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</si>
  <si>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</si>
  <si>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</si>
  <si>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</si>
  <si>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</si>
  <si>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</si>
  <si>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</si>
  <si>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</si>
  <si>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</si>
  <si>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</si>
  <si>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</si>
  <si>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</si>
  <si>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</si>
  <si>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</si>
  <si>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</si>
  <si>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</si>
  <si>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</si>
  <si>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</si>
  <si>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</si>
  <si>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</si>
  <si>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</si>
  <si>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</si>
  <si>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</si>
  <si>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</si>
  <si>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</si>
  <si>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</si>
  <si>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</si>
  <si>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</si>
  <si>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</si>
  <si>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</si>
  <si>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</si>
  <si>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</si>
  <si>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</si>
  <si>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</si>
  <si>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</si>
  <si>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</si>
  <si>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</si>
  <si>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</si>
  <si>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</si>
  <si>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</si>
  <si>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</si>
  <si>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</si>
  <si>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</si>
  <si>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</si>
  <si>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</si>
  <si>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</si>
  <si>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</si>
  <si>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</si>
  <si>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</si>
  <si>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</si>
  <si>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</si>
  <si>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</si>
  <si>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</si>
  <si>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</si>
  <si>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</si>
  <si>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</si>
  <si>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</si>
  <si>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</si>
  <si>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</si>
  <si>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</si>
  <si>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</si>
  <si>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</si>
  <si>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</si>
  <si>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</si>
  <si>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</si>
  <si>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</si>
  <si>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</si>
  <si>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</si>
  <si>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</si>
  <si>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</si>
  <si>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</si>
  <si>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</si>
  <si>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</si>
  <si>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</si>
  <si>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</si>
  <si>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</si>
  <si>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</si>
  <si>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</si>
  <si>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</si>
  <si>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</si>
  <si>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</si>
  <si>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</si>
  <si>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</si>
  <si>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</si>
  <si>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</si>
  <si>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</si>
  <si>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</si>
  <si>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</si>
  <si>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</si>
  <si>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</si>
  <si>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</si>
  <si>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</si>
  <si>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</si>
  <si>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</si>
  <si>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</si>
  <si>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</si>
  <si>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</si>
  <si>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</si>
  <si>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</si>
  <si>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</si>
  <si>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</si>
  <si>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</si>
  <si>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</si>
  <si>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</si>
  <si>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</si>
  <si>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</si>
  <si>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</si>
  <si>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</si>
  <si>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</si>
  <si>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</si>
  <si>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</si>
  <si>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</si>
  <si>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</si>
  <si>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</si>
  <si>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</si>
  <si>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</si>
  <si>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</si>
  <si>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</si>
  <si>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</si>
  <si>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</si>
  <si>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</si>
  <si>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</si>
  <si>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</si>
  <si>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</si>
  <si>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</si>
  <si>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</si>
  <si>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</si>
  <si>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</si>
  <si>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</si>
  <si>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</si>
  <si>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</si>
  <si>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</si>
  <si>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</si>
  <si>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</si>
  <si>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</si>
  <si>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</si>
  <si>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</si>
  <si>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</si>
  <si>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</si>
  <si>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</si>
  <si>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</si>
  <si>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</si>
  <si>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</si>
  <si>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</si>
  <si>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</si>
  <si>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</si>
  <si>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</si>
  <si>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</si>
  <si>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</si>
  <si>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</si>
  <si>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</si>
  <si>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</si>
  <si>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</si>
  <si>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</si>
  <si>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</si>
  <si>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</si>
  <si>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</si>
  <si>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</si>
  <si>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</si>
  <si>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</si>
  <si>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</si>
  <si>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</si>
  <si>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</si>
  <si>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</si>
  <si>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</si>
  <si>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</si>
  <si>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</si>
  <si>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</si>
  <si>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</si>
  <si>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</si>
  <si>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</si>
  <si>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</si>
  <si>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</si>
  <si>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</si>
  <si>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</si>
  <si>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</si>
  <si>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</si>
  <si>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</si>
  <si>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</si>
  <si>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</si>
  <si>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</si>
  <si>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</si>
  <si>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</si>
  <si>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</si>
  <si>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</si>
  <si>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</si>
  <si>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</si>
  <si>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</si>
  <si>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</si>
  <si>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</si>
  <si>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</si>
  <si>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</si>
  <si>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</si>
  <si>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</si>
  <si>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</si>
  <si>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</si>
  <si>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</si>
  <si>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</si>
  <si>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</si>
  <si>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</si>
  <si>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</si>
  <si>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</si>
  <si>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</si>
  <si>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</si>
  <si>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</si>
  <si>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</si>
  <si>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</si>
  <si>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</si>
  <si>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</si>
  <si>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</si>
  <si>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</si>
  <si>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</si>
  <si>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</si>
  <si>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</si>
  <si>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</si>
  <si>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</si>
  <si>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</si>
  <si>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</si>
  <si>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</si>
  <si>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</si>
  <si>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</si>
  <si>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</si>
  <si>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</si>
  <si>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</si>
  <si>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</si>
  <si>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</si>
  <si>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</si>
  <si>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</si>
  <si>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</si>
  <si>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</si>
  <si>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</si>
  <si>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</si>
  <si>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</si>
  <si>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</si>
  <si>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</si>
  <si>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</si>
  <si>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</si>
  <si>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</si>
  <si>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</si>
  <si>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</si>
  <si>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</si>
  <si>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</si>
  <si>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</si>
  <si>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</si>
  <si>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</si>
  <si>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</si>
  <si>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</si>
  <si>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</si>
  <si>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</si>
  <si>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</si>
  <si>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</si>
  <si>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</si>
  <si>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</si>
  <si>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</si>
  <si>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</si>
  <si>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</si>
  <si>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</si>
  <si>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</si>
  <si>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</si>
  <si>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</si>
  <si>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</si>
  <si>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</si>
  <si>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</si>
  <si>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</si>
  <si>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</si>
  <si>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</si>
  <si>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</si>
  <si>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</si>
  <si>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</si>
  <si>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</si>
  <si>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</si>
  <si>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</si>
  <si>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</si>
  <si>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</si>
  <si>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</si>
  <si>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</si>
  <si>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</si>
  <si>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</si>
  <si>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</si>
  <si>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</si>
  <si>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</si>
  <si>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</si>
  <si>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</si>
  <si>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</si>
  <si>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</si>
  <si>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</si>
  <si>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</si>
  <si>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</si>
  <si>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</si>
  <si>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</si>
  <si>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</si>
  <si>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</si>
  <si>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</si>
  <si>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</si>
  <si>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</si>
  <si>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</si>
  <si>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</si>
  <si>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</si>
  <si>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</si>
  <si>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</si>
  <si>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</si>
  <si>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</si>
  <si>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</si>
  <si>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</si>
  <si>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</si>
  <si>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</si>
  <si>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</si>
  <si>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</si>
  <si>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</si>
  <si>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</si>
  <si>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</si>
  <si>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</si>
  <si>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</si>
  <si>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</si>
  <si>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</si>
  <si>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</si>
  <si>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</si>
  <si>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</si>
  <si>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</si>
  <si>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</si>
  <si>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</si>
  <si>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</si>
  <si>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</si>
  <si>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</si>
  <si>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</si>
  <si>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</si>
  <si>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</si>
  <si>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</si>
  <si>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</si>
  <si>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</si>
  <si>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</si>
  <si>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</si>
  <si>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</si>
  <si>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</si>
  <si>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</si>
  <si>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</si>
  <si>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</si>
  <si>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</si>
  <si>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</si>
  <si>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</si>
  <si>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</si>
  <si>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</si>
  <si>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</si>
  <si>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</si>
  <si>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</si>
  <si>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</si>
  <si>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</si>
  <si>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</si>
  <si>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</si>
  <si>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</si>
  <si>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</si>
  <si>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</si>
  <si>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</si>
  <si>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</si>
  <si>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</si>
  <si>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</si>
  <si>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</si>
  <si>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</si>
  <si>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</si>
  <si>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</si>
  <si>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</si>
  <si>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</si>
  <si>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</si>
  <si>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</si>
  <si>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</si>
  <si>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</si>
  <si>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</si>
  <si>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</si>
  <si>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</si>
  <si>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</si>
  <si>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</si>
  <si>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</si>
  <si>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</si>
  <si>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</si>
  <si>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</si>
  <si>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</si>
  <si>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</si>
  <si>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</si>
  <si>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</si>
  <si>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</si>
  <si>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</si>
  <si>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</si>
  <si>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</si>
  <si>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</si>
  <si>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</si>
  <si>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</si>
  <si>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</si>
  <si>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</si>
  <si>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</si>
  <si>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</si>
  <si>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</si>
  <si>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</si>
  <si>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</si>
  <si>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</si>
  <si>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</si>
  <si>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</si>
  <si>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</si>
  <si>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</si>
  <si>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</si>
  <si>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</si>
  <si>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</si>
  <si>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</si>
  <si>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</si>
  <si>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</si>
  <si>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</si>
  <si>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</si>
  <si>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</si>
  <si>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</si>
  <si>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</si>
  <si>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</si>
  <si>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</si>
  <si>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</si>
  <si>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</si>
  <si>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</si>
  <si>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</si>
  <si>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</si>
  <si>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</si>
  <si>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</si>
  <si>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</si>
  <si>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</si>
  <si>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</si>
  <si>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</si>
  <si>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</si>
  <si>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</si>
  <si>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</si>
  <si>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</si>
  <si>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</si>
  <si>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</si>
  <si>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</si>
  <si>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</si>
  <si>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</si>
  <si>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</si>
  <si>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</si>
  <si>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</si>
  <si>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</si>
  <si>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</si>
  <si>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</si>
  <si>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</si>
  <si>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</si>
  <si>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</si>
  <si>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</si>
  <si>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</si>
  <si>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</si>
  <si>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</si>
  <si>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</si>
  <si>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</si>
  <si>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</si>
  <si>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</si>
  <si>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</si>
  <si>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</si>
  <si>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</si>
  <si>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</si>
  <si>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</si>
  <si>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</si>
  <si>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</si>
  <si>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</si>
  <si>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</si>
  <si>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</si>
  <si>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</si>
  <si>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</si>
  <si>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</si>
  <si>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</si>
  <si>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</si>
  <si>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</si>
  <si>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</si>
  <si>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</si>
  <si>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</si>
  <si>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</si>
  <si>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</si>
  <si>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</si>
  <si>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</si>
  <si>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</si>
  <si>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</si>
  <si>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</si>
  <si>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</si>
  <si>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</si>
  <si>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</si>
  <si>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</si>
  <si>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</si>
  <si>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</si>
  <si>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</si>
  <si>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</si>
  <si>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</si>
  <si>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</si>
  <si>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</si>
  <si>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</si>
  <si>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</si>
  <si>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</si>
  <si>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</si>
  <si>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</si>
  <si>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</si>
  <si>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</si>
  <si>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</si>
  <si>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</si>
  <si>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</si>
  <si>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</si>
  <si>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</si>
  <si>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</si>
  <si>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</si>
  <si>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</si>
  <si>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</si>
  <si>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</si>
  <si>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</si>
  <si>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</si>
  <si>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</si>
  <si>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</si>
  <si>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</si>
  <si>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</si>
  <si>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</si>
  <si>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</si>
  <si>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</si>
  <si>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</si>
  <si>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</si>
  <si>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</si>
  <si>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</si>
  <si>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</si>
  <si>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</si>
  <si>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</si>
  <si>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</si>
  <si>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</si>
  <si>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</si>
  <si>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</si>
  <si>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</si>
  <si>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</si>
  <si>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</si>
  <si>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</si>
  <si>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</si>
  <si>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</si>
  <si>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</si>
  <si>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</si>
  <si>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</si>
  <si>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</si>
  <si>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</si>
  <si>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</si>
  <si>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</si>
  <si>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</si>
  <si>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</si>
  <si>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</si>
  <si>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</si>
  <si>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</si>
  <si>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</si>
  <si>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</si>
  <si>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</si>
  <si>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</si>
  <si>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</si>
  <si>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</si>
  <si>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</si>
  <si>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</si>
  <si>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</si>
  <si>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</si>
  <si>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</si>
  <si>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</si>
  <si>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</si>
  <si>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</si>
  <si>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</si>
  <si>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</si>
  <si>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</si>
  <si>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</si>
  <si>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</si>
  <si>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</si>
  <si>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</si>
  <si>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</si>
  <si>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</si>
  <si>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</si>
  <si>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</si>
  <si>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</si>
  <si>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</si>
  <si>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</si>
  <si>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</si>
  <si>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</si>
  <si>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</si>
  <si>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</si>
  <si>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</si>
  <si>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</si>
  <si>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</si>
  <si>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</si>
  <si>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</si>
  <si>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</si>
  <si>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</si>
  <si>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</si>
  <si>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</si>
  <si>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</si>
  <si>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</si>
  <si>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</si>
  <si>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</si>
  <si>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</si>
  <si>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</si>
  <si>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</si>
  <si>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</si>
  <si>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</si>
  <si>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</si>
  <si>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</si>
  <si>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</si>
  <si>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</si>
  <si>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</si>
  <si>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</si>
  <si>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</si>
  <si>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</si>
  <si>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</si>
  <si>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</si>
  <si>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</si>
  <si>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</si>
  <si>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</si>
  <si>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</si>
  <si>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</si>
  <si>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</si>
  <si>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</si>
  <si>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</si>
  <si>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</si>
  <si>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</si>
  <si>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</si>
  <si>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</si>
  <si>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</si>
  <si>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</si>
  <si>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</si>
  <si>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</si>
  <si>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</si>
  <si>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</si>
  <si>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</si>
  <si>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</si>
  <si>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</si>
  <si>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</si>
  <si>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</si>
  <si>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</si>
  <si>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</si>
  <si>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</si>
  <si>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</si>
  <si>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</si>
  <si>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</si>
  <si>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</si>
  <si>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</si>
  <si>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</si>
  <si>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</si>
  <si>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</si>
  <si>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</si>
  <si>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</si>
  <si>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</si>
  <si>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</si>
  <si>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</si>
  <si>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</si>
  <si>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</si>
  <si>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</si>
  <si>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</si>
  <si>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</si>
  <si>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</si>
  <si>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</si>
  <si>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</si>
  <si>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</si>
  <si>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</si>
  <si>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</si>
  <si>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</si>
  <si>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</si>
  <si>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</si>
  <si>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</si>
  <si>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</si>
  <si>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</si>
  <si>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</si>
  <si>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</si>
  <si>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</si>
  <si>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</si>
  <si>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</si>
  <si>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</si>
  <si>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</si>
  <si>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</si>
  <si>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</si>
  <si>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</si>
  <si>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</si>
  <si>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</si>
  <si>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</si>
  <si>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</si>
  <si>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</si>
  <si>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</si>
  <si>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</si>
  <si>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</si>
  <si>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</si>
  <si>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</si>
  <si>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</si>
  <si>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</si>
  <si>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</si>
  <si>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</si>
  <si>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</si>
  <si>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</si>
  <si>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</si>
  <si>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</si>
  <si>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</si>
  <si>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</si>
  <si>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</si>
  <si>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</si>
  <si>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</si>
  <si>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</si>
  <si>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</si>
  <si>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</si>
  <si>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</si>
  <si>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</si>
  <si>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</si>
  <si>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</si>
  <si>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</si>
  <si>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</si>
  <si>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</si>
  <si>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</si>
  <si>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</si>
  <si>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</si>
  <si>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</si>
  <si>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</si>
  <si>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</si>
  <si>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</si>
  <si>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</si>
  <si>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</si>
  <si>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</si>
  <si>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</si>
  <si>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</si>
  <si>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</si>
  <si>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</si>
  <si>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</si>
  <si>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</si>
  <si>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</si>
  <si>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</si>
  <si>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</si>
  <si>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</si>
  <si>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</si>
  <si>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</si>
  <si>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</si>
  <si>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</si>
  <si>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</si>
  <si>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</si>
  <si>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</si>
  <si>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</si>
  <si>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</si>
  <si>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</si>
  <si>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</si>
  <si>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</si>
  <si>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</si>
  <si>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</si>
  <si>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</si>
  <si>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</si>
  <si>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</si>
  <si>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</si>
  <si>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</si>
  <si>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</si>
  <si>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</si>
  <si>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</si>
  <si>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</si>
  <si>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</si>
  <si>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</si>
  <si>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</si>
  <si>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</si>
  <si>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</si>
  <si>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</si>
  <si>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</si>
  <si>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</si>
  <si>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</si>
  <si>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</si>
  <si>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</si>
  <si>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</si>
  <si>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</si>
  <si>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</si>
  <si>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</si>
  <si>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</si>
  <si>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</si>
  <si>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</si>
  <si>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</si>
  <si>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</si>
  <si>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</si>
  <si>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</si>
  <si>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</si>
  <si>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</si>
  <si>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</si>
  <si>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</si>
  <si>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</si>
  <si>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</si>
  <si>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</si>
  <si>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</si>
  <si>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</si>
  <si>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</si>
  <si>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</si>
  <si>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</si>
  <si>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</si>
  <si>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</si>
  <si>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</si>
  <si>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</si>
  <si>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</si>
  <si>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</si>
  <si>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</si>
  <si>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</si>
  <si>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</si>
  <si>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</si>
  <si>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</si>
  <si>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</si>
  <si>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</si>
  <si>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</si>
  <si>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</si>
  <si>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</si>
  <si>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</si>
  <si>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</si>
  <si>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</si>
  <si>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</si>
  <si>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</si>
  <si>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</si>
  <si>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</si>
  <si>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</si>
  <si>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</si>
  <si>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</si>
  <si>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</si>
  <si>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</si>
  <si>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</si>
  <si>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</si>
  <si>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</si>
  <si>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</si>
  <si>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</si>
  <si>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</si>
  <si>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</si>
  <si>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</si>
  <si>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</si>
  <si>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</si>
  <si>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</si>
  <si>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</si>
  <si>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</si>
  <si>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</si>
  <si>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</si>
  <si>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</si>
  <si>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</si>
  <si>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</si>
  <si>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</si>
  <si>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</si>
  <si>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</si>
  <si>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</si>
  <si>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</si>
  <si>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</si>
  <si>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</si>
  <si>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</si>
  <si>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</si>
  <si>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</si>
  <si>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</si>
  <si>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</si>
  <si>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</si>
  <si>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</si>
  <si>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</si>
  <si>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</si>
  <si>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</si>
  <si>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</si>
  <si>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</si>
  <si>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</si>
  <si>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</si>
  <si>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</si>
  <si>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</si>
  <si>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</si>
  <si>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</si>
  <si>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</si>
  <si>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</si>
  <si>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</si>
  <si>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</si>
  <si>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</si>
  <si>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</si>
  <si>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</si>
  <si>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</si>
  <si>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</si>
  <si>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</si>
  <si>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</si>
  <si>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</si>
  <si>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</si>
  <si>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</si>
  <si>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</si>
  <si>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</si>
  <si>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</si>
  <si>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</si>
  <si>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</si>
  <si>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</si>
  <si>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</si>
  <si>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</si>
  <si>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</si>
  <si>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</si>
  <si>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</si>
  <si>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</si>
  <si>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</si>
  <si>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</si>
  <si>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</si>
  <si>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</si>
  <si>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</si>
  <si>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</si>
  <si>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</si>
  <si>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</si>
  <si>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</si>
  <si>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</si>
  <si>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</si>
  <si>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</si>
  <si>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</si>
  <si>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</si>
  <si>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</si>
  <si>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</si>
  <si>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</si>
  <si>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</si>
  <si>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</si>
  <si>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</si>
  <si>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</si>
  <si>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</si>
  <si>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</si>
  <si>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</si>
  <si>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</si>
  <si>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</si>
  <si>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</si>
  <si>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</si>
  <si>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</si>
  <si>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</si>
  <si>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</si>
  <si>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</si>
  <si>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</si>
  <si>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</si>
  <si>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</si>
  <si>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</si>
  <si>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</si>
  <si>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</si>
  <si>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</si>
  <si>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</si>
  <si>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</si>
  <si>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</si>
  <si>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</si>
  <si>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</si>
  <si>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</si>
  <si>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</si>
  <si>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</si>
  <si>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>S30(20JULHO-25JULHO 2026)</t>
  </si>
  <si>
    <t xml:space="preserve">MAQUINAS DE EQUILIBRAR </t>
  </si>
  <si>
    <t>600P</t>
  </si>
  <si>
    <t>MAO DE OBRA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</si>
</sst>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0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5" applyNumberFormat="0" applyAlignment="0" applyProtection="0"/>
    <xf numFmtId="0" fontId="12" fillId="8" borderId="6" applyNumberFormat="0" applyAlignment="0" applyProtection="0"/>
    <xf numFmtId="0" fontId="13" fillId="8" borderId="5" applyNumberFormat="0" applyAlignment="0" applyProtection="0"/>
    <xf numFmtId="0" fontId="14" fillId="0" borderId="7" applyNumberFormat="0" applyFill="0" applyAlignment="0" applyProtection="0"/>
    <xf numFmtId="0" fontId="15" fillId="9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0" applyNumberFormat="0" applyFill="0" applyAlignment="0" applyProtection="0"/>
    <xf numFmtId="0" fontId="19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9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9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9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9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9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10" borderId="9" applyNumberFormat="0" applyFont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2" fillId="0" borderId="1" xfId="0" applyFont="1" applyBorder="1" applyAlignment="1">
      <alignment horizontal="left" vertical="top"/>
    </xf>
    <xf numFmtId="10" fontId="2" fillId="0" borderId="1" xfId="0" applyNumberFormat="1" applyFont="1" applyBorder="1" applyAlignment="1">
      <alignment horizontal="center" vertical="top"/>
    </xf>
    <xf numFmtId="10" fontId="3" fillId="0" borderId="0" xfId="0" applyNumberFormat="1" applyFont="1"/>
    <xf numFmtId="0" fontId="3" fillId="0" borderId="0" xfId="0" applyFont="1" applyAlignment="1">
      <alignment horizontal="left"/>
    </xf>
    <xf numFmtId="3" fontId="3" fillId="0" borderId="0" xfId="0" applyNumberFormat="1" applyFont="1"/>
    <xf numFmtId="1" fontId="3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" fontId="2" fillId="0" borderId="1" xfId="0" applyNumberFormat="1" applyFont="1" applyBorder="1" applyAlignment="1">
      <alignment horizontal="center" vertical="top"/>
    </xf>
    <xf numFmtId="166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/>
    <xf numFmtId="10" fontId="3" fillId="2" borderId="0" xfId="0" applyNumberFormat="1" applyFont="1" applyFill="1"/>
    <xf numFmtId="10" fontId="3" fillId="3" borderId="0" xfId="0" applyNumberFormat="1" applyFont="1" applyFill="1"/>
    <xf numFmtId="10" fontId="3" fillId="0" borderId="0" xfId="0" quotePrefix="1" applyNumberFormat="1" applyFont="1"/>
    <xf numFmtId="164" fontId="3" fillId="0" borderId="0" xfId="41" applyNumberFormat="1" applyFont="1"/>
    <xf numFmtId="165" fontId="3" fillId="0" borderId="0" xfId="41" applyNumberFormat="1" applyFont="1"/>
    <xf numFmtId="0" fontId="3" fillId="0" borderId="0" xfId="41" applyNumberFormat="1" applyFont="1"/>
  </cellXfs>
  <cellStyles count="43">
    <cellStyle name="20% - Cor1" xfId="18" builtinId="30" customBuiltin="1"/>
    <cellStyle name="20% - Cor2" xfId="22" builtinId="34" customBuiltin="1"/>
    <cellStyle name="20% - Cor3" xfId="26" builtinId="38" customBuiltin="1"/>
    <cellStyle name="20% - Cor4" xfId="30" builtinId="42" customBuiltin="1"/>
    <cellStyle name="20% - Cor5" xfId="34" builtinId="46" customBuiltin="1"/>
    <cellStyle name="20% - Cor6" xfId="38" builtinId="50" customBuiltin="1"/>
    <cellStyle name="40% - Cor1" xfId="19" builtinId="31" customBuiltin="1"/>
    <cellStyle name="40% - Cor2" xfId="23" builtinId="35" customBuiltin="1"/>
    <cellStyle name="40% - Cor3" xfId="27" builtinId="39" customBuiltin="1"/>
    <cellStyle name="40% - Cor4" xfId="31" builtinId="43" customBuiltin="1"/>
    <cellStyle name="40% - Cor5" xfId="35" builtinId="47" customBuiltin="1"/>
    <cellStyle name="40% - Cor6" xfId="39" builtinId="51" customBuiltin="1"/>
    <cellStyle name="60% - Cor1" xfId="20" builtinId="32" customBuiltin="1"/>
    <cellStyle name="60% - Cor2" xfId="24" builtinId="36" customBuiltin="1"/>
    <cellStyle name="60% - Cor3" xfId="28" builtinId="40" customBuiltin="1"/>
    <cellStyle name="60% - Cor4" xfId="32" builtinId="44" customBuiltin="1"/>
    <cellStyle name="60% - Cor5" xfId="36" builtinId="48" customBuiltin="1"/>
    <cellStyle name="60% - Cor6" xfId="40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ta 2" xfId="42" xr:uid="{B10ED945-6AC2-457D-9920-F6FD2C78ABDB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45"/>
  <sheetViews>
    <sheetView tabSelected="1" workbookViewId="0">
      <pane ySplit="1" topLeftCell="A938" activePane="bottomLeft" state="frozen"/>
      <selection pane="bottomLeft" activeCell="E956" sqref="E956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3237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3237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3237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3237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3237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3237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3237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3237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3237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3237</v>
      </c>
      <c r="AA11" s="2" t="s">
        <v>72</v>
      </c>
      <c r="AB11" s="2" t="s">
        <v>69</v>
      </c>
      <c r="AC11" s="2" t="s">
        <v>3242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3237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3281</v>
      </c>
      <c r="M13" s="2" t="s">
        <v>81</v>
      </c>
      <c r="O13" s="2" t="s">
        <v>3208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3237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3281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3237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3155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3237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3237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3237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3237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3182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3237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3237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3237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3237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3237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3237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3237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3237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3237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3237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3237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3237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3237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3237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3237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3237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3237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3237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3237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3237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3237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3237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3237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3237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3237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3237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3123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3237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3123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3237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3123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3237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3123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3237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3123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3237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3123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3237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3123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3237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3123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3237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3123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3237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3123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3237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3123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3237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3123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3237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3123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3237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3123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3237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3123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3237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3123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3237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3123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3237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3123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3237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3123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3237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3123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3237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3123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3237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3123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3237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3123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3237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3123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3237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3123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3237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3123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3237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3123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3237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3123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3237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3123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3237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3123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3237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3123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3237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3123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3237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3123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3237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3123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3237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3123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3237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3123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3237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3237</v>
      </c>
      <c r="AA100" s="2" t="s">
        <v>72</v>
      </c>
      <c r="AB100" s="2" t="s">
        <v>69</v>
      </c>
      <c r="AC100" s="2" t="s">
        <v>3242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3237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3237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3237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3237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3237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3237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3237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3237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3237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3237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3237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3237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3184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3183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3237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3237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3237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3242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3237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3237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3124</v>
      </c>
      <c r="J124" s="2" t="s">
        <v>3125</v>
      </c>
      <c r="L124" s="2" t="s">
        <v>113</v>
      </c>
      <c r="M124" s="2" t="s">
        <v>40</v>
      </c>
      <c r="O124" s="2" t="s">
        <v>3126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3124</v>
      </c>
      <c r="J125" s="2" t="s">
        <v>3125</v>
      </c>
      <c r="L125" s="2" t="s">
        <v>113</v>
      </c>
      <c r="M125" s="2" t="s">
        <v>40</v>
      </c>
      <c r="O125" s="2" t="s">
        <v>3126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3124</v>
      </c>
      <c r="J126" s="2" t="s">
        <v>3125</v>
      </c>
      <c r="L126" s="2" t="s">
        <v>113</v>
      </c>
      <c r="M126" s="2" t="s">
        <v>40</v>
      </c>
      <c r="O126" s="2" t="s">
        <v>3126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3237</v>
      </c>
      <c r="AA127" s="2" t="s">
        <v>72</v>
      </c>
      <c r="AB127" s="2" t="s">
        <v>69</v>
      </c>
      <c r="AC127" s="2" t="s">
        <v>3242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3237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3237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3237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3237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3237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3237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3237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3237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3237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3237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3237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3237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3237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3237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3237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3237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3237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3129</v>
      </c>
      <c r="K155" s="2">
        <v>917575485</v>
      </c>
      <c r="L155" s="2" t="s">
        <v>462</v>
      </c>
      <c r="M155" s="2" t="s">
        <v>41</v>
      </c>
      <c r="O155" s="2" t="s">
        <v>3131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3237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3129</v>
      </c>
      <c r="K156" s="2">
        <v>917575485</v>
      </c>
      <c r="L156" s="2" t="s">
        <v>462</v>
      </c>
      <c r="M156" s="2" t="s">
        <v>41</v>
      </c>
      <c r="O156" s="2" t="s">
        <v>3131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3237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3392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3237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3237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3237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3237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3237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3237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3237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3392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3237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3237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3392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3237</v>
      </c>
      <c r="AA173" s="2" t="s">
        <v>46</v>
      </c>
      <c r="AB173" s="2" t="s">
        <v>61</v>
      </c>
      <c r="AC173" s="2" t="s">
        <v>3343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3237</v>
      </c>
      <c r="AA174" s="2" t="s">
        <v>46</v>
      </c>
      <c r="AB174" s="2" t="s">
        <v>61</v>
      </c>
      <c r="AC174" s="2" t="s">
        <v>3343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2484</v>
      </c>
      <c r="J175" s="2" t="s">
        <v>3132</v>
      </c>
      <c r="K175" s="2">
        <v>965864665</v>
      </c>
      <c r="L175" s="2" t="s">
        <v>345</v>
      </c>
      <c r="M175" s="2" t="s">
        <v>81</v>
      </c>
      <c r="O175" s="2" t="s">
        <v>3133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3237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2484</v>
      </c>
      <c r="J176" s="2" t="s">
        <v>3132</v>
      </c>
      <c r="K176" s="2">
        <v>965864665</v>
      </c>
      <c r="L176" s="2" t="s">
        <v>345</v>
      </c>
      <c r="M176" s="2" t="s">
        <v>81</v>
      </c>
      <c r="O176" s="2" t="s">
        <v>3133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3237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3138</v>
      </c>
      <c r="K181" s="2">
        <v>962555043</v>
      </c>
      <c r="L181" s="2" t="s">
        <v>345</v>
      </c>
      <c r="M181" s="2" t="s">
        <v>40</v>
      </c>
      <c r="O181" s="2" t="s">
        <v>3139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3138</v>
      </c>
      <c r="K182" s="2">
        <v>962555043</v>
      </c>
      <c r="L182" s="2" t="s">
        <v>345</v>
      </c>
      <c r="M182" s="2" t="s">
        <v>40</v>
      </c>
      <c r="O182" s="2" t="s">
        <v>3139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3318</v>
      </c>
      <c r="D183" s="2" t="s">
        <v>3341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3237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3237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3237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3237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3237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3237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3237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3237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3237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3186</v>
      </c>
      <c r="K195" s="2">
        <v>911577458</v>
      </c>
      <c r="L195" s="2" t="s">
        <v>178</v>
      </c>
      <c r="M195" s="2" t="s">
        <v>41</v>
      </c>
      <c r="O195" s="2" t="s">
        <v>3187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3237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3186</v>
      </c>
      <c r="K196" s="2">
        <v>911577458</v>
      </c>
      <c r="L196" s="2" t="s">
        <v>178</v>
      </c>
      <c r="M196" s="2" t="s">
        <v>41</v>
      </c>
      <c r="O196" s="2" t="s">
        <v>3187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3237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3191</v>
      </c>
      <c r="L197" s="2" t="s">
        <v>134</v>
      </c>
      <c r="M197" s="2" t="s">
        <v>40</v>
      </c>
      <c r="O197" s="2" t="s">
        <v>3192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3237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3237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3237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3237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3237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3237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3237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3237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3392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3318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3237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3237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3237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3237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3237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3142</v>
      </c>
      <c r="L222" s="2" t="s">
        <v>178</v>
      </c>
      <c r="M222" s="2" t="s">
        <v>41</v>
      </c>
      <c r="O222" s="2" t="s">
        <v>3141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3237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3142</v>
      </c>
      <c r="L223" s="2" t="s">
        <v>178</v>
      </c>
      <c r="M223" s="2" t="s">
        <v>41</v>
      </c>
      <c r="O223" s="2" t="s">
        <v>3141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3237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3142</v>
      </c>
      <c r="L224" s="2" t="s">
        <v>178</v>
      </c>
      <c r="M224" s="2" t="s">
        <v>41</v>
      </c>
      <c r="O224" s="2" t="s">
        <v>3141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3237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3237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3237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3237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3237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3143</v>
      </c>
      <c r="L229" s="2" t="s">
        <v>178</v>
      </c>
      <c r="M229" s="2" t="s">
        <v>41</v>
      </c>
      <c r="O229" s="2" t="s">
        <v>3144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3237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3237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3237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3237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3194</v>
      </c>
      <c r="J239" s="2" t="s">
        <v>3195</v>
      </c>
      <c r="L239" s="2" t="s">
        <v>202</v>
      </c>
      <c r="M239" s="2" t="s">
        <v>41</v>
      </c>
      <c r="O239" s="2" t="s">
        <v>3196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3237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3194</v>
      </c>
      <c r="J240" s="2" t="s">
        <v>3195</v>
      </c>
      <c r="L240" s="2" t="s">
        <v>202</v>
      </c>
      <c r="M240" s="2" t="s">
        <v>41</v>
      </c>
      <c r="O240" s="2" t="s">
        <v>3196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3237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3237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3237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3237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3201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3237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3237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3237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3237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3237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3237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3237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3237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3237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3237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3237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3237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3197</v>
      </c>
      <c r="L262" s="2" t="s">
        <v>340</v>
      </c>
      <c r="M262" s="2" t="s">
        <v>40</v>
      </c>
      <c r="O262" s="2" t="s">
        <v>3198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3197</v>
      </c>
      <c r="L263" s="2" t="s">
        <v>340</v>
      </c>
      <c r="M263" s="2" t="s">
        <v>40</v>
      </c>
      <c r="O263" s="2" t="s">
        <v>3199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3237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3237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3237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3237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3237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3237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3237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3237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3237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3237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3237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3237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3237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3237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3237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3237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3237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3237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3237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3237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3237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3237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3237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3237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3237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3237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3237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3237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3237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3237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3237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3237</v>
      </c>
      <c r="AA302" s="2" t="s">
        <v>46</v>
      </c>
      <c r="AB302" s="2" t="s">
        <v>61</v>
      </c>
      <c r="AC302" s="2" t="s">
        <v>3343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3237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3237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3237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3237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3237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3237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3194</v>
      </c>
      <c r="J312" s="2" t="s">
        <v>3249</v>
      </c>
      <c r="K312" s="2">
        <v>965347433</v>
      </c>
      <c r="L312" s="2" t="s">
        <v>202</v>
      </c>
      <c r="M312" s="2" t="s">
        <v>41</v>
      </c>
      <c r="O312" s="2" t="s">
        <v>3250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3237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3194</v>
      </c>
      <c r="J313" s="2" t="s">
        <v>3249</v>
      </c>
      <c r="K313" s="2">
        <v>965347433</v>
      </c>
      <c r="L313" s="2" t="s">
        <v>202</v>
      </c>
      <c r="M313" s="2" t="s">
        <v>41</v>
      </c>
      <c r="O313" s="2" t="s">
        <v>3250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3237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3237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3237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3318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3318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3318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3318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3318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650</v>
      </c>
      <c r="P324" s="2" t="s">
        <v>3185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3185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3237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3237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3237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3237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3237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3237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3237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3237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1630</v>
      </c>
      <c r="J336" s="2" t="s">
        <v>3180</v>
      </c>
      <c r="L336" s="2" t="s">
        <v>340</v>
      </c>
      <c r="M336" s="2" t="s">
        <v>40</v>
      </c>
      <c r="O336" s="2" t="s">
        <v>3181</v>
      </c>
      <c r="P336" s="2" t="s">
        <v>1615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1098</v>
      </c>
      <c r="AC336" s="2" t="s">
        <v>1615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3237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3237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3237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3237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3414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3200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3237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3237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3237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3237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3237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3237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3237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3237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3237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3237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3237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3237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3237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3237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3237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3237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3237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3237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3237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3237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3237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3237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3237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3237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3237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3237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3237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3237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3392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3237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3237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3237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C405" s="2" t="s">
        <v>3319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3237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C406" s="2" t="s">
        <v>3319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3237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3237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3237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3237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3"/>
        <v>0.43981481481481488</v>
      </c>
      <c r="Z410" s="2" t="s">
        <v>3237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21.375000000000004</v>
      </c>
      <c r="AL410" s="5">
        <f t="shared" si="49"/>
        <v>0.43981481481481488</v>
      </c>
    </row>
    <row r="411" spans="1:38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3237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3237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3237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3237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3237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3237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3237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x14ac:dyDescent="0.2">
      <c r="A419" s="2">
        <v>2025</v>
      </c>
      <c r="B419" s="2">
        <v>2</v>
      </c>
      <c r="C419" s="2" t="s">
        <v>3315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3383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3315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3383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3237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3237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3237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3237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3237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3237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3237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3237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3237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3237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4"/>
        <v>0.14285714285714288</v>
      </c>
      <c r="Z441" s="2" t="s">
        <v>3237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2.4000000000000004</v>
      </c>
      <c r="AL441" s="5">
        <f t="shared" si="55"/>
        <v>0.14285714285714288</v>
      </c>
    </row>
    <row r="442" spans="1:38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3237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3237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3237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3237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3237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3237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3237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3319</v>
      </c>
      <c r="D455" s="2" t="s">
        <v>3317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3316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3315</v>
      </c>
      <c r="D456" s="2" t="s">
        <v>3314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3313</v>
      </c>
      <c r="P456" s="2" t="s">
        <v>115</v>
      </c>
      <c r="Q456" s="16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3319</v>
      </c>
      <c r="D457" s="2" t="s">
        <v>3317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3316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3319</v>
      </c>
      <c r="D458" s="2" t="s">
        <v>3320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3315</v>
      </c>
      <c r="D459" s="2" t="s">
        <v>3314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3313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3392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3237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3237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3237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3237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3237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3392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3237</v>
      </c>
      <c r="AA472" s="2" t="s">
        <v>156</v>
      </c>
      <c r="AB472" s="2" t="s">
        <v>3394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3237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0"/>
        <v>0.5147222222222223</v>
      </c>
      <c r="Z474" s="2" t="s">
        <v>3237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9.2650000000000006</v>
      </c>
      <c r="AL474" s="5">
        <f t="shared" si="55"/>
        <v>0.5147222222222223</v>
      </c>
    </row>
    <row r="475" spans="1:38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0"/>
        <v>0.14285714285714288</v>
      </c>
      <c r="Z475" s="2" t="s">
        <v>3237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2.4000000000000004</v>
      </c>
      <c r="AL475" s="5">
        <f t="shared" si="55"/>
        <v>0.14285714285714288</v>
      </c>
    </row>
    <row r="476" spans="1:38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0"/>
        <v>0.52380952380952384</v>
      </c>
      <c r="Z476" s="2" t="s">
        <v>3237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8.8000000000000007</v>
      </c>
      <c r="AL476" s="5">
        <f t="shared" si="55"/>
        <v>0.52380952380952384</v>
      </c>
    </row>
    <row r="477" spans="1:38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3237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3237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3237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3237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3237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3237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0"/>
        <v>0.14285714285714288</v>
      </c>
      <c r="Z484" s="2" t="s">
        <v>3237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2.4000000000000004</v>
      </c>
      <c r="AL484" s="5">
        <f t="shared" si="55"/>
        <v>0.14285714285714288</v>
      </c>
    </row>
    <row r="485" spans="1:38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3237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2"/>
        <v>0.14285714285714288</v>
      </c>
      <c r="Z491" s="2" t="s">
        <v>3237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2.4000000000000004</v>
      </c>
      <c r="AL491" s="5">
        <f t="shared" si="61"/>
        <v>0.14285714285714288</v>
      </c>
    </row>
    <row r="492" spans="1:38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2"/>
        <v>0.52380952380952384</v>
      </c>
      <c r="Z492" s="2" t="s">
        <v>3237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8.8000000000000007</v>
      </c>
      <c r="AL492" s="5">
        <f t="shared" si="61"/>
        <v>0.52380952380952384</v>
      </c>
    </row>
    <row r="493" spans="1:38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2"/>
        <v>0.5180980392156862</v>
      </c>
      <c r="Z493" s="2" t="s">
        <v>3237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10.569199999999999</v>
      </c>
      <c r="AL493" s="5">
        <f t="shared" si="61"/>
        <v>0.5180980392156862</v>
      </c>
    </row>
    <row r="494" spans="1:38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3237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3237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3237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3237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3237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3237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3237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3237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3237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3237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3237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3237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3237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3237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3237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3237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3237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3237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3392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3237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3237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3237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3237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3237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3237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3237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3237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3237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3237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3237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3237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3237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3237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3237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3237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3237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3237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3237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3237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3237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3237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944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69"/>
        <v>0.42327586206896545</v>
      </c>
      <c r="Z547" s="2" t="s">
        <v>3237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7.3649999999999984</v>
      </c>
      <c r="AL547" s="5">
        <f t="shared" si="70"/>
        <v>0.42327586206896545</v>
      </c>
    </row>
    <row r="548" spans="1:38" x14ac:dyDescent="0.2">
      <c r="A548" s="2">
        <v>2025</v>
      </c>
      <c r="B548" s="2">
        <v>3</v>
      </c>
      <c r="D548" s="2" t="s">
        <v>944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3237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944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3237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x14ac:dyDescent="0.2">
      <c r="A550" s="2">
        <v>2025</v>
      </c>
      <c r="B550" s="2">
        <v>3</v>
      </c>
      <c r="D550" s="2" t="s">
        <v>944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3237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69"/>
        <v>0.42644927536231886</v>
      </c>
      <c r="Z551" s="2" t="s">
        <v>3237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11.770000000000001</v>
      </c>
      <c r="AL551" s="5">
        <f t="shared" si="70"/>
        <v>0.42644927536231886</v>
      </c>
    </row>
    <row r="552" spans="1:38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69"/>
        <v>0.42327586206896545</v>
      </c>
      <c r="Z552" s="2" t="s">
        <v>3237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7.3649999999999984</v>
      </c>
      <c r="AL552" s="5">
        <f t="shared" si="70"/>
        <v>0.42327586206896545</v>
      </c>
    </row>
    <row r="553" spans="1:38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69"/>
        <v>0.43981481481481483</v>
      </c>
      <c r="Z553" s="2" t="s">
        <v>3237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7.125</v>
      </c>
      <c r="AL553" s="5">
        <f t="shared" si="70"/>
        <v>0.43981481481481483</v>
      </c>
    </row>
    <row r="554" spans="1:38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3237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3237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3237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3237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3237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3237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3237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3237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711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958</v>
      </c>
      <c r="R569" s="2" t="s">
        <v>959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960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x14ac:dyDescent="0.2">
      <c r="A572" s="2">
        <v>2025</v>
      </c>
      <c r="B572" s="2">
        <v>3</v>
      </c>
      <c r="D572" s="2" t="s">
        <v>961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x14ac:dyDescent="0.2">
      <c r="A573" s="2">
        <v>2025</v>
      </c>
      <c r="B573" s="2">
        <v>3</v>
      </c>
      <c r="D573" s="2" t="s">
        <v>961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x14ac:dyDescent="0.2">
      <c r="A574" s="2">
        <v>2025</v>
      </c>
      <c r="B574" s="2">
        <v>3</v>
      </c>
      <c r="D574" s="2" t="s">
        <v>961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962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3237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x14ac:dyDescent="0.2">
      <c r="A576" s="2">
        <v>2025</v>
      </c>
      <c r="B576" s="2">
        <v>3</v>
      </c>
      <c r="D576" s="2" t="s">
        <v>963</v>
      </c>
      <c r="P576" s="2" t="s">
        <v>73</v>
      </c>
      <c r="Q576" s="2" t="s">
        <v>964</v>
      </c>
      <c r="R576" s="2" t="s">
        <v>965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3237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x14ac:dyDescent="0.2">
      <c r="A577" s="2">
        <v>2025</v>
      </c>
      <c r="B577" s="2">
        <v>3</v>
      </c>
      <c r="D577" s="2" t="s">
        <v>963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3237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966</v>
      </c>
      <c r="P578" s="2" t="s">
        <v>43</v>
      </c>
      <c r="Q578" s="2" t="s">
        <v>967</v>
      </c>
      <c r="R578" s="2" t="s">
        <v>968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3237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969</v>
      </c>
      <c r="P579" s="2" t="s">
        <v>43</v>
      </c>
      <c r="Q579" s="2" t="s">
        <v>970</v>
      </c>
      <c r="R579" s="2" t="s">
        <v>971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3237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969</v>
      </c>
      <c r="P580" s="2" t="s">
        <v>43</v>
      </c>
      <c r="Q580" s="2" t="s">
        <v>972</v>
      </c>
      <c r="R580" s="2" t="s">
        <v>973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3237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969</v>
      </c>
      <c r="P581" s="2" t="s">
        <v>43</v>
      </c>
      <c r="Q581" s="2" t="s">
        <v>974</v>
      </c>
      <c r="R581" s="2" t="s">
        <v>975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3237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x14ac:dyDescent="0.2">
      <c r="A582" s="2">
        <v>2025</v>
      </c>
      <c r="B582" s="2">
        <v>3</v>
      </c>
      <c r="D582" s="2" t="s">
        <v>976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x14ac:dyDescent="0.2">
      <c r="A583" s="2">
        <v>2025</v>
      </c>
      <c r="B583" s="2">
        <v>3</v>
      </c>
      <c r="D583" s="2" t="s">
        <v>976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x14ac:dyDescent="0.2">
      <c r="A584" s="2">
        <v>2025</v>
      </c>
      <c r="B584" s="2">
        <v>3</v>
      </c>
      <c r="D584" s="2" t="s">
        <v>977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978</v>
      </c>
      <c r="J584" s="2" t="s">
        <v>979</v>
      </c>
      <c r="L584" s="2" t="s">
        <v>601</v>
      </c>
      <c r="M584" s="2" t="s">
        <v>40</v>
      </c>
      <c r="O584" s="2" t="s">
        <v>980</v>
      </c>
      <c r="P584" s="2" t="s">
        <v>115</v>
      </c>
      <c r="Q584" s="2" t="s">
        <v>981</v>
      </c>
      <c r="R584" s="2" t="s">
        <v>982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x14ac:dyDescent="0.2">
      <c r="A585" s="2">
        <v>2025</v>
      </c>
      <c r="B585" s="2">
        <v>3</v>
      </c>
      <c r="D585" s="2" t="s">
        <v>977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978</v>
      </c>
      <c r="J585" s="2" t="s">
        <v>979</v>
      </c>
      <c r="L585" s="2" t="s">
        <v>601</v>
      </c>
      <c r="M585" s="2" t="s">
        <v>40</v>
      </c>
      <c r="O585" s="2" t="s">
        <v>980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x14ac:dyDescent="0.2">
      <c r="A586" s="2">
        <v>2025</v>
      </c>
      <c r="B586" s="2">
        <v>3</v>
      </c>
      <c r="D586" s="2" t="s">
        <v>977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978</v>
      </c>
      <c r="J586" s="2" t="s">
        <v>979</v>
      </c>
      <c r="L586" s="2" t="s">
        <v>601</v>
      </c>
      <c r="M586" s="2" t="s">
        <v>40</v>
      </c>
      <c r="O586" s="2" t="s">
        <v>980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3237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983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3237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983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3237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x14ac:dyDescent="0.2">
      <c r="A590" s="2">
        <v>2025</v>
      </c>
      <c r="B590" s="2">
        <v>3</v>
      </c>
      <c r="D590" s="2" t="s">
        <v>983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3237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x14ac:dyDescent="0.2">
      <c r="A591" s="2">
        <v>2025</v>
      </c>
      <c r="B591" s="2">
        <v>3</v>
      </c>
      <c r="D591" s="2" t="s">
        <v>984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985</v>
      </c>
      <c r="J591" s="2" t="s">
        <v>986</v>
      </c>
      <c r="L591" s="2" t="s">
        <v>294</v>
      </c>
      <c r="M591" s="2" t="s">
        <v>81</v>
      </c>
      <c r="O591" s="2" t="s">
        <v>987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3237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x14ac:dyDescent="0.2">
      <c r="A592" s="2">
        <v>2025</v>
      </c>
      <c r="B592" s="2">
        <v>3</v>
      </c>
      <c r="D592" s="2" t="s">
        <v>984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985</v>
      </c>
      <c r="J592" s="2" t="s">
        <v>986</v>
      </c>
      <c r="L592" s="2" t="s">
        <v>294</v>
      </c>
      <c r="M592" s="2" t="s">
        <v>81</v>
      </c>
      <c r="O592" s="2" t="s">
        <v>987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3237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3237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x14ac:dyDescent="0.2">
      <c r="A595" s="2">
        <v>2025</v>
      </c>
      <c r="B595" s="2">
        <v>3</v>
      </c>
      <c r="D595" s="2" t="s">
        <v>988</v>
      </c>
      <c r="P595" s="2" t="s">
        <v>40</v>
      </c>
      <c r="Q595" s="2" t="s">
        <v>989</v>
      </c>
      <c r="R595" s="2" t="s">
        <v>990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991</v>
      </c>
      <c r="R596" s="2" t="s">
        <v>992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3392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x14ac:dyDescent="0.2">
      <c r="A600" s="2">
        <v>2025</v>
      </c>
      <c r="B600" s="2">
        <v>3</v>
      </c>
      <c r="D600" s="2" t="s">
        <v>993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994</v>
      </c>
      <c r="J600" s="2" t="s">
        <v>995</v>
      </c>
      <c r="K600" s="2">
        <v>964159861</v>
      </c>
      <c r="L600" s="2" t="s">
        <v>202</v>
      </c>
      <c r="M600" s="2" t="s">
        <v>81</v>
      </c>
      <c r="O600" s="2" t="s">
        <v>996</v>
      </c>
      <c r="P600" s="2" t="s">
        <v>73</v>
      </c>
      <c r="Q600" s="2" t="s">
        <v>997</v>
      </c>
      <c r="R600" s="2" t="s">
        <v>998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3237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x14ac:dyDescent="0.2">
      <c r="A601" s="2">
        <v>2025</v>
      </c>
      <c r="B601" s="2">
        <v>3</v>
      </c>
      <c r="D601" s="2" t="s">
        <v>993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994</v>
      </c>
      <c r="J601" s="2" t="s">
        <v>995</v>
      </c>
      <c r="K601" s="2">
        <v>964159861</v>
      </c>
      <c r="L601" s="2" t="s">
        <v>202</v>
      </c>
      <c r="M601" s="2" t="s">
        <v>81</v>
      </c>
      <c r="O601" s="2" t="s">
        <v>996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3237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x14ac:dyDescent="0.2">
      <c r="A602" s="2">
        <v>2025</v>
      </c>
      <c r="B602" s="2">
        <v>3</v>
      </c>
      <c r="D602" s="2" t="s">
        <v>999</v>
      </c>
      <c r="P602" s="2" t="s">
        <v>283</v>
      </c>
      <c r="Q602" s="2" t="s">
        <v>1000</v>
      </c>
      <c r="R602" s="2" t="s">
        <v>1001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3237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1002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3237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1002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3237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x14ac:dyDescent="0.2">
      <c r="A605" s="2">
        <v>2025</v>
      </c>
      <c r="B605" s="2">
        <v>3</v>
      </c>
      <c r="D605" s="2" t="s">
        <v>1003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1004</v>
      </c>
      <c r="J605" s="2" t="s">
        <v>1005</v>
      </c>
      <c r="K605" s="2">
        <v>917233128</v>
      </c>
      <c r="L605" s="2" t="s">
        <v>100</v>
      </c>
      <c r="M605" s="2" t="s">
        <v>40</v>
      </c>
      <c r="O605" s="2" t="s">
        <v>1006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x14ac:dyDescent="0.2">
      <c r="A606" s="2">
        <v>2025</v>
      </c>
      <c r="B606" s="2">
        <v>3</v>
      </c>
      <c r="D606" s="2" t="s">
        <v>1003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1004</v>
      </c>
      <c r="J606" s="2" t="s">
        <v>1005</v>
      </c>
      <c r="K606" s="2">
        <v>917233128</v>
      </c>
      <c r="L606" s="2" t="s">
        <v>100</v>
      </c>
      <c r="M606" s="2" t="s">
        <v>40</v>
      </c>
      <c r="O606" s="2" t="s">
        <v>1006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x14ac:dyDescent="0.2">
      <c r="A607" s="2">
        <v>2025</v>
      </c>
      <c r="B607" s="2">
        <v>3</v>
      </c>
      <c r="D607" s="2" t="s">
        <v>1003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1004</v>
      </c>
      <c r="J607" s="2" t="s">
        <v>1005</v>
      </c>
      <c r="K607" s="2">
        <v>917233128</v>
      </c>
      <c r="L607" s="2" t="s">
        <v>100</v>
      </c>
      <c r="M607" s="2" t="s">
        <v>40</v>
      </c>
      <c r="O607" s="2" t="s">
        <v>1006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1007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1008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3237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1008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78"/>
        <v>0.43981481481481483</v>
      </c>
      <c r="Z609" s="2" t="s">
        <v>3237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1008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3237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x14ac:dyDescent="0.2">
      <c r="A611" s="2">
        <v>2025</v>
      </c>
      <c r="B611" s="2">
        <v>3</v>
      </c>
      <c r="D611" s="2" t="s">
        <v>1009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x14ac:dyDescent="0.2">
      <c r="A612" s="2">
        <v>2025</v>
      </c>
      <c r="B612" s="2">
        <v>3</v>
      </c>
      <c r="D612" s="2" t="s">
        <v>1009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3237</v>
      </c>
      <c r="AA612" s="2" t="s">
        <v>46</v>
      </c>
      <c r="AB612" s="2" t="s">
        <v>61</v>
      </c>
      <c r="AC612" s="2" t="s">
        <v>3343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1010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1010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1010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1011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3237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1011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3237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x14ac:dyDescent="0.2">
      <c r="A618" s="2">
        <v>2025</v>
      </c>
      <c r="B618" s="2">
        <v>3</v>
      </c>
      <c r="D618" s="2" t="s">
        <v>1011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x14ac:dyDescent="0.2">
      <c r="A619" s="2">
        <v>2025</v>
      </c>
      <c r="B619" s="2">
        <v>3</v>
      </c>
      <c r="D619" s="2" t="s">
        <v>1012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1013</v>
      </c>
      <c r="J619" s="2" t="s">
        <v>1014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x14ac:dyDescent="0.2">
      <c r="A620" s="2">
        <v>2025</v>
      </c>
      <c r="B620" s="2">
        <v>3</v>
      </c>
      <c r="D620" s="2" t="s">
        <v>1012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1013</v>
      </c>
      <c r="J620" s="2" t="s">
        <v>1014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x14ac:dyDescent="0.2">
      <c r="A621" s="2">
        <v>2025</v>
      </c>
      <c r="B621" s="2">
        <v>3</v>
      </c>
      <c r="D621" s="2" t="s">
        <v>1012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1013</v>
      </c>
      <c r="J621" s="2" t="s">
        <v>1014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3392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x14ac:dyDescent="0.2">
      <c r="A622" s="2">
        <v>2025</v>
      </c>
      <c r="B622" s="2">
        <v>3</v>
      </c>
      <c r="D622" s="2" t="s">
        <v>1015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x14ac:dyDescent="0.2">
      <c r="A623" s="2">
        <v>2025</v>
      </c>
      <c r="B623" s="2">
        <v>3</v>
      </c>
      <c r="D623" s="2" t="s">
        <v>1015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1016</v>
      </c>
      <c r="R624" s="2" t="s">
        <v>1017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3237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1018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3237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3237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3237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1019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0"/>
        <v>0.52380952380952384</v>
      </c>
      <c r="Z629" s="2" t="s">
        <v>3237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8.8000000000000007</v>
      </c>
      <c r="AL629" s="5">
        <f t="shared" si="79"/>
        <v>0.52380952380952384</v>
      </c>
    </row>
    <row r="630" spans="1:38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1019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3237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x14ac:dyDescent="0.2">
      <c r="A631" s="2">
        <v>2025</v>
      </c>
      <c r="B631" s="2">
        <v>3</v>
      </c>
      <c r="D631" s="2" t="s">
        <v>1020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1021</v>
      </c>
      <c r="J631" s="2" t="s">
        <v>1022</v>
      </c>
      <c r="L631" s="2" t="s">
        <v>294</v>
      </c>
      <c r="M631" s="2" t="s">
        <v>81</v>
      </c>
      <c r="O631" s="2" t="s">
        <v>1023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3237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x14ac:dyDescent="0.2">
      <c r="A632" s="2">
        <v>2025</v>
      </c>
      <c r="B632" s="2">
        <v>3</v>
      </c>
      <c r="D632" s="2" t="s">
        <v>1020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1021</v>
      </c>
      <c r="J632" s="2" t="s">
        <v>1022</v>
      </c>
      <c r="L632" s="2" t="s">
        <v>294</v>
      </c>
      <c r="M632" s="2" t="s">
        <v>81</v>
      </c>
      <c r="O632" s="2" t="s">
        <v>1023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3237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x14ac:dyDescent="0.2">
      <c r="A633" s="2">
        <v>2025</v>
      </c>
      <c r="B633" s="2">
        <v>3</v>
      </c>
      <c r="D633" s="2" t="s">
        <v>1024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x14ac:dyDescent="0.2">
      <c r="A634" s="2">
        <v>2025</v>
      </c>
      <c r="B634" s="2">
        <v>3</v>
      </c>
      <c r="D634" s="2" t="s">
        <v>1024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x14ac:dyDescent="0.2">
      <c r="A635" s="2">
        <v>2025</v>
      </c>
      <c r="B635" s="2">
        <v>3</v>
      </c>
      <c r="D635" s="2" t="s">
        <v>1024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1025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3237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3237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1026</v>
      </c>
      <c r="R638" s="2" t="s">
        <v>1027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3237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3237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1028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3237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3237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x14ac:dyDescent="0.2">
      <c r="A645" s="2">
        <v>2025</v>
      </c>
      <c r="B645" s="2">
        <v>3</v>
      </c>
      <c r="D645" s="2" t="s">
        <v>1029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1030</v>
      </c>
      <c r="J645" s="2" t="s">
        <v>1031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1032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x14ac:dyDescent="0.2">
      <c r="A646" s="2">
        <v>2025</v>
      </c>
      <c r="B646" s="2">
        <v>3</v>
      </c>
      <c r="D646" s="2" t="s">
        <v>1029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1030</v>
      </c>
      <c r="J646" s="2" t="s">
        <v>1031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x14ac:dyDescent="0.2">
      <c r="A647" s="2">
        <v>2025</v>
      </c>
      <c r="B647" s="2">
        <v>3</v>
      </c>
      <c r="D647" s="2" t="s">
        <v>1029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1030</v>
      </c>
      <c r="J647" s="2" t="s">
        <v>1031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x14ac:dyDescent="0.2">
      <c r="A650" s="2">
        <v>2025</v>
      </c>
      <c r="B650" s="2">
        <v>3</v>
      </c>
      <c r="D650" s="2" t="s">
        <v>1033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1034</v>
      </c>
      <c r="J650" s="2" t="s">
        <v>1035</v>
      </c>
      <c r="K650" s="2">
        <v>917611946</v>
      </c>
      <c r="L650" s="2" t="s">
        <v>462</v>
      </c>
      <c r="M650" s="2" t="s">
        <v>41</v>
      </c>
      <c r="O650" s="2" t="s">
        <v>1036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3237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x14ac:dyDescent="0.2">
      <c r="A651" s="2">
        <v>2025</v>
      </c>
      <c r="B651" s="2">
        <v>3</v>
      </c>
      <c r="D651" s="2" t="s">
        <v>1033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1034</v>
      </c>
      <c r="J651" s="2" t="s">
        <v>1035</v>
      </c>
      <c r="K651" s="2">
        <v>917611946</v>
      </c>
      <c r="L651" s="2" t="s">
        <v>462</v>
      </c>
      <c r="M651" s="2" t="s">
        <v>41</v>
      </c>
      <c r="O651" s="2" t="s">
        <v>1037</v>
      </c>
      <c r="P651" s="2" t="s">
        <v>73</v>
      </c>
      <c r="Q651" s="2" t="s">
        <v>1038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3237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x14ac:dyDescent="0.2">
      <c r="A652" s="2">
        <v>2025</v>
      </c>
      <c r="B652" s="2">
        <v>3</v>
      </c>
      <c r="D652" s="2" t="s">
        <v>1033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1034</v>
      </c>
      <c r="J652" s="2" t="s">
        <v>1035</v>
      </c>
      <c r="K652" s="2">
        <v>917611946</v>
      </c>
      <c r="L652" s="2" t="s">
        <v>462</v>
      </c>
      <c r="M652" s="2" t="s">
        <v>41</v>
      </c>
      <c r="O652" s="2" t="s">
        <v>1039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3237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3237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3237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1040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3237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3237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3156</v>
      </c>
      <c r="P657" s="2" t="s">
        <v>1041</v>
      </c>
      <c r="Q657" s="2" t="s">
        <v>1042</v>
      </c>
      <c r="R657" s="2" t="s">
        <v>1043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3237</v>
      </c>
      <c r="AA657" s="2" t="s">
        <v>1044</v>
      </c>
      <c r="AB657" s="2" t="s">
        <v>1045</v>
      </c>
      <c r="AC657" s="2" t="s">
        <v>1041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3237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x14ac:dyDescent="0.2">
      <c r="A659" s="2">
        <v>2025</v>
      </c>
      <c r="B659" s="2">
        <v>3</v>
      </c>
      <c r="D659" s="2" t="s">
        <v>1046</v>
      </c>
      <c r="P659" s="2" t="s">
        <v>167</v>
      </c>
      <c r="Q659" s="2" t="s">
        <v>1047</v>
      </c>
      <c r="R659" s="2" t="s">
        <v>1048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3237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x14ac:dyDescent="0.2">
      <c r="A660" s="2">
        <v>2025</v>
      </c>
      <c r="B660" s="2">
        <v>3</v>
      </c>
      <c r="D660" s="2" t="s">
        <v>1046</v>
      </c>
      <c r="P660" s="2" t="s">
        <v>167</v>
      </c>
      <c r="Q660" s="2" t="s">
        <v>1049</v>
      </c>
      <c r="R660" s="2" t="s">
        <v>1050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3237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x14ac:dyDescent="0.2">
      <c r="A661" s="2">
        <v>2025</v>
      </c>
      <c r="B661" s="2">
        <v>3</v>
      </c>
      <c r="D661" s="2" t="s">
        <v>1046</v>
      </c>
      <c r="P661" s="2" t="s">
        <v>85</v>
      </c>
      <c r="Q661" s="2" t="s">
        <v>1051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3237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x14ac:dyDescent="0.2">
      <c r="A662" s="2">
        <v>2025</v>
      </c>
      <c r="B662" s="2">
        <v>3</v>
      </c>
      <c r="D662" s="2" t="s">
        <v>1052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1053</v>
      </c>
      <c r="J662" s="2" t="s">
        <v>1054</v>
      </c>
      <c r="L662" s="2" t="s">
        <v>340</v>
      </c>
      <c r="M662" s="2" t="s">
        <v>40</v>
      </c>
      <c r="O662" s="2" t="s">
        <v>1055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x14ac:dyDescent="0.2">
      <c r="A663" s="2">
        <v>2025</v>
      </c>
      <c r="B663" s="2">
        <v>3</v>
      </c>
      <c r="D663" s="2" t="s">
        <v>1052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1053</v>
      </c>
      <c r="J663" s="2" t="s">
        <v>1054</v>
      </c>
      <c r="L663" s="2" t="s">
        <v>340</v>
      </c>
      <c r="M663" s="2" t="s">
        <v>40</v>
      </c>
      <c r="O663" s="2" t="s">
        <v>1055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x14ac:dyDescent="0.2">
      <c r="A664" s="2">
        <v>2025</v>
      </c>
      <c r="B664" s="2">
        <v>3</v>
      </c>
      <c r="D664" s="2" t="s">
        <v>1056</v>
      </c>
      <c r="E664" s="2" t="s">
        <v>184</v>
      </c>
      <c r="F664" s="2" t="s">
        <v>1057</v>
      </c>
      <c r="G664" s="2">
        <v>500199523</v>
      </c>
      <c r="H664" s="2" t="s">
        <v>291</v>
      </c>
      <c r="I664" s="2" t="s">
        <v>294</v>
      </c>
      <c r="J664" s="2" t="s">
        <v>1058</v>
      </c>
      <c r="L664" s="2" t="s">
        <v>294</v>
      </c>
      <c r="M664" s="2" t="s">
        <v>81</v>
      </c>
      <c r="O664" s="2" t="s">
        <v>1059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3237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x14ac:dyDescent="0.2">
      <c r="A665" s="2">
        <v>2025</v>
      </c>
      <c r="B665" s="2">
        <v>3</v>
      </c>
      <c r="D665" s="2" t="s">
        <v>1056</v>
      </c>
      <c r="E665" s="2" t="s">
        <v>184</v>
      </c>
      <c r="F665" s="2" t="s">
        <v>1057</v>
      </c>
      <c r="G665" s="2">
        <v>500199523</v>
      </c>
      <c r="H665" s="2" t="s">
        <v>291</v>
      </c>
      <c r="I665" s="2" t="s">
        <v>294</v>
      </c>
      <c r="J665" s="2" t="s">
        <v>1058</v>
      </c>
      <c r="L665" s="2" t="s">
        <v>294</v>
      </c>
      <c r="M665" s="2" t="s">
        <v>81</v>
      </c>
      <c r="O665" s="2" t="s">
        <v>1059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3237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1060</v>
      </c>
      <c r="R666" s="2" t="s">
        <v>1061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3237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1062</v>
      </c>
      <c r="R667" s="2" t="s">
        <v>1063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3237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3237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1064</v>
      </c>
      <c r="R669" s="2" t="s">
        <v>1065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3237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1066</v>
      </c>
      <c r="R670" s="2" t="s">
        <v>1067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3237</v>
      </c>
      <c r="AA670" s="2" t="s">
        <v>72</v>
      </c>
      <c r="AB670" s="2" t="s">
        <v>1607</v>
      </c>
      <c r="AC670" s="2" t="s">
        <v>1607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1068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3237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1068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3237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x14ac:dyDescent="0.2">
      <c r="A673" s="2">
        <v>2025</v>
      </c>
      <c r="B673" s="2">
        <v>3</v>
      </c>
      <c r="D673" s="2" t="s">
        <v>1069</v>
      </c>
      <c r="M673" s="2" t="s">
        <v>40</v>
      </c>
      <c r="P673" s="2" t="s">
        <v>2699</v>
      </c>
      <c r="Q673" s="2" t="s">
        <v>1070</v>
      </c>
      <c r="R673" s="2" t="s">
        <v>1071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3237</v>
      </c>
      <c r="AA673" s="2" t="s">
        <v>3395</v>
      </c>
      <c r="AB673" s="2" t="s">
        <v>3396</v>
      </c>
      <c r="AC673" s="2" t="s">
        <v>3397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1072</v>
      </c>
      <c r="R674" s="2" t="s">
        <v>1073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3237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3237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1074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3237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1074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3237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1000</v>
      </c>
      <c r="R678" s="2" t="s">
        <v>1001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3237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3237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1075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3237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3237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x14ac:dyDescent="0.2">
      <c r="A682" s="2">
        <v>2025</v>
      </c>
      <c r="B682" s="2">
        <v>3</v>
      </c>
      <c r="D682" s="2" t="s">
        <v>1076</v>
      </c>
      <c r="P682" s="2" t="s">
        <v>73</v>
      </c>
      <c r="Q682" s="2" t="s">
        <v>1077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3237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x14ac:dyDescent="0.2">
      <c r="A683" s="2">
        <v>2025</v>
      </c>
      <c r="B683" s="2">
        <v>3</v>
      </c>
      <c r="D683" s="2" t="s">
        <v>1076</v>
      </c>
      <c r="P683" s="2" t="s">
        <v>73</v>
      </c>
      <c r="Q683" s="2" t="s">
        <v>1078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3237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x14ac:dyDescent="0.2">
      <c r="A684" s="2">
        <v>2025</v>
      </c>
      <c r="B684" s="2">
        <v>3</v>
      </c>
      <c r="D684" s="2" t="s">
        <v>1076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3237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1079</v>
      </c>
      <c r="P685" s="2" t="s">
        <v>115</v>
      </c>
      <c r="Q685" s="2" t="s">
        <v>1080</v>
      </c>
      <c r="R685" s="2" t="s">
        <v>1081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1079</v>
      </c>
      <c r="P686" s="2" t="s">
        <v>115</v>
      </c>
      <c r="Q686" s="2" t="s">
        <v>1082</v>
      </c>
      <c r="R686" s="2" t="s">
        <v>1083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1084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3237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1085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3237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1079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1079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1085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3237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x14ac:dyDescent="0.2">
      <c r="A692" s="2">
        <v>2025</v>
      </c>
      <c r="B692" s="2">
        <v>3</v>
      </c>
      <c r="D692" s="2" t="s">
        <v>1086</v>
      </c>
      <c r="P692" s="2" t="s">
        <v>1197</v>
      </c>
      <c r="Q692" s="2" t="s">
        <v>1087</v>
      </c>
      <c r="R692" s="2" t="s">
        <v>1088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2754</v>
      </c>
      <c r="AB692" s="2" t="s">
        <v>2755</v>
      </c>
      <c r="AC692" s="2" t="s">
        <v>1197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x14ac:dyDescent="0.2">
      <c r="A693" s="2">
        <v>2025</v>
      </c>
      <c r="B693" s="2">
        <v>3</v>
      </c>
      <c r="D693" s="2" t="s">
        <v>1086</v>
      </c>
      <c r="P693" s="2" t="s">
        <v>1197</v>
      </c>
      <c r="Q693" s="2" t="s">
        <v>1089</v>
      </c>
      <c r="R693" s="2" t="s">
        <v>1090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x14ac:dyDescent="0.2">
      <c r="A694" s="2">
        <v>2025</v>
      </c>
      <c r="B694" s="2">
        <v>3</v>
      </c>
      <c r="D694" s="2" t="s">
        <v>1091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1092</v>
      </c>
      <c r="J694" s="2" t="s">
        <v>1093</v>
      </c>
      <c r="K694" s="2">
        <v>917523997</v>
      </c>
      <c r="L694" s="2" t="s">
        <v>113</v>
      </c>
      <c r="M694" s="2" t="s">
        <v>40</v>
      </c>
      <c r="O694" s="2" t="s">
        <v>1094</v>
      </c>
      <c r="P694" s="2" t="s">
        <v>115</v>
      </c>
      <c r="Q694" s="2" t="s">
        <v>981</v>
      </c>
      <c r="R694" s="2" t="s">
        <v>982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3237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3237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x14ac:dyDescent="0.2">
      <c r="A697" s="2">
        <v>2025</v>
      </c>
      <c r="B697" s="2">
        <v>3</v>
      </c>
      <c r="D697" s="2" t="s">
        <v>1095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x14ac:dyDescent="0.2">
      <c r="A698" s="2">
        <v>2025</v>
      </c>
      <c r="B698" s="2">
        <v>3</v>
      </c>
      <c r="D698" s="2" t="s">
        <v>1095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x14ac:dyDescent="0.2">
      <c r="A699" s="2">
        <v>2025</v>
      </c>
      <c r="B699" s="2">
        <v>3</v>
      </c>
      <c r="D699" s="2" t="s">
        <v>1095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1096</v>
      </c>
      <c r="R700" s="2" t="s">
        <v>1097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1098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1099</v>
      </c>
      <c r="R701" s="2" t="s">
        <v>1100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x14ac:dyDescent="0.2">
      <c r="A702" s="2">
        <v>2025</v>
      </c>
      <c r="B702" s="2">
        <v>3</v>
      </c>
      <c r="D702" s="2" t="s">
        <v>1101</v>
      </c>
      <c r="P702" s="2" t="s">
        <v>115</v>
      </c>
      <c r="Q702" s="2" t="s">
        <v>1102</v>
      </c>
      <c r="R702" s="2" t="s">
        <v>1103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x14ac:dyDescent="0.2">
      <c r="A703" s="2">
        <v>2025</v>
      </c>
      <c r="B703" s="2">
        <v>3</v>
      </c>
      <c r="D703" s="2" t="s">
        <v>1101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1104</v>
      </c>
      <c r="J704" s="2" t="s">
        <v>1105</v>
      </c>
      <c r="L704" s="2" t="s">
        <v>178</v>
      </c>
      <c r="M704" s="2" t="s">
        <v>41</v>
      </c>
      <c r="O704" s="2" t="s">
        <v>1106</v>
      </c>
      <c r="P704" s="2" t="s">
        <v>43</v>
      </c>
      <c r="Q704" s="2" t="s">
        <v>1107</v>
      </c>
      <c r="R704" s="2" t="s">
        <v>1108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3237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1106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3237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7"/>
        <v>0.60781250000000009</v>
      </c>
      <c r="Z706" s="2" t="s">
        <v>3237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17.505000000000003</v>
      </c>
      <c r="AL706" s="5">
        <f t="shared" si="85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7"/>
        <v>0.14285714285714288</v>
      </c>
      <c r="Z707" s="2" t="s">
        <v>3237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2.4000000000000004</v>
      </c>
      <c r="AL707" s="5">
        <f t="shared" si="85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3237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3237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3237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3237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3237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3237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3237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x14ac:dyDescent="0.2">
      <c r="A715" s="2">
        <v>2025</v>
      </c>
      <c r="B715" s="2">
        <v>3</v>
      </c>
      <c r="D715" s="2" t="s">
        <v>1109</v>
      </c>
      <c r="G715" s="2">
        <v>502514027</v>
      </c>
      <c r="H715" s="2" t="s">
        <v>40</v>
      </c>
      <c r="M715" s="2" t="s">
        <v>40</v>
      </c>
      <c r="O715" s="2" t="s">
        <v>1110</v>
      </c>
      <c r="P715" s="2" t="s">
        <v>1111</v>
      </c>
      <c r="Q715" s="2" t="s">
        <v>1112</v>
      </c>
      <c r="R715" s="2" t="s">
        <v>1113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1114</v>
      </c>
      <c r="AB715" s="2" t="s">
        <v>1115</v>
      </c>
      <c r="AC715" s="2" t="s">
        <v>1111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3237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x14ac:dyDescent="0.2">
      <c r="A717" s="2">
        <v>2025</v>
      </c>
      <c r="B717" s="2">
        <v>3</v>
      </c>
      <c r="D717" s="2" t="s">
        <v>1116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1117</v>
      </c>
      <c r="J717" s="2" t="s">
        <v>1118</v>
      </c>
      <c r="K717" s="2">
        <v>914550474</v>
      </c>
      <c r="L717" s="2" t="s">
        <v>100</v>
      </c>
      <c r="M717" s="2" t="s">
        <v>40</v>
      </c>
      <c r="O717" s="2" t="s">
        <v>1119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1116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1117</v>
      </c>
      <c r="J718" s="2" t="s">
        <v>1118</v>
      </c>
      <c r="K718" s="2">
        <v>914550474</v>
      </c>
      <c r="L718" s="2" t="s">
        <v>100</v>
      </c>
      <c r="M718" s="2" t="s">
        <v>81</v>
      </c>
      <c r="O718" s="2" t="s">
        <v>1120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3237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x14ac:dyDescent="0.2">
      <c r="A719" s="2">
        <v>2025</v>
      </c>
      <c r="B719" s="2">
        <v>3</v>
      </c>
      <c r="D719" s="2" t="s">
        <v>1116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1117</v>
      </c>
      <c r="J719" s="2" t="s">
        <v>1118</v>
      </c>
      <c r="K719" s="2">
        <v>914550474</v>
      </c>
      <c r="L719" s="2" t="s">
        <v>100</v>
      </c>
      <c r="M719" s="2" t="s">
        <v>40</v>
      </c>
      <c r="O719" s="2" t="s">
        <v>1119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x14ac:dyDescent="0.2">
      <c r="A720" s="2">
        <v>2025</v>
      </c>
      <c r="B720" s="2">
        <v>3</v>
      </c>
      <c r="D720" s="2" t="s">
        <v>1116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1117</v>
      </c>
      <c r="J720" s="2" t="s">
        <v>1118</v>
      </c>
      <c r="K720" s="2">
        <v>914550474</v>
      </c>
      <c r="L720" s="2" t="s">
        <v>100</v>
      </c>
      <c r="M720" s="2" t="s">
        <v>40</v>
      </c>
      <c r="O720" s="2" t="s">
        <v>1119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1121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3237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x14ac:dyDescent="0.2">
      <c r="A722" s="2">
        <v>2025</v>
      </c>
      <c r="B722" s="2">
        <v>3</v>
      </c>
      <c r="D722" s="2" t="s">
        <v>1122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x14ac:dyDescent="0.2">
      <c r="A723" s="2">
        <v>2025</v>
      </c>
      <c r="B723" s="2">
        <v>3</v>
      </c>
      <c r="D723" s="2" t="s">
        <v>1122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x14ac:dyDescent="0.2">
      <c r="A724" s="2">
        <v>2025</v>
      </c>
      <c r="B724" s="2">
        <v>3</v>
      </c>
      <c r="D724" s="2" t="s">
        <v>1122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3392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3237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3237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x14ac:dyDescent="0.2">
      <c r="A727" s="2">
        <v>2025</v>
      </c>
      <c r="B727" s="2">
        <v>3</v>
      </c>
      <c r="D727" s="2" t="s">
        <v>1123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3256</v>
      </c>
      <c r="J727" s="2" t="s">
        <v>3257</v>
      </c>
      <c r="K727" s="2">
        <v>96179412</v>
      </c>
      <c r="L727" s="2" t="s">
        <v>462</v>
      </c>
      <c r="M727" s="2" t="s">
        <v>40</v>
      </c>
      <c r="O727" s="2" t="s">
        <v>3259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x14ac:dyDescent="0.2">
      <c r="A728" s="2">
        <v>2025</v>
      </c>
      <c r="B728" s="2">
        <v>3</v>
      </c>
      <c r="D728" s="2" t="s">
        <v>1123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3256</v>
      </c>
      <c r="J728" s="2" t="s">
        <v>3257</v>
      </c>
      <c r="K728" s="2">
        <v>96179412</v>
      </c>
      <c r="L728" s="2" t="s">
        <v>462</v>
      </c>
      <c r="M728" s="2" t="s">
        <v>40</v>
      </c>
      <c r="O728" s="2" t="s">
        <v>3259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1124</v>
      </c>
      <c r="P729" s="2" t="s">
        <v>43</v>
      </c>
      <c r="Q729" s="2" t="s">
        <v>967</v>
      </c>
      <c r="R729" s="2" t="s">
        <v>968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3237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1124</v>
      </c>
      <c r="P730" s="2" t="s">
        <v>43</v>
      </c>
      <c r="Q730" s="2" t="s">
        <v>970</v>
      </c>
      <c r="R730" s="2" t="s">
        <v>971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3237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1125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3237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3237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x14ac:dyDescent="0.2">
      <c r="A733" s="2">
        <v>2025</v>
      </c>
      <c r="B733" s="2">
        <v>3</v>
      </c>
      <c r="D733" s="2" t="s">
        <v>1126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x14ac:dyDescent="0.2">
      <c r="A734" s="2">
        <v>2025</v>
      </c>
      <c r="B734" s="2">
        <v>3</v>
      </c>
      <c r="D734" s="2" t="s">
        <v>1126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x14ac:dyDescent="0.2">
      <c r="A735" s="2">
        <v>2025</v>
      </c>
      <c r="B735" s="2">
        <v>3</v>
      </c>
      <c r="D735" s="2" t="s">
        <v>1127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2302</v>
      </c>
      <c r="J735" s="2" t="s">
        <v>2303</v>
      </c>
      <c r="K735" s="2">
        <v>965790183</v>
      </c>
      <c r="L735" s="2" t="s">
        <v>178</v>
      </c>
      <c r="M735" s="2" t="s">
        <v>41</v>
      </c>
      <c r="O735" s="2" t="s">
        <v>3228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x14ac:dyDescent="0.2">
      <c r="A736" s="2">
        <v>2025</v>
      </c>
      <c r="B736" s="2">
        <v>3</v>
      </c>
      <c r="D736" s="2" t="s">
        <v>1128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1129</v>
      </c>
      <c r="J736" s="2" t="s">
        <v>1130</v>
      </c>
      <c r="L736" s="2" t="s">
        <v>462</v>
      </c>
      <c r="M736" s="2" t="s">
        <v>40</v>
      </c>
      <c r="O736" s="2" t="s">
        <v>1131</v>
      </c>
      <c r="P736" s="2" t="s">
        <v>115</v>
      </c>
      <c r="Q736" s="2" t="s">
        <v>1132</v>
      </c>
      <c r="R736" s="2" t="s">
        <v>1133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x14ac:dyDescent="0.2">
      <c r="A737" s="2">
        <v>2025</v>
      </c>
      <c r="B737" s="2">
        <v>3</v>
      </c>
      <c r="D737" s="2" t="s">
        <v>1128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1129</v>
      </c>
      <c r="J737" s="2" t="s">
        <v>1130</v>
      </c>
      <c r="L737" s="2" t="s">
        <v>462</v>
      </c>
      <c r="M737" s="2" t="s">
        <v>40</v>
      </c>
      <c r="O737" s="2" t="s">
        <v>1131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3237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1064</v>
      </c>
      <c r="R739" s="2" t="s">
        <v>1065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3237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3237</v>
      </c>
      <c r="AA740" s="2" t="s">
        <v>46</v>
      </c>
      <c r="AB740" s="2" t="s">
        <v>61</v>
      </c>
      <c r="AC740" s="2" t="s">
        <v>3343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1134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3237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1134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3237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3237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3237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3237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1135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3237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3237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3237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3237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3237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1136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3237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3202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3237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1137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3237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3237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3237</v>
      </c>
      <c r="AA756" s="2" t="s">
        <v>72</v>
      </c>
      <c r="AB756" s="2" t="s">
        <v>69</v>
      </c>
      <c r="AC756" s="2" t="s">
        <v>3242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1138</v>
      </c>
      <c r="R757" s="2" t="s">
        <v>1139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3237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x14ac:dyDescent="0.2">
      <c r="A760" s="2">
        <v>2025</v>
      </c>
      <c r="B760" s="2">
        <v>4</v>
      </c>
      <c r="D760" s="2" t="s">
        <v>1140</v>
      </c>
      <c r="E760" s="2" t="s">
        <v>38</v>
      </c>
      <c r="G760" s="2">
        <v>506131904</v>
      </c>
      <c r="H760" s="2" t="s">
        <v>40</v>
      </c>
      <c r="I760" s="2" t="s">
        <v>1141</v>
      </c>
      <c r="J760" s="2" t="s">
        <v>1142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x14ac:dyDescent="0.2">
      <c r="A761" s="2">
        <v>2025</v>
      </c>
      <c r="B761" s="2">
        <v>4</v>
      </c>
      <c r="D761" s="2" t="s">
        <v>1140</v>
      </c>
      <c r="E761" s="2" t="s">
        <v>38</v>
      </c>
      <c r="G761" s="2">
        <v>506131904</v>
      </c>
      <c r="H761" s="2" t="s">
        <v>40</v>
      </c>
      <c r="I761" s="2" t="s">
        <v>1141</v>
      </c>
      <c r="J761" s="2" t="s">
        <v>1142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x14ac:dyDescent="0.2">
      <c r="A762" s="2">
        <v>2025</v>
      </c>
      <c r="B762" s="2">
        <v>4</v>
      </c>
      <c r="D762" s="2" t="s">
        <v>1140</v>
      </c>
      <c r="E762" s="2" t="s">
        <v>38</v>
      </c>
      <c r="G762" s="2">
        <v>506131904</v>
      </c>
      <c r="H762" s="2" t="s">
        <v>40</v>
      </c>
      <c r="I762" s="2" t="s">
        <v>1141</v>
      </c>
      <c r="J762" s="2" t="s">
        <v>1142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3392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1143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1144</v>
      </c>
      <c r="J763" s="2" t="s">
        <v>1145</v>
      </c>
      <c r="L763" s="2" t="s">
        <v>100</v>
      </c>
      <c r="M763" s="2" t="s">
        <v>41</v>
      </c>
      <c r="O763" s="2" t="s">
        <v>1146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3237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x14ac:dyDescent="0.2">
      <c r="A764" s="2">
        <v>2025</v>
      </c>
      <c r="B764" s="2">
        <v>4</v>
      </c>
      <c r="D764" s="2" t="s">
        <v>1147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x14ac:dyDescent="0.2">
      <c r="A767" s="2">
        <v>2025</v>
      </c>
      <c r="B767" s="2">
        <v>4</v>
      </c>
      <c r="D767" s="2" t="s">
        <v>1148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1149</v>
      </c>
      <c r="J767" s="2" t="s">
        <v>1150</v>
      </c>
      <c r="L767" s="2" t="s">
        <v>134</v>
      </c>
      <c r="M767" s="2" t="s">
        <v>41</v>
      </c>
      <c r="O767" s="2" t="s">
        <v>1151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1152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x14ac:dyDescent="0.2">
      <c r="A768" s="2">
        <v>2025</v>
      </c>
      <c r="B768" s="2">
        <v>4</v>
      </c>
      <c r="D768" s="2" t="s">
        <v>1153</v>
      </c>
      <c r="P768" s="2" t="s">
        <v>115</v>
      </c>
      <c r="Q768" s="2" t="s">
        <v>1154</v>
      </c>
      <c r="R768" s="2" t="s">
        <v>1155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x14ac:dyDescent="0.2">
      <c r="A769" s="2">
        <v>2025</v>
      </c>
      <c r="B769" s="2">
        <v>4</v>
      </c>
      <c r="D769" s="2" t="s">
        <v>1156</v>
      </c>
      <c r="P769" s="2" t="s">
        <v>283</v>
      </c>
      <c r="Q769" s="2" t="s">
        <v>1157</v>
      </c>
      <c r="R769" s="2" t="s">
        <v>1158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1581</v>
      </c>
      <c r="AB769" s="2" t="s">
        <v>389</v>
      </c>
      <c r="AC769" s="2" t="s">
        <v>1331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x14ac:dyDescent="0.2">
      <c r="A770" s="2">
        <v>2025</v>
      </c>
      <c r="B770" s="2">
        <v>4</v>
      </c>
      <c r="D770" s="2" t="s">
        <v>1156</v>
      </c>
      <c r="P770" s="2" t="s">
        <v>283</v>
      </c>
      <c r="Q770" s="2" t="s">
        <v>1159</v>
      </c>
      <c r="R770" s="2" t="s">
        <v>1160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1581</v>
      </c>
      <c r="AB770" s="2" t="s">
        <v>389</v>
      </c>
      <c r="AC770" s="2" t="s">
        <v>1331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x14ac:dyDescent="0.2">
      <c r="A771" s="2">
        <v>2025</v>
      </c>
      <c r="B771" s="2">
        <v>4</v>
      </c>
      <c r="D771" s="2" t="s">
        <v>1156</v>
      </c>
      <c r="P771" s="2" t="s">
        <v>283</v>
      </c>
      <c r="Q771" s="2" t="s">
        <v>1161</v>
      </c>
      <c r="R771" s="2" t="s">
        <v>1162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1163</v>
      </c>
      <c r="R772" s="2" t="s">
        <v>1164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3237</v>
      </c>
      <c r="AA772" s="2" t="s">
        <v>72</v>
      </c>
      <c r="AB772" s="2" t="s">
        <v>69</v>
      </c>
      <c r="AC772" s="2" t="s">
        <v>3242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x14ac:dyDescent="0.2">
      <c r="A773" s="2">
        <v>2025</v>
      </c>
      <c r="B773" s="2">
        <v>4</v>
      </c>
      <c r="C773" s="2" t="s">
        <v>3333</v>
      </c>
      <c r="D773" s="2" t="s">
        <v>1165</v>
      </c>
      <c r="E773" s="2" t="s">
        <v>754</v>
      </c>
      <c r="G773" s="2">
        <v>508199280</v>
      </c>
      <c r="H773" s="2" t="s">
        <v>40</v>
      </c>
      <c r="I773" s="2" t="s">
        <v>1166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x14ac:dyDescent="0.2">
      <c r="A774" s="2">
        <v>2025</v>
      </c>
      <c r="B774" s="2">
        <v>4</v>
      </c>
      <c r="C774" s="2" t="s">
        <v>3333</v>
      </c>
      <c r="D774" s="2" t="s">
        <v>1165</v>
      </c>
      <c r="E774" s="2" t="s">
        <v>754</v>
      </c>
      <c r="G774" s="2">
        <v>508199280</v>
      </c>
      <c r="H774" s="2" t="s">
        <v>40</v>
      </c>
      <c r="I774" s="2" t="s">
        <v>1166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x14ac:dyDescent="0.2">
      <c r="A775" s="2">
        <v>2025</v>
      </c>
      <c r="B775" s="2">
        <v>4</v>
      </c>
      <c r="C775" s="2" t="s">
        <v>3333</v>
      </c>
      <c r="D775" s="2" t="s">
        <v>1165</v>
      </c>
      <c r="E775" s="2" t="s">
        <v>754</v>
      </c>
      <c r="G775" s="2">
        <v>508199280</v>
      </c>
      <c r="H775" s="2" t="s">
        <v>40</v>
      </c>
      <c r="I775" s="2" t="s">
        <v>1166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1167</v>
      </c>
      <c r="P776" s="2" t="s">
        <v>43</v>
      </c>
      <c r="Q776" s="2" t="s">
        <v>1168</v>
      </c>
      <c r="R776" s="2" t="s">
        <v>1169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3237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14.399999999999999</v>
      </c>
      <c r="AL776" s="5">
        <f t="shared" si="92"/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1170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1170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1171</v>
      </c>
      <c r="E779" s="2" t="s">
        <v>754</v>
      </c>
      <c r="F779" s="2" t="s">
        <v>1172</v>
      </c>
      <c r="G779" s="2">
        <v>505760088</v>
      </c>
      <c r="H779" s="2" t="s">
        <v>291</v>
      </c>
      <c r="I779" s="2" t="s">
        <v>1173</v>
      </c>
      <c r="J779" s="2" t="s">
        <v>1174</v>
      </c>
      <c r="L779" s="2" t="s">
        <v>340</v>
      </c>
      <c r="M779" s="2" t="s">
        <v>1175</v>
      </c>
      <c r="O779" s="2" t="s">
        <v>1176</v>
      </c>
      <c r="P779" s="2" t="s">
        <v>43</v>
      </c>
      <c r="Q779" s="2" t="s">
        <v>1177</v>
      </c>
      <c r="R779" s="2" t="s">
        <v>1178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3237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1171</v>
      </c>
      <c r="E780" s="2" t="s">
        <v>754</v>
      </c>
      <c r="F780" s="2" t="s">
        <v>1172</v>
      </c>
      <c r="G780" s="2">
        <v>505760088</v>
      </c>
      <c r="H780" s="2" t="s">
        <v>291</v>
      </c>
      <c r="I780" s="2" t="s">
        <v>1173</v>
      </c>
      <c r="J780" s="2" t="s">
        <v>1174</v>
      </c>
      <c r="L780" s="2" t="s">
        <v>340</v>
      </c>
      <c r="M780" s="2" t="s">
        <v>1175</v>
      </c>
      <c r="O780" s="2" t="s">
        <v>1176</v>
      </c>
      <c r="P780" s="2" t="s">
        <v>43</v>
      </c>
      <c r="Q780" s="2" t="s">
        <v>1179</v>
      </c>
      <c r="R780" s="2" t="s">
        <v>1180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3237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1171</v>
      </c>
      <c r="E781" s="2" t="s">
        <v>754</v>
      </c>
      <c r="F781" s="2" t="s">
        <v>1172</v>
      </c>
      <c r="G781" s="2">
        <v>505760088</v>
      </c>
      <c r="H781" s="2" t="s">
        <v>291</v>
      </c>
      <c r="I781" s="2" t="s">
        <v>1173</v>
      </c>
      <c r="J781" s="2" t="s">
        <v>1174</v>
      </c>
      <c r="L781" s="2" t="s">
        <v>340</v>
      </c>
      <c r="M781" s="2" t="s">
        <v>1175</v>
      </c>
      <c r="O781" s="2" t="s">
        <v>1176</v>
      </c>
      <c r="P781" s="2" t="s">
        <v>43</v>
      </c>
      <c r="Q781" s="2" t="s">
        <v>974</v>
      </c>
      <c r="R781" s="2" t="s">
        <v>975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3237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1181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1182</v>
      </c>
      <c r="J782" s="2" t="s">
        <v>1183</v>
      </c>
      <c r="L782" s="2" t="s">
        <v>462</v>
      </c>
      <c r="M782" s="2" t="s">
        <v>41</v>
      </c>
      <c r="O782" s="2" t="s">
        <v>1184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3237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1181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1182</v>
      </c>
      <c r="J783" s="2" t="s">
        <v>1183</v>
      </c>
      <c r="L783" s="2" t="s">
        <v>462</v>
      </c>
      <c r="M783" s="2" t="s">
        <v>41</v>
      </c>
      <c r="O783" s="2" t="s">
        <v>1184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99"/>
        <v>0.43981481481481483</v>
      </c>
      <c r="Z783" s="2" t="s">
        <v>3237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7.125</v>
      </c>
      <c r="AL783" s="5">
        <f t="shared" si="92"/>
        <v>0.43981481481481483</v>
      </c>
    </row>
    <row r="784" spans="1:38" x14ac:dyDescent="0.2">
      <c r="A784" s="2">
        <v>2025</v>
      </c>
      <c r="B784" s="2">
        <v>4</v>
      </c>
      <c r="D784" s="2" t="s">
        <v>1181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1182</v>
      </c>
      <c r="J784" s="2" t="s">
        <v>1183</v>
      </c>
      <c r="L784" s="2" t="s">
        <v>462</v>
      </c>
      <c r="M784" s="2" t="s">
        <v>41</v>
      </c>
      <c r="O784" s="2" t="s">
        <v>1184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3237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1181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1182</v>
      </c>
      <c r="J785" s="2" t="s">
        <v>1183</v>
      </c>
      <c r="L785" s="2" t="s">
        <v>462</v>
      </c>
      <c r="M785" s="2" t="s">
        <v>41</v>
      </c>
      <c r="O785" s="2" t="s">
        <v>1185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3237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1181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1182</v>
      </c>
      <c r="J786" s="2" t="s">
        <v>1183</v>
      </c>
      <c r="L786" s="2" t="s">
        <v>462</v>
      </c>
      <c r="M786" s="2" t="s">
        <v>41</v>
      </c>
      <c r="O786" s="2" t="s">
        <v>1184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3237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1181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1182</v>
      </c>
      <c r="J787" s="2" t="s">
        <v>1183</v>
      </c>
      <c r="L787" s="2" t="s">
        <v>462</v>
      </c>
      <c r="M787" s="2" t="s">
        <v>41</v>
      </c>
      <c r="O787" s="2" t="s">
        <v>1184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3237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1186</v>
      </c>
      <c r="R789" s="2" t="s">
        <v>1187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1188</v>
      </c>
      <c r="P790" s="2" t="s">
        <v>69</v>
      </c>
      <c r="Q790" s="2" t="s">
        <v>1163</v>
      </c>
      <c r="R790" s="2" t="s">
        <v>1164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3237</v>
      </c>
      <c r="AA790" s="2" t="s">
        <v>72</v>
      </c>
      <c r="AB790" s="2" t="s">
        <v>69</v>
      </c>
      <c r="AC790" s="2" t="s">
        <v>3242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1188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x14ac:dyDescent="0.2">
      <c r="A792" s="2">
        <v>2025</v>
      </c>
      <c r="B792" s="2">
        <v>4</v>
      </c>
      <c r="D792" s="2" t="s">
        <v>1189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1190</v>
      </c>
      <c r="L792" s="2" t="s">
        <v>100</v>
      </c>
      <c r="M792" s="2" t="s">
        <v>81</v>
      </c>
      <c r="O792" s="2" t="s">
        <v>1191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3237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x14ac:dyDescent="0.2">
      <c r="A793" s="2">
        <v>2025</v>
      </c>
      <c r="B793" s="2">
        <v>4</v>
      </c>
      <c r="D793" s="2" t="s">
        <v>1189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1190</v>
      </c>
      <c r="L793" s="2" t="s">
        <v>100</v>
      </c>
      <c r="M793" s="2" t="s">
        <v>81</v>
      </c>
      <c r="O793" s="2" t="s">
        <v>1191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3237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x14ac:dyDescent="0.2">
      <c r="A794" s="2">
        <v>2025</v>
      </c>
      <c r="B794" s="2">
        <v>4</v>
      </c>
      <c r="D794" s="2" t="s">
        <v>1192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1193</v>
      </c>
      <c r="K794" s="2">
        <v>965705708</v>
      </c>
      <c r="L794" s="2" t="s">
        <v>419</v>
      </c>
      <c r="M794" s="2" t="s">
        <v>40</v>
      </c>
      <c r="O794" s="2" t="s">
        <v>1194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3392</v>
      </c>
      <c r="AF794" s="2">
        <f t="shared" si="96"/>
        <v>0</v>
      </c>
      <c r="AJ794" s="2">
        <f t="shared" si="97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1195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3237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3237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3229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3237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3229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3237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1196</v>
      </c>
      <c r="P799" s="2" t="s">
        <v>1197</v>
      </c>
      <c r="Q799" s="2" t="s">
        <v>1198</v>
      </c>
      <c r="R799" s="2" t="s">
        <v>1199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1197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1196</v>
      </c>
      <c r="P800" s="2" t="s">
        <v>1197</v>
      </c>
      <c r="Q800" s="2" t="s">
        <v>1200</v>
      </c>
      <c r="R800" s="2" t="s">
        <v>1201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1202</v>
      </c>
      <c r="AB800" s="2" t="s">
        <v>120</v>
      </c>
      <c r="AC800" s="2" t="s">
        <v>1197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1196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1196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1203</v>
      </c>
      <c r="R803" s="2" t="s">
        <v>1204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x14ac:dyDescent="0.2">
      <c r="A804" s="2">
        <v>2025</v>
      </c>
      <c r="B804" s="2">
        <v>4</v>
      </c>
      <c r="D804" s="2" t="s">
        <v>1205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1206</v>
      </c>
      <c r="J804" s="2" t="s">
        <v>1207</v>
      </c>
      <c r="K804" s="2">
        <v>913806033</v>
      </c>
      <c r="L804" s="2" t="s">
        <v>294</v>
      </c>
      <c r="P804" s="2" t="s">
        <v>283</v>
      </c>
      <c r="Q804" s="2" t="s">
        <v>1208</v>
      </c>
      <c r="R804" s="2" t="s">
        <v>1209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3237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1205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1206</v>
      </c>
      <c r="J805" s="2" t="s">
        <v>1207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3237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1205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1206</v>
      </c>
      <c r="J806" s="2" t="s">
        <v>1207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1"/>
        <v>0.14285714285714288</v>
      </c>
      <c r="Z806" s="2" t="s">
        <v>3237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2.4000000000000004</v>
      </c>
      <c r="AL806" s="5">
        <f t="shared" si="100"/>
        <v>0.14285714285714288</v>
      </c>
    </row>
    <row r="807" spans="1:38" x14ac:dyDescent="0.2">
      <c r="A807" s="2">
        <v>2025</v>
      </c>
      <c r="B807" s="2">
        <v>4</v>
      </c>
      <c r="D807" s="2" t="s">
        <v>1205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1206</v>
      </c>
      <c r="J807" s="2" t="s">
        <v>1207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3237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x14ac:dyDescent="0.2">
      <c r="A808" s="2">
        <v>2025</v>
      </c>
      <c r="B808" s="2">
        <v>4</v>
      </c>
      <c r="D808" s="2" t="s">
        <v>1205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1206</v>
      </c>
      <c r="J808" s="2" t="s">
        <v>1207</v>
      </c>
      <c r="K808" s="2">
        <v>913806033</v>
      </c>
      <c r="L808" s="2" t="s">
        <v>294</v>
      </c>
      <c r="P808" s="2" t="s">
        <v>167</v>
      </c>
      <c r="Q808" s="2" t="s">
        <v>1049</v>
      </c>
      <c r="R808" s="2" t="s">
        <v>1050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3237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x14ac:dyDescent="0.2">
      <c r="A809" s="2">
        <v>2025</v>
      </c>
      <c r="B809" s="2">
        <v>4</v>
      </c>
      <c r="D809" s="2" t="s">
        <v>1205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1206</v>
      </c>
      <c r="J809" s="2" t="s">
        <v>1207</v>
      </c>
      <c r="K809" s="2">
        <v>913806033</v>
      </c>
      <c r="L809" s="2" t="s">
        <v>294</v>
      </c>
      <c r="P809" s="2" t="s">
        <v>167</v>
      </c>
      <c r="Q809" s="2" t="s">
        <v>1210</v>
      </c>
      <c r="R809" s="2" t="s">
        <v>1211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3237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x14ac:dyDescent="0.2">
      <c r="A810" s="2">
        <v>2025</v>
      </c>
      <c r="B810" s="2">
        <v>4</v>
      </c>
      <c r="D810" s="2" t="s">
        <v>1205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1206</v>
      </c>
      <c r="J810" s="2" t="s">
        <v>1207</v>
      </c>
      <c r="K810" s="2">
        <v>913806033</v>
      </c>
      <c r="L810" s="2" t="s">
        <v>294</v>
      </c>
      <c r="P810" s="2" t="s">
        <v>85</v>
      </c>
      <c r="Q810" s="2" t="s">
        <v>1212</v>
      </c>
      <c r="R810" s="2" t="s">
        <v>1213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3237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x14ac:dyDescent="0.2">
      <c r="A811" s="2">
        <v>2025</v>
      </c>
      <c r="B811" s="2">
        <v>4</v>
      </c>
      <c r="D811" s="2" t="s">
        <v>1205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1206</v>
      </c>
      <c r="J811" s="2" t="s">
        <v>1207</v>
      </c>
      <c r="K811" s="2">
        <v>913806033</v>
      </c>
      <c r="L811" s="2" t="s">
        <v>294</v>
      </c>
      <c r="P811" s="2" t="s">
        <v>85</v>
      </c>
      <c r="Q811" s="2" t="s">
        <v>1214</v>
      </c>
      <c r="R811" s="2" t="s">
        <v>1215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3237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x14ac:dyDescent="0.2">
      <c r="A812" s="2">
        <v>2025</v>
      </c>
      <c r="B812" s="2">
        <v>4</v>
      </c>
      <c r="D812" s="2" t="s">
        <v>1205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1206</v>
      </c>
      <c r="J812" s="2" t="s">
        <v>1207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3237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x14ac:dyDescent="0.2">
      <c r="A813" s="2">
        <v>2025</v>
      </c>
      <c r="B813" s="2">
        <v>4</v>
      </c>
      <c r="D813" s="2" t="s">
        <v>993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994</v>
      </c>
      <c r="J813" s="2" t="s">
        <v>995</v>
      </c>
      <c r="K813" s="2">
        <v>964159861</v>
      </c>
      <c r="L813" s="2" t="s">
        <v>202</v>
      </c>
      <c r="M813" s="2" t="s">
        <v>81</v>
      </c>
      <c r="O813" s="2" t="s">
        <v>1216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3237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x14ac:dyDescent="0.2">
      <c r="A814" s="2">
        <v>2025</v>
      </c>
      <c r="B814" s="2">
        <v>4</v>
      </c>
      <c r="D814" s="2" t="s">
        <v>993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994</v>
      </c>
      <c r="J814" s="2" t="s">
        <v>995</v>
      </c>
      <c r="K814" s="2">
        <v>964159861</v>
      </c>
      <c r="L814" s="2" t="s">
        <v>202</v>
      </c>
      <c r="M814" s="2" t="s">
        <v>81</v>
      </c>
      <c r="O814" s="2" t="s">
        <v>1216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3237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1217</v>
      </c>
      <c r="R815" s="2" t="s">
        <v>1218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1219</v>
      </c>
      <c r="E818" s="2" t="s">
        <v>754</v>
      </c>
      <c r="F818" s="2" t="s">
        <v>1220</v>
      </c>
      <c r="G818" s="2">
        <v>505181983</v>
      </c>
      <c r="H818" s="2" t="s">
        <v>110</v>
      </c>
      <c r="I818" s="2" t="s">
        <v>1221</v>
      </c>
      <c r="J818" s="2" t="s">
        <v>1222</v>
      </c>
      <c r="L818" s="2" t="s">
        <v>113</v>
      </c>
      <c r="M818" s="2" t="s">
        <v>81</v>
      </c>
      <c r="O818" s="2" t="s">
        <v>1223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3237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1219</v>
      </c>
      <c r="E819" s="2" t="s">
        <v>754</v>
      </c>
      <c r="F819" s="2" t="s">
        <v>1220</v>
      </c>
      <c r="G819" s="2">
        <v>505181983</v>
      </c>
      <c r="H819" s="2" t="s">
        <v>110</v>
      </c>
      <c r="I819" s="2" t="s">
        <v>1221</v>
      </c>
      <c r="J819" s="2" t="s">
        <v>1222</v>
      </c>
      <c r="L819" s="2" t="s">
        <v>113</v>
      </c>
      <c r="M819" s="2" t="s">
        <v>81</v>
      </c>
      <c r="O819" s="2" t="s">
        <v>1223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1"/>
        <v>0.44819791666666664</v>
      </c>
      <c r="Z819" s="2" t="s">
        <v>3237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1219</v>
      </c>
      <c r="E820" s="2" t="s">
        <v>754</v>
      </c>
      <c r="F820" s="2" t="s">
        <v>1220</v>
      </c>
      <c r="G820" s="2">
        <v>505181983</v>
      </c>
      <c r="H820" s="2" t="s">
        <v>110</v>
      </c>
      <c r="I820" s="2" t="s">
        <v>1221</v>
      </c>
      <c r="J820" s="2" t="s">
        <v>1222</v>
      </c>
      <c r="L820" s="2" t="s">
        <v>113</v>
      </c>
      <c r="M820" s="2" t="s">
        <v>81</v>
      </c>
      <c r="O820" s="2" t="s">
        <v>1223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3237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1219</v>
      </c>
      <c r="E821" s="2" t="s">
        <v>754</v>
      </c>
      <c r="F821" s="2" t="s">
        <v>1220</v>
      </c>
      <c r="G821" s="2">
        <v>505181983</v>
      </c>
      <c r="H821" s="2" t="s">
        <v>110</v>
      </c>
      <c r="I821" s="2" t="s">
        <v>1221</v>
      </c>
      <c r="J821" s="2" t="s">
        <v>1222</v>
      </c>
      <c r="L821" s="2" t="s">
        <v>113</v>
      </c>
      <c r="M821" s="2" t="s">
        <v>81</v>
      </c>
      <c r="O821" s="2" t="s">
        <v>1223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3237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1219</v>
      </c>
      <c r="E822" s="2" t="s">
        <v>754</v>
      </c>
      <c r="F822" s="2" t="s">
        <v>1220</v>
      </c>
      <c r="G822" s="2">
        <v>505181983</v>
      </c>
      <c r="H822" s="2" t="s">
        <v>110</v>
      </c>
      <c r="I822" s="2" t="s">
        <v>1221</v>
      </c>
      <c r="J822" s="2" t="s">
        <v>1222</v>
      </c>
      <c r="L822" s="2" t="s">
        <v>113</v>
      </c>
      <c r="M822" s="2" t="s">
        <v>81</v>
      </c>
      <c r="O822" s="2" t="s">
        <v>1223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3237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1219</v>
      </c>
      <c r="E823" s="2" t="s">
        <v>754</v>
      </c>
      <c r="F823" s="2" t="s">
        <v>1220</v>
      </c>
      <c r="G823" s="2">
        <v>505181983</v>
      </c>
      <c r="H823" s="2" t="s">
        <v>110</v>
      </c>
      <c r="I823" s="2" t="s">
        <v>1221</v>
      </c>
      <c r="J823" s="2" t="s">
        <v>1222</v>
      </c>
      <c r="L823" s="2" t="s">
        <v>113</v>
      </c>
      <c r="M823" s="2" t="s">
        <v>81</v>
      </c>
      <c r="O823" s="2" t="s">
        <v>1223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3237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1224</v>
      </c>
      <c r="P824" s="2" t="s">
        <v>660</v>
      </c>
      <c r="Q824" s="2" t="s">
        <v>1225</v>
      </c>
      <c r="R824" s="2" t="s">
        <v>1226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3237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1227</v>
      </c>
      <c r="P825" s="2" t="s">
        <v>1041</v>
      </c>
      <c r="Q825" s="2" t="s">
        <v>1228</v>
      </c>
      <c r="R825" s="2" t="s">
        <v>1229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3237</v>
      </c>
      <c r="AA825" s="2" t="s">
        <v>76</v>
      </c>
      <c r="AB825" s="2" t="s">
        <v>77</v>
      </c>
      <c r="AC825" s="2" t="s">
        <v>1041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1230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3237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x14ac:dyDescent="0.2">
      <c r="A827" s="2">
        <v>2025</v>
      </c>
      <c r="B827" s="2">
        <v>4</v>
      </c>
      <c r="D827" s="2" t="s">
        <v>1231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x14ac:dyDescent="0.2">
      <c r="A828" s="2">
        <v>2025</v>
      </c>
      <c r="B828" s="2">
        <v>4</v>
      </c>
      <c r="D828" s="2" t="s">
        <v>1231</v>
      </c>
      <c r="M828" s="2" t="s">
        <v>40</v>
      </c>
      <c r="P828" s="2" t="s">
        <v>40</v>
      </c>
      <c r="Q828" s="2" t="s">
        <v>1232</v>
      </c>
      <c r="R828" s="2" t="s">
        <v>1233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1234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3237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1"/>
        <v>0.5147222222222223</v>
      </c>
      <c r="Z830" s="2" t="s">
        <v>3237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9.2650000000000006</v>
      </c>
      <c r="AL830" s="5">
        <f t="shared" si="100"/>
        <v>0.5147222222222223</v>
      </c>
    </row>
    <row r="831" spans="1:38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3237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x14ac:dyDescent="0.2">
      <c r="A832" s="2">
        <v>2025</v>
      </c>
      <c r="B832" s="2">
        <v>4</v>
      </c>
      <c r="D832" s="2" t="s">
        <v>1235</v>
      </c>
      <c r="L832" s="2" t="s">
        <v>572</v>
      </c>
      <c r="M832" s="2" t="s">
        <v>81</v>
      </c>
      <c r="O832" s="2" t="s">
        <v>1236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3237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x14ac:dyDescent="0.2">
      <c r="A833" s="2">
        <v>2025</v>
      </c>
      <c r="B833" s="2">
        <v>4</v>
      </c>
      <c r="D833" s="2" t="s">
        <v>1235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3237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3237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3237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x14ac:dyDescent="0.2">
      <c r="A836" s="2">
        <v>2025</v>
      </c>
      <c r="B836" s="2">
        <v>4</v>
      </c>
      <c r="D836" s="2" t="s">
        <v>1012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1013</v>
      </c>
      <c r="J836" s="2" t="s">
        <v>1014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x14ac:dyDescent="0.2">
      <c r="A837" s="2">
        <v>2025</v>
      </c>
      <c r="B837" s="2">
        <v>4</v>
      </c>
      <c r="D837" s="2" t="s">
        <v>1012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1013</v>
      </c>
      <c r="J837" s="2" t="s">
        <v>1014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x14ac:dyDescent="0.2">
      <c r="A838" s="2">
        <v>2025</v>
      </c>
      <c r="B838" s="2">
        <v>4</v>
      </c>
      <c r="C838" s="2" t="s">
        <v>3420</v>
      </c>
      <c r="D838" s="2" t="s">
        <v>3418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1237</v>
      </c>
      <c r="P838" s="2" t="s">
        <v>283</v>
      </c>
      <c r="Q838" s="2" t="s">
        <v>1238</v>
      </c>
      <c r="R838" s="2" t="s">
        <v>1239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1581</v>
      </c>
      <c r="AB838" s="2" t="s">
        <v>389</v>
      </c>
      <c r="AC838" s="2" t="s">
        <v>1331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x14ac:dyDescent="0.2">
      <c r="A839" s="2">
        <v>2025</v>
      </c>
      <c r="B839" s="2">
        <v>4</v>
      </c>
      <c r="C839" s="2" t="s">
        <v>3420</v>
      </c>
      <c r="D839" s="2" t="s">
        <v>3418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1237</v>
      </c>
      <c r="P839" s="2" t="s">
        <v>283</v>
      </c>
      <c r="Q839" s="2" t="s">
        <v>1157</v>
      </c>
      <c r="R839" s="2" t="s">
        <v>1158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1581</v>
      </c>
      <c r="AB839" s="2" t="s">
        <v>389</v>
      </c>
      <c r="AC839" s="2" t="s">
        <v>1331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x14ac:dyDescent="0.2">
      <c r="A840" s="2">
        <v>2025</v>
      </c>
      <c r="B840" s="2">
        <v>4</v>
      </c>
      <c r="C840" s="2" t="s">
        <v>3420</v>
      </c>
      <c r="D840" s="2" t="s">
        <v>3418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1237</v>
      </c>
      <c r="P840" s="2" t="s">
        <v>283</v>
      </c>
      <c r="Q840" s="2" t="s">
        <v>1161</v>
      </c>
      <c r="R840" s="2" t="s">
        <v>1162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1581</v>
      </c>
      <c r="AB840" s="2" t="s">
        <v>389</v>
      </c>
      <c r="AC840" s="2" t="s">
        <v>1331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3237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3237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x14ac:dyDescent="0.2">
      <c r="A843" s="2">
        <v>2025</v>
      </c>
      <c r="B843" s="2">
        <v>4</v>
      </c>
      <c r="D843" s="2" t="s">
        <v>1018</v>
      </c>
      <c r="L843" s="2" t="s">
        <v>100</v>
      </c>
      <c r="M843" s="2" t="s">
        <v>81</v>
      </c>
      <c r="P843" s="2" t="s">
        <v>283</v>
      </c>
      <c r="Q843" s="2" t="s">
        <v>1240</v>
      </c>
      <c r="R843" s="2" t="s">
        <v>1241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3237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3237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3237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x14ac:dyDescent="0.2">
      <c r="A846" s="2">
        <v>2025</v>
      </c>
      <c r="B846" s="2">
        <v>4</v>
      </c>
      <c r="D846" s="2" t="s">
        <v>1242</v>
      </c>
      <c r="P846" s="2" t="s">
        <v>69</v>
      </c>
      <c r="Q846" s="2" t="s">
        <v>1163</v>
      </c>
      <c r="R846" s="2" t="s">
        <v>1164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3237</v>
      </c>
      <c r="AA846" s="2" t="s">
        <v>72</v>
      </c>
      <c r="AB846" s="2" t="s">
        <v>69</v>
      </c>
      <c r="AC846" s="2" t="s">
        <v>3242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x14ac:dyDescent="0.2">
      <c r="A847" s="2">
        <v>2025</v>
      </c>
      <c r="B847" s="2">
        <v>4</v>
      </c>
      <c r="D847" s="2" t="s">
        <v>1242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x14ac:dyDescent="0.2">
      <c r="A848" s="2">
        <v>2025</v>
      </c>
      <c r="B848" s="2">
        <v>4</v>
      </c>
      <c r="D848" s="2" t="s">
        <v>1243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3230</v>
      </c>
      <c r="J848" s="2" t="s">
        <v>3231</v>
      </c>
      <c r="L848" s="2" t="s">
        <v>340</v>
      </c>
      <c r="M848" s="2" t="s">
        <v>40</v>
      </c>
      <c r="O848" s="2" t="s">
        <v>3232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x14ac:dyDescent="0.2">
      <c r="A849" s="2">
        <v>2025</v>
      </c>
      <c r="B849" s="2">
        <v>4</v>
      </c>
      <c r="D849" s="2" t="s">
        <v>1243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3230</v>
      </c>
      <c r="J849" s="2" t="s">
        <v>3231</v>
      </c>
      <c r="L849" s="2" t="s">
        <v>340</v>
      </c>
      <c r="M849" s="2" t="s">
        <v>40</v>
      </c>
      <c r="O849" s="2" t="s">
        <v>3232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x14ac:dyDescent="0.2">
      <c r="A850" s="2">
        <v>2025</v>
      </c>
      <c r="B850" s="2">
        <v>4</v>
      </c>
      <c r="D850" s="2" t="s">
        <v>1244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x14ac:dyDescent="0.2">
      <c r="A851" s="2">
        <v>2025</v>
      </c>
      <c r="B851" s="2">
        <v>4</v>
      </c>
      <c r="D851" s="2" t="s">
        <v>1244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x14ac:dyDescent="0.2">
      <c r="A852" s="2">
        <v>2025</v>
      </c>
      <c r="B852" s="2">
        <v>4</v>
      </c>
      <c r="D852" s="2" t="s">
        <v>1245</v>
      </c>
      <c r="P852" s="2" t="s">
        <v>283</v>
      </c>
      <c r="Q852" s="2" t="s">
        <v>1072</v>
      </c>
      <c r="R852" s="2" t="s">
        <v>1073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3237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1245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3237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C854" s="2" t="s">
        <v>3322</v>
      </c>
      <c r="D854" s="2" t="s">
        <v>1245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1246</v>
      </c>
      <c r="R854" s="2" t="s">
        <v>1247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7"/>
        <v>0.5377777777777778</v>
      </c>
      <c r="Z854" s="2" t="s">
        <v>3237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4.84</v>
      </c>
      <c r="AL854" s="5">
        <f t="shared" si="108"/>
        <v>0.5377777777777778</v>
      </c>
    </row>
    <row r="855" spans="1:38" x14ac:dyDescent="0.2">
      <c r="A855" s="2">
        <v>2025</v>
      </c>
      <c r="B855" s="2">
        <v>4</v>
      </c>
      <c r="D855" s="2" t="s">
        <v>1020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1021</v>
      </c>
      <c r="J855" s="2" t="s">
        <v>1022</v>
      </c>
      <c r="L855" s="2" t="s">
        <v>294</v>
      </c>
      <c r="M855" s="2" t="s">
        <v>81</v>
      </c>
      <c r="O855" s="2" t="s">
        <v>1248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3237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x14ac:dyDescent="0.2">
      <c r="A856" s="2">
        <v>2025</v>
      </c>
      <c r="B856" s="2">
        <v>4</v>
      </c>
      <c r="D856" s="2" t="s">
        <v>1020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1021</v>
      </c>
      <c r="J856" s="2" t="s">
        <v>1022</v>
      </c>
      <c r="L856" s="2" t="s">
        <v>294</v>
      </c>
      <c r="M856" s="2" t="s">
        <v>81</v>
      </c>
      <c r="O856" s="2" t="s">
        <v>1249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3237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x14ac:dyDescent="0.2">
      <c r="A857" s="2">
        <v>2025</v>
      </c>
      <c r="B857" s="2">
        <v>4</v>
      </c>
      <c r="D857" s="2" t="s">
        <v>1020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1021</v>
      </c>
      <c r="J857" s="2" t="s">
        <v>1022</v>
      </c>
      <c r="L857" s="2" t="s">
        <v>294</v>
      </c>
      <c r="M857" s="2" t="s">
        <v>81</v>
      </c>
      <c r="O857" s="2" t="s">
        <v>1250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3237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1024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3237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x14ac:dyDescent="0.2">
      <c r="A862" s="2">
        <v>2025</v>
      </c>
      <c r="B862" s="2">
        <v>4</v>
      </c>
      <c r="D862" s="2" t="s">
        <v>1251</v>
      </c>
      <c r="P862" s="2" t="s">
        <v>73</v>
      </c>
      <c r="Q862" s="2" t="s">
        <v>1252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3237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x14ac:dyDescent="0.2">
      <c r="A863" s="2">
        <v>2025</v>
      </c>
      <c r="B863" s="2">
        <v>4</v>
      </c>
      <c r="D863" s="2" t="s">
        <v>1251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3237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x14ac:dyDescent="0.2">
      <c r="A864" s="2">
        <v>2025</v>
      </c>
      <c r="B864" s="2">
        <v>4</v>
      </c>
      <c r="D864" s="2" t="s">
        <v>1253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3392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1254</v>
      </c>
      <c r="R865" s="2" t="s">
        <v>1255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3322</v>
      </c>
      <c r="D866" s="2" t="s">
        <v>3321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3322</v>
      </c>
      <c r="D867" s="2" t="s">
        <v>3323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1256</v>
      </c>
      <c r="R867" s="2" t="s">
        <v>1257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1258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3237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1258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3237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1258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3237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3237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3237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09"/>
        <v>0.41923076923076918</v>
      </c>
      <c r="Z873" s="2" t="s">
        <v>3237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6.5399999999999991</v>
      </c>
      <c r="AL873" s="5">
        <f t="shared" si="108"/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09"/>
        <v>0.39885057471264357</v>
      </c>
      <c r="Z874" s="2" t="s">
        <v>3237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6.9399999999999977</v>
      </c>
      <c r="AL874" s="5">
        <f t="shared" si="108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3237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3392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x14ac:dyDescent="0.2">
      <c r="A879" s="2">
        <v>2025</v>
      </c>
      <c r="B879" s="2">
        <v>4</v>
      </c>
      <c r="D879" s="2" t="s">
        <v>1259</v>
      </c>
      <c r="P879" s="2" t="s">
        <v>73</v>
      </c>
      <c r="Q879" s="2" t="s">
        <v>1078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3237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x14ac:dyDescent="0.2">
      <c r="A880" s="2">
        <v>2025</v>
      </c>
      <c r="B880" s="2">
        <v>4</v>
      </c>
      <c r="D880" s="2" t="s">
        <v>1259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3237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x14ac:dyDescent="0.2">
      <c r="A882" s="2">
        <v>2025</v>
      </c>
      <c r="B882" s="2">
        <v>4</v>
      </c>
      <c r="D882" s="2" t="s">
        <v>1260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3237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x14ac:dyDescent="0.2">
      <c r="A883" s="2">
        <v>2025</v>
      </c>
      <c r="B883" s="2">
        <v>4</v>
      </c>
      <c r="D883" s="2" t="s">
        <v>1260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3237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x14ac:dyDescent="0.2">
      <c r="A884" s="2">
        <v>2025</v>
      </c>
      <c r="B884" s="2">
        <v>4</v>
      </c>
      <c r="D884" s="2" t="s">
        <v>1261</v>
      </c>
      <c r="P884" s="2" t="s">
        <v>115</v>
      </c>
      <c r="Q884" s="2" t="s">
        <v>1262</v>
      </c>
      <c r="R884" s="2" t="s">
        <v>1263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x14ac:dyDescent="0.2">
      <c r="A885" s="2">
        <v>2025</v>
      </c>
      <c r="B885" s="2">
        <v>4</v>
      </c>
      <c r="D885" s="2" t="s">
        <v>1056</v>
      </c>
      <c r="E885" s="2" t="s">
        <v>184</v>
      </c>
      <c r="F885" s="2" t="s">
        <v>1057</v>
      </c>
      <c r="G885" s="2">
        <v>500199523</v>
      </c>
      <c r="H885" s="2" t="s">
        <v>291</v>
      </c>
      <c r="I885" s="2" t="s">
        <v>294</v>
      </c>
      <c r="J885" s="2" t="s">
        <v>1058</v>
      </c>
      <c r="L885" s="2" t="s">
        <v>294</v>
      </c>
      <c r="M885" s="2" t="s">
        <v>81</v>
      </c>
      <c r="O885" s="2" t="s">
        <v>1264</v>
      </c>
      <c r="P885" s="2" t="s">
        <v>73</v>
      </c>
      <c r="Q885" s="2" t="s">
        <v>1265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3237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x14ac:dyDescent="0.2">
      <c r="A886" s="2">
        <v>2025</v>
      </c>
      <c r="B886" s="2">
        <v>4</v>
      </c>
      <c r="D886" s="2" t="s">
        <v>1056</v>
      </c>
      <c r="E886" s="2" t="s">
        <v>184</v>
      </c>
      <c r="F886" s="2" t="s">
        <v>1057</v>
      </c>
      <c r="G886" s="2">
        <v>500199523</v>
      </c>
      <c r="H886" s="2" t="s">
        <v>291</v>
      </c>
      <c r="I886" s="2" t="s">
        <v>294</v>
      </c>
      <c r="J886" s="2" t="s">
        <v>1058</v>
      </c>
      <c r="L886" s="2" t="s">
        <v>294</v>
      </c>
      <c r="M886" s="2" t="s">
        <v>81</v>
      </c>
      <c r="O886" s="2" t="s">
        <v>1264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x14ac:dyDescent="0.2">
      <c r="A887" s="2">
        <v>2025</v>
      </c>
      <c r="B887" s="2">
        <v>4</v>
      </c>
      <c r="D887" s="2" t="s">
        <v>1056</v>
      </c>
      <c r="E887" s="2" t="s">
        <v>184</v>
      </c>
      <c r="F887" s="2" t="s">
        <v>1057</v>
      </c>
      <c r="G887" s="2">
        <v>500199523</v>
      </c>
      <c r="H887" s="2" t="s">
        <v>291</v>
      </c>
      <c r="I887" s="2" t="s">
        <v>294</v>
      </c>
      <c r="J887" s="2" t="s">
        <v>1058</v>
      </c>
      <c r="L887" s="2" t="s">
        <v>294</v>
      </c>
      <c r="M887" s="2" t="s">
        <v>81</v>
      </c>
      <c r="O887" s="2" t="s">
        <v>1264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3237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x14ac:dyDescent="0.2">
      <c r="A888" s="2">
        <v>2025</v>
      </c>
      <c r="B888" s="2">
        <v>4</v>
      </c>
      <c r="D888" s="2" t="s">
        <v>1069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3392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3143</v>
      </c>
      <c r="L889" s="2" t="s">
        <v>178</v>
      </c>
      <c r="M889" s="2" t="s">
        <v>41</v>
      </c>
      <c r="O889" s="2" t="s">
        <v>3145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3237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3143</v>
      </c>
      <c r="L890" s="2" t="s">
        <v>178</v>
      </c>
      <c r="M890" s="2" t="s">
        <v>41</v>
      </c>
      <c r="O890" s="2" t="s">
        <v>3145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3237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3237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3237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3237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1072</v>
      </c>
      <c r="R894" s="2" t="s">
        <v>1073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3237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3237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3237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1266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3237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1266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3237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1267</v>
      </c>
      <c r="R899" s="2" t="s">
        <v>1268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1269</v>
      </c>
      <c r="R900" s="2" t="s">
        <v>1270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1271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3237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3158</v>
      </c>
      <c r="P902" s="2" t="s">
        <v>1041</v>
      </c>
      <c r="Q902" s="2" t="s">
        <v>1272</v>
      </c>
      <c r="R902" s="2" t="s">
        <v>1273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3237</v>
      </c>
      <c r="AA902" s="2" t="s">
        <v>1044</v>
      </c>
      <c r="AB902" s="2" t="s">
        <v>1274</v>
      </c>
      <c r="AC902" s="2" t="s">
        <v>1041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3237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x14ac:dyDescent="0.2">
      <c r="A907" s="2">
        <v>2025</v>
      </c>
      <c r="B907" s="2">
        <v>4</v>
      </c>
      <c r="D907" s="2" t="s">
        <v>1275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1276</v>
      </c>
      <c r="J907" s="2" t="s">
        <v>1277</v>
      </c>
      <c r="L907" s="2" t="s">
        <v>178</v>
      </c>
      <c r="M907" s="2" t="s">
        <v>40</v>
      </c>
      <c r="O907" s="2" t="s">
        <v>1278</v>
      </c>
      <c r="P907" s="2" t="s">
        <v>115</v>
      </c>
      <c r="Q907" s="2" t="s">
        <v>1080</v>
      </c>
      <c r="R907" s="2" t="s">
        <v>1081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x14ac:dyDescent="0.2">
      <c r="A908" s="2">
        <v>2025</v>
      </c>
      <c r="B908" s="2">
        <v>4</v>
      </c>
      <c r="D908" s="2" t="s">
        <v>1279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1280</v>
      </c>
      <c r="J908" s="2" t="s">
        <v>1281</v>
      </c>
      <c r="L908" s="2" t="s">
        <v>340</v>
      </c>
      <c r="M908" s="2" t="s">
        <v>40</v>
      </c>
      <c r="O908" s="2" t="s">
        <v>1282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x14ac:dyDescent="0.2">
      <c r="A909" s="2">
        <v>2025</v>
      </c>
      <c r="B909" s="2">
        <v>4</v>
      </c>
      <c r="D909" s="2" t="s">
        <v>1279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1280</v>
      </c>
      <c r="J909" s="2" t="s">
        <v>1281</v>
      </c>
      <c r="L909" s="2" t="s">
        <v>340</v>
      </c>
      <c r="M909" s="2" t="s">
        <v>40</v>
      </c>
      <c r="O909" s="2" t="s">
        <v>1282</v>
      </c>
      <c r="P909" s="2" t="s">
        <v>115</v>
      </c>
      <c r="Q909" s="6" t="s">
        <v>1283</v>
      </c>
      <c r="R909" s="2" t="s">
        <v>1284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x14ac:dyDescent="0.2">
      <c r="A910" s="2">
        <v>2025</v>
      </c>
      <c r="B910" s="2">
        <v>4</v>
      </c>
      <c r="D910" s="2" t="s">
        <v>1279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x14ac:dyDescent="0.2">
      <c r="A911" s="2">
        <v>2025</v>
      </c>
      <c r="B911" s="2">
        <v>4</v>
      </c>
      <c r="D911" s="2" t="s">
        <v>1279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x14ac:dyDescent="0.2">
      <c r="A912" s="2">
        <v>2025</v>
      </c>
      <c r="B912" s="2">
        <v>4</v>
      </c>
      <c r="C912" s="2" t="s">
        <v>3420</v>
      </c>
      <c r="D912" s="2" t="s">
        <v>1285</v>
      </c>
      <c r="E912" s="2" t="s">
        <v>184</v>
      </c>
      <c r="F912" s="2" t="s">
        <v>3002</v>
      </c>
      <c r="L912" s="2" t="s">
        <v>100</v>
      </c>
      <c r="M912" s="2" t="s">
        <v>81</v>
      </c>
      <c r="P912" s="2" t="s">
        <v>283</v>
      </c>
      <c r="Q912" s="2" t="s">
        <v>1286</v>
      </c>
      <c r="R912" s="2" t="s">
        <v>1287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1581</v>
      </c>
      <c r="AB912" s="2" t="s">
        <v>389</v>
      </c>
      <c r="AC912" s="2" t="s">
        <v>1331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x14ac:dyDescent="0.2">
      <c r="A913" s="2">
        <v>2025</v>
      </c>
      <c r="B913" s="2">
        <v>4</v>
      </c>
      <c r="C913" s="2" t="s">
        <v>3420</v>
      </c>
      <c r="D913" s="2" t="s">
        <v>1285</v>
      </c>
      <c r="E913" s="2" t="s">
        <v>184</v>
      </c>
      <c r="F913" s="2" t="s">
        <v>3002</v>
      </c>
      <c r="L913" s="2" t="s">
        <v>100</v>
      </c>
      <c r="M913" s="2" t="s">
        <v>81</v>
      </c>
      <c r="P913" s="2" t="s">
        <v>283</v>
      </c>
      <c r="Q913" s="2" t="s">
        <v>1288</v>
      </c>
      <c r="R913" s="2" t="s">
        <v>1289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1581</v>
      </c>
      <c r="AB913" s="2" t="s">
        <v>389</v>
      </c>
      <c r="AC913" s="2" t="s">
        <v>1331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x14ac:dyDescent="0.2">
      <c r="A914" s="2">
        <v>2025</v>
      </c>
      <c r="B914" s="2">
        <v>4</v>
      </c>
      <c r="C914" s="2" t="s">
        <v>3420</v>
      </c>
      <c r="D914" s="2" t="s">
        <v>1285</v>
      </c>
      <c r="E914" s="2" t="s">
        <v>184</v>
      </c>
      <c r="F914" s="2" t="s">
        <v>3002</v>
      </c>
      <c r="L914" s="2" t="s">
        <v>100</v>
      </c>
      <c r="M914" s="2" t="s">
        <v>81</v>
      </c>
      <c r="P914" s="2" t="s">
        <v>283</v>
      </c>
      <c r="Q914" s="2" t="s">
        <v>1290</v>
      </c>
      <c r="R914" s="2" t="s">
        <v>1291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1581</v>
      </c>
      <c r="AB914" s="2" t="s">
        <v>389</v>
      </c>
      <c r="AC914" s="2" t="s">
        <v>1331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3420</v>
      </c>
      <c r="D915" s="2" t="s">
        <v>1285</v>
      </c>
      <c r="E915" s="2" t="s">
        <v>184</v>
      </c>
      <c r="F915" s="2" t="s">
        <v>3002</v>
      </c>
      <c r="L915" s="2" t="s">
        <v>100</v>
      </c>
      <c r="M915" s="2" t="s">
        <v>81</v>
      </c>
      <c r="P915" s="2" t="s">
        <v>283</v>
      </c>
      <c r="Q915" s="2" t="s">
        <v>1161</v>
      </c>
      <c r="R915" s="2" t="s">
        <v>1162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1581</v>
      </c>
      <c r="AB915" s="2" t="s">
        <v>389</v>
      </c>
      <c r="AC915" s="2" t="s">
        <v>1331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x14ac:dyDescent="0.2">
      <c r="A916" s="2">
        <v>2025</v>
      </c>
      <c r="B916" s="2">
        <v>4</v>
      </c>
      <c r="C916" s="2" t="s">
        <v>3420</v>
      </c>
      <c r="D916" s="2" t="s">
        <v>1285</v>
      </c>
      <c r="E916" s="2" t="s">
        <v>184</v>
      </c>
      <c r="F916" s="2" t="s">
        <v>3002</v>
      </c>
      <c r="L916" s="2" t="s">
        <v>100</v>
      </c>
      <c r="M916" s="2" t="s">
        <v>81</v>
      </c>
      <c r="P916" s="2" t="s">
        <v>283</v>
      </c>
      <c r="Q916" s="2" t="s">
        <v>1292</v>
      </c>
      <c r="R916" s="2" t="s">
        <v>1293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1581</v>
      </c>
      <c r="AB916" s="2" t="s">
        <v>389</v>
      </c>
      <c r="AC916" s="2" t="s">
        <v>1331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x14ac:dyDescent="0.2">
      <c r="A917" s="2">
        <v>2025</v>
      </c>
      <c r="B917" s="2">
        <v>4</v>
      </c>
      <c r="D917" s="2" t="s">
        <v>1294</v>
      </c>
      <c r="M917" s="2" t="s">
        <v>81</v>
      </c>
      <c r="P917" s="2" t="s">
        <v>115</v>
      </c>
      <c r="Q917" s="2" t="s">
        <v>1295</v>
      </c>
      <c r="R917" s="2" t="s">
        <v>1296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1297</v>
      </c>
      <c r="R918" s="2" t="s">
        <v>1298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x14ac:dyDescent="0.2">
      <c r="A919" s="2">
        <v>2025</v>
      </c>
      <c r="B919" s="2">
        <v>4</v>
      </c>
      <c r="D919" s="2" t="s">
        <v>1299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1300</v>
      </c>
      <c r="L919" s="2" t="s">
        <v>340</v>
      </c>
      <c r="M919" s="2" t="s">
        <v>81</v>
      </c>
      <c r="O919" s="2" t="s">
        <v>3209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3237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x14ac:dyDescent="0.2">
      <c r="A920" s="2">
        <v>2025</v>
      </c>
      <c r="B920" s="2">
        <v>4</v>
      </c>
      <c r="D920" s="2" t="s">
        <v>1299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1300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3237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x14ac:dyDescent="0.2">
      <c r="A921" s="2">
        <v>2025</v>
      </c>
      <c r="B921" s="2">
        <v>4</v>
      </c>
      <c r="D921" s="2" t="s">
        <v>1301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x14ac:dyDescent="0.2">
      <c r="A922" s="2">
        <v>2025</v>
      </c>
      <c r="B922" s="2">
        <v>4</v>
      </c>
      <c r="D922" s="2" t="s">
        <v>1301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x14ac:dyDescent="0.2">
      <c r="A923" s="2">
        <v>2025</v>
      </c>
      <c r="B923" s="2">
        <v>4</v>
      </c>
      <c r="D923" s="2" t="s">
        <v>1301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1302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3237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x14ac:dyDescent="0.2">
      <c r="A926" s="2">
        <v>2025</v>
      </c>
      <c r="B926" s="2">
        <v>4</v>
      </c>
      <c r="D926" s="2" t="s">
        <v>1303</v>
      </c>
      <c r="P926" s="2" t="s">
        <v>115</v>
      </c>
      <c r="Q926" s="2" t="s">
        <v>1304</v>
      </c>
      <c r="R926" s="2" t="s">
        <v>1305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x14ac:dyDescent="0.2">
      <c r="A927" s="2">
        <v>2025</v>
      </c>
      <c r="B927" s="2">
        <v>4</v>
      </c>
      <c r="D927" s="2" t="s">
        <v>1306</v>
      </c>
      <c r="P927" s="2" t="s">
        <v>1197</v>
      </c>
      <c r="Q927" s="2" t="s">
        <v>1089</v>
      </c>
      <c r="R927" s="2" t="s">
        <v>1090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1202</v>
      </c>
      <c r="AB927" s="2" t="s">
        <v>120</v>
      </c>
      <c r="AC927" s="2" t="s">
        <v>1197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3392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x14ac:dyDescent="0.2">
      <c r="A929" s="2">
        <v>2025</v>
      </c>
      <c r="B929" s="2">
        <v>4</v>
      </c>
      <c r="D929" s="2" t="s">
        <v>1307</v>
      </c>
      <c r="P929" s="2" t="s">
        <v>1197</v>
      </c>
      <c r="Q929" s="2" t="s">
        <v>1308</v>
      </c>
      <c r="R929" s="2" t="s">
        <v>1309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1202</v>
      </c>
      <c r="AB929" s="2" t="s">
        <v>120</v>
      </c>
      <c r="AC929" s="2" t="s">
        <v>1197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3237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3237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x14ac:dyDescent="0.2">
      <c r="A932" s="2">
        <v>2025</v>
      </c>
      <c r="B932" s="2">
        <v>4</v>
      </c>
      <c r="D932" s="2" t="s">
        <v>1123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3256</v>
      </c>
      <c r="J932" s="2" t="s">
        <v>3257</v>
      </c>
      <c r="K932" s="2">
        <v>96179412</v>
      </c>
      <c r="L932" s="2" t="s">
        <v>462</v>
      </c>
      <c r="M932" s="2" t="s">
        <v>40</v>
      </c>
      <c r="O932" s="2" t="s">
        <v>3260</v>
      </c>
      <c r="P932" s="2" t="s">
        <v>3267</v>
      </c>
      <c r="Q932" s="2" t="s">
        <v>1310</v>
      </c>
      <c r="R932" s="2" t="s">
        <v>1311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3266</v>
      </c>
      <c r="AB932" s="2" t="s">
        <v>1115</v>
      </c>
      <c r="AC932" s="2" t="s">
        <v>3265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1315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3237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3237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1316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1317</v>
      </c>
      <c r="L935" s="2" t="s">
        <v>178</v>
      </c>
      <c r="M935" s="2" t="s">
        <v>41</v>
      </c>
      <c r="O935" s="2" t="s">
        <v>1318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3237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1316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1317</v>
      </c>
      <c r="L936" s="2" t="s">
        <v>178</v>
      </c>
      <c r="M936" s="2" t="s">
        <v>41</v>
      </c>
      <c r="O936" s="2" t="s">
        <v>1318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3237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1316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1317</v>
      </c>
      <c r="L937" s="2" t="s">
        <v>178</v>
      </c>
      <c r="M937" s="2" t="s">
        <v>41</v>
      </c>
      <c r="O937" s="2" t="s">
        <v>1318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3237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x14ac:dyDescent="0.2">
      <c r="A938" s="2">
        <v>2025</v>
      </c>
      <c r="B938" s="2">
        <v>4</v>
      </c>
      <c r="D938" s="2" t="s">
        <v>1319</v>
      </c>
      <c r="G938" s="2">
        <v>507220633</v>
      </c>
      <c r="I938" s="2" t="s">
        <v>3160</v>
      </c>
      <c r="M938" s="2" t="s">
        <v>81</v>
      </c>
      <c r="O938" s="2" t="s">
        <v>3159</v>
      </c>
      <c r="P938" s="2" t="s">
        <v>1041</v>
      </c>
      <c r="Q938" s="2" t="s">
        <v>1320</v>
      </c>
      <c r="R938" s="2" t="s">
        <v>1321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3237</v>
      </c>
      <c r="AA938" s="2" t="s">
        <v>1044</v>
      </c>
      <c r="AB938" s="2" t="s">
        <v>1322</v>
      </c>
      <c r="AC938" s="2" t="s">
        <v>1041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f>9.075*S939</f>
        <v>9.0749999999999993</v>
      </c>
      <c r="X939" s="5">
        <f t="shared" si="117"/>
        <v>0.43981481481481483</v>
      </c>
      <c r="Z939" s="2" t="s">
        <v>3237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3237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3237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3237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3237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3237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3237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1323</v>
      </c>
      <c r="R946" s="2" t="s">
        <v>1324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3237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1208</v>
      </c>
      <c r="R947" s="2" t="s">
        <v>1209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3237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1325</v>
      </c>
      <c r="L948" s="2" t="s">
        <v>100</v>
      </c>
      <c r="M948" s="2" t="s">
        <v>81</v>
      </c>
      <c r="O948" s="2" t="s">
        <v>1326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3237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3237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3237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7"/>
        <v>0.45683760683760677</v>
      </c>
      <c r="Z951" s="2" t="s">
        <v>3237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3237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3237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3237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3237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3237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3237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3237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3237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1327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3237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1327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3237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x14ac:dyDescent="0.2">
      <c r="A962" s="2">
        <v>2025</v>
      </c>
      <c r="B962" s="2">
        <v>5</v>
      </c>
      <c r="D962" s="2" t="s">
        <v>1328</v>
      </c>
      <c r="P962" s="2" t="s">
        <v>283</v>
      </c>
      <c r="Q962" s="2" t="s">
        <v>1329</v>
      </c>
      <c r="R962" s="2" t="s">
        <v>1330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3237</v>
      </c>
      <c r="AA962" s="2" t="s">
        <v>579</v>
      </c>
      <c r="AB962" s="2" t="s">
        <v>120</v>
      </c>
      <c r="AC962" s="2" t="s">
        <v>1331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1328</v>
      </c>
      <c r="P963" s="2" t="s">
        <v>283</v>
      </c>
      <c r="Q963" s="2" t="s">
        <v>1332</v>
      </c>
      <c r="R963" s="2" t="s">
        <v>1333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1334</v>
      </c>
      <c r="AC963" s="2" t="s">
        <v>1331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x14ac:dyDescent="0.2">
      <c r="A964" s="2">
        <v>2025</v>
      </c>
      <c r="B964" s="2">
        <v>5</v>
      </c>
      <c r="D964" s="2" t="s">
        <v>1335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x14ac:dyDescent="0.2">
      <c r="A965" s="2">
        <v>2025</v>
      </c>
      <c r="B965" s="2">
        <v>5</v>
      </c>
      <c r="D965" s="2" t="s">
        <v>1335</v>
      </c>
      <c r="P965" s="2" t="s">
        <v>115</v>
      </c>
      <c r="Q965" s="2" t="s">
        <v>1336</v>
      </c>
      <c r="R965" s="2" t="s">
        <v>1337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1338</v>
      </c>
      <c r="P966" s="2" t="s">
        <v>43</v>
      </c>
      <c r="Q966" s="2" t="s">
        <v>1339</v>
      </c>
      <c r="R966" s="2" t="s">
        <v>1340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3237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1341</v>
      </c>
      <c r="P967" s="2" t="s">
        <v>115</v>
      </c>
      <c r="Q967" s="2" t="s">
        <v>1342</v>
      </c>
      <c r="R967" s="2" t="s">
        <v>1343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1344</v>
      </c>
      <c r="P968" s="2" t="s">
        <v>115</v>
      </c>
      <c r="Q968" s="2" t="s">
        <v>1345</v>
      </c>
      <c r="R968" s="2" t="s">
        <v>1346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1341</v>
      </c>
      <c r="P969" s="2" t="s">
        <v>115</v>
      </c>
      <c r="Q969" s="2" t="s">
        <v>1347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x14ac:dyDescent="0.2">
      <c r="A970" s="2">
        <v>2025</v>
      </c>
      <c r="B970" s="2">
        <v>5</v>
      </c>
      <c r="D970" s="2" t="s">
        <v>1348</v>
      </c>
      <c r="P970" s="2" t="s">
        <v>73</v>
      </c>
      <c r="Q970" s="2" t="s">
        <v>1349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3237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x14ac:dyDescent="0.2">
      <c r="A971" s="2">
        <v>2025</v>
      </c>
      <c r="B971" s="2">
        <v>5</v>
      </c>
      <c r="D971" s="2" t="s">
        <v>1348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3237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x14ac:dyDescent="0.2">
      <c r="A972" s="2">
        <v>2025</v>
      </c>
      <c r="B972" s="2">
        <v>5</v>
      </c>
      <c r="D972" s="2" t="s">
        <v>1171</v>
      </c>
      <c r="E972" s="2" t="s">
        <v>754</v>
      </c>
      <c r="F972" s="2" t="s">
        <v>1172</v>
      </c>
      <c r="G972" s="2">
        <v>505760088</v>
      </c>
      <c r="H972" s="2" t="s">
        <v>291</v>
      </c>
      <c r="I972" s="2" t="s">
        <v>1173</v>
      </c>
      <c r="J972" s="2" t="s">
        <v>1174</v>
      </c>
      <c r="L972" s="2" t="s">
        <v>340</v>
      </c>
      <c r="M972" s="2" t="s">
        <v>40</v>
      </c>
      <c r="O972" s="2" t="s">
        <v>1350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3237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x14ac:dyDescent="0.2">
      <c r="A974" s="2">
        <v>2025</v>
      </c>
      <c r="B974" s="2">
        <v>5</v>
      </c>
      <c r="D974" s="2" t="s">
        <v>1351</v>
      </c>
      <c r="P974" s="2" t="s">
        <v>1041</v>
      </c>
      <c r="Q974" s="2" t="s">
        <v>1352</v>
      </c>
      <c r="R974" s="2" t="s">
        <v>1353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3237</v>
      </c>
      <c r="AA974" s="2" t="s">
        <v>1044</v>
      </c>
      <c r="AB974" s="2" t="s">
        <v>1322</v>
      </c>
      <c r="AC974" s="2" t="s">
        <v>1041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3237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3237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3237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3237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x14ac:dyDescent="0.2">
      <c r="A979" s="2">
        <v>2025</v>
      </c>
      <c r="B979" s="2">
        <v>5</v>
      </c>
      <c r="D979" s="2" t="s">
        <v>1354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3237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x14ac:dyDescent="0.2">
      <c r="A980" s="2">
        <v>2025</v>
      </c>
      <c r="B980" s="2">
        <v>5</v>
      </c>
      <c r="D980" s="2" t="s">
        <v>1354</v>
      </c>
      <c r="P980" s="2" t="s">
        <v>283</v>
      </c>
      <c r="Q980" s="2" t="s">
        <v>1355</v>
      </c>
      <c r="R980" s="2" t="s">
        <v>1356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3237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x14ac:dyDescent="0.2">
      <c r="A981" s="2">
        <v>2025</v>
      </c>
      <c r="B981" s="2">
        <v>5</v>
      </c>
      <c r="D981" s="2" t="s">
        <v>984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985</v>
      </c>
      <c r="J981" s="2" t="s">
        <v>986</v>
      </c>
      <c r="L981" s="2" t="s">
        <v>294</v>
      </c>
      <c r="M981" s="2" t="s">
        <v>81</v>
      </c>
      <c r="O981" s="2" t="s">
        <v>1357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3237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x14ac:dyDescent="0.2">
      <c r="A982" s="2">
        <v>2025</v>
      </c>
      <c r="B982" s="2">
        <v>5</v>
      </c>
      <c r="D982" s="2" t="s">
        <v>984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985</v>
      </c>
      <c r="J982" s="2" t="s">
        <v>986</v>
      </c>
      <c r="L982" s="2" t="s">
        <v>294</v>
      </c>
      <c r="M982" s="2" t="s">
        <v>81</v>
      </c>
      <c r="O982" s="2" t="s">
        <v>1357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3237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x14ac:dyDescent="0.2">
      <c r="A983" s="2">
        <v>2025</v>
      </c>
      <c r="B983" s="2">
        <v>5</v>
      </c>
      <c r="D983" s="2" t="s">
        <v>1358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x14ac:dyDescent="0.2">
      <c r="A984" s="2">
        <v>2025</v>
      </c>
      <c r="B984" s="2">
        <v>5</v>
      </c>
      <c r="D984" s="2" t="s">
        <v>988</v>
      </c>
      <c r="Q984" s="2" t="s">
        <v>989</v>
      </c>
      <c r="R984" s="2" t="s">
        <v>990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1359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1360</v>
      </c>
      <c r="L985" s="2" t="s">
        <v>419</v>
      </c>
      <c r="P985" s="2" t="s">
        <v>283</v>
      </c>
      <c r="Q985" s="2" t="s">
        <v>1238</v>
      </c>
      <c r="R985" s="2" t="s">
        <v>1239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1581</v>
      </c>
      <c r="AB985" s="2" t="s">
        <v>389</v>
      </c>
      <c r="AC985" s="2" t="s">
        <v>1331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x14ac:dyDescent="0.2">
      <c r="A986" s="2">
        <v>2025</v>
      </c>
      <c r="B986" s="2">
        <v>5</v>
      </c>
      <c r="D986" s="2" t="s">
        <v>1359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1360</v>
      </c>
      <c r="L986" s="2" t="s">
        <v>419</v>
      </c>
      <c r="P986" s="2" t="s">
        <v>283</v>
      </c>
      <c r="Q986" s="2" t="s">
        <v>1157</v>
      </c>
      <c r="R986" s="2" t="s">
        <v>1158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1581</v>
      </c>
      <c r="AB986" s="2" t="s">
        <v>389</v>
      </c>
      <c r="AC986" s="2" t="s">
        <v>1331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x14ac:dyDescent="0.2">
      <c r="A987" s="2">
        <v>2025</v>
      </c>
      <c r="B987" s="2">
        <v>5</v>
      </c>
      <c r="D987" s="2" t="s">
        <v>1359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1360</v>
      </c>
      <c r="L987" s="2" t="s">
        <v>419</v>
      </c>
      <c r="P987" s="2" t="s">
        <v>283</v>
      </c>
      <c r="Q987" s="2" t="s">
        <v>1159</v>
      </c>
      <c r="R987" s="2" t="s">
        <v>1160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1581</v>
      </c>
      <c r="AB987" s="2" t="s">
        <v>389</v>
      </c>
      <c r="AC987" s="2" t="s">
        <v>1331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1154</v>
      </c>
      <c r="R988" s="2" t="s">
        <v>1155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1361</v>
      </c>
      <c r="P989" s="2" t="s">
        <v>1362</v>
      </c>
      <c r="Q989" s="2" t="s">
        <v>1363</v>
      </c>
      <c r="R989" s="2" t="s">
        <v>1364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3237</v>
      </c>
      <c r="AA989" s="2" t="s">
        <v>76</v>
      </c>
      <c r="AB989" s="2" t="s">
        <v>77</v>
      </c>
      <c r="AC989" s="2" t="s">
        <v>1362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1365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1365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1365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x14ac:dyDescent="0.2">
      <c r="A993" s="2">
        <v>2025</v>
      </c>
      <c r="B993" s="2">
        <v>5</v>
      </c>
      <c r="D993" s="2" t="s">
        <v>1009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3237</v>
      </c>
      <c r="AA993" s="2" t="s">
        <v>46</v>
      </c>
      <c r="AB993" s="2" t="s">
        <v>61</v>
      </c>
      <c r="AC993" s="2" t="s">
        <v>3343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1366</v>
      </c>
      <c r="P994" s="2" t="s">
        <v>43</v>
      </c>
      <c r="Q994" s="2" t="s">
        <v>1367</v>
      </c>
      <c r="R994" s="2" t="s">
        <v>1368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5"/>
        <v>0.57608695652173914</v>
      </c>
      <c r="Z994" s="2" t="s">
        <v>3237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26.5</v>
      </c>
      <c r="AL994" s="5">
        <f t="shared" si="124"/>
        <v>0.57608695652173914</v>
      </c>
    </row>
    <row r="995" spans="1:38" x14ac:dyDescent="0.2">
      <c r="A995" s="2">
        <v>2025</v>
      </c>
      <c r="B995" s="2">
        <v>5</v>
      </c>
      <c r="D995" s="2" t="s">
        <v>1366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3237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1366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3237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1369</v>
      </c>
      <c r="P997" s="2" t="s">
        <v>85</v>
      </c>
      <c r="Q997" s="2" t="s">
        <v>1370</v>
      </c>
      <c r="R997" s="2" t="s">
        <v>1371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3237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1369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1372</v>
      </c>
      <c r="P999" s="2" t="s">
        <v>115</v>
      </c>
      <c r="Q999" s="2" t="s">
        <v>1154</v>
      </c>
      <c r="R999" s="2" t="s">
        <v>1155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x14ac:dyDescent="0.2">
      <c r="A1000" s="2">
        <v>2025</v>
      </c>
      <c r="B1000" s="2">
        <v>5</v>
      </c>
      <c r="D1000" s="2" t="s">
        <v>1373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3237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x14ac:dyDescent="0.2">
      <c r="A1001" s="2">
        <v>2025</v>
      </c>
      <c r="B1001" s="2">
        <v>5</v>
      </c>
      <c r="D1001" s="2" t="s">
        <v>1373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3237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x14ac:dyDescent="0.2">
      <c r="A1002" s="2">
        <v>2025</v>
      </c>
      <c r="B1002" s="2">
        <v>5</v>
      </c>
      <c r="D1002" s="2" t="s">
        <v>1011</v>
      </c>
      <c r="P1002" s="2" t="s">
        <v>283</v>
      </c>
      <c r="Q1002" s="2" t="s">
        <v>1374</v>
      </c>
      <c r="R1002" s="2" t="s">
        <v>1375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3237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3237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3237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3309</v>
      </c>
      <c r="D1005" s="2" t="s">
        <v>1376</v>
      </c>
      <c r="E1005" s="2" t="s">
        <v>38</v>
      </c>
      <c r="F1005" s="2" t="s">
        <v>39</v>
      </c>
      <c r="I1005" s="2" t="s">
        <v>3310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3237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x14ac:dyDescent="0.2">
      <c r="A1006" s="2">
        <v>2025</v>
      </c>
      <c r="B1006" s="2">
        <v>5</v>
      </c>
      <c r="C1006" s="2" t="s">
        <v>3309</v>
      </c>
      <c r="D1006" s="2" t="s">
        <v>1376</v>
      </c>
      <c r="E1006" s="2" t="s">
        <v>38</v>
      </c>
      <c r="F1006" s="2" t="s">
        <v>39</v>
      </c>
      <c r="I1006" s="2" t="s">
        <v>3310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3308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3237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3237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x14ac:dyDescent="0.2">
      <c r="A1009" s="2">
        <v>2025</v>
      </c>
      <c r="B1009" s="2">
        <v>5</v>
      </c>
      <c r="D1009" s="2" t="s">
        <v>1377</v>
      </c>
      <c r="P1009" s="2" t="s">
        <v>115</v>
      </c>
      <c r="Q1009" s="2" t="s">
        <v>1378</v>
      </c>
      <c r="R1009" s="2" t="s">
        <v>1379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x14ac:dyDescent="0.2">
      <c r="A1010" s="2">
        <v>2025</v>
      </c>
      <c r="B1010" s="2">
        <v>5</v>
      </c>
      <c r="D1010" s="2" t="s">
        <v>1377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x14ac:dyDescent="0.2">
      <c r="A1011" s="2">
        <v>2025</v>
      </c>
      <c r="B1011" s="2">
        <v>5</v>
      </c>
      <c r="D1011" s="2" t="s">
        <v>1377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x14ac:dyDescent="0.2">
      <c r="A1012" s="2">
        <v>2025</v>
      </c>
      <c r="B1012" s="2">
        <v>5</v>
      </c>
      <c r="D1012" s="2" t="s">
        <v>1380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3237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x14ac:dyDescent="0.2">
      <c r="A1013" s="2">
        <v>2025</v>
      </c>
      <c r="B1013" s="2">
        <v>5</v>
      </c>
      <c r="D1013" s="2" t="s">
        <v>1380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3237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x14ac:dyDescent="0.2">
      <c r="A1014" s="2">
        <v>2025</v>
      </c>
      <c r="B1014" s="2">
        <v>5</v>
      </c>
      <c r="D1014" s="2" t="s">
        <v>1381</v>
      </c>
      <c r="P1014" s="2" t="s">
        <v>73</v>
      </c>
      <c r="Q1014" s="2" t="s">
        <v>1078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3237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x14ac:dyDescent="0.2">
      <c r="A1015" s="2">
        <v>2025</v>
      </c>
      <c r="B1015" s="2">
        <v>5</v>
      </c>
      <c r="D1015" s="2" t="s">
        <v>1381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3237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x14ac:dyDescent="0.2">
      <c r="A1016" s="2">
        <v>2025</v>
      </c>
      <c r="B1016" s="2">
        <v>5</v>
      </c>
      <c r="D1016" s="2" t="s">
        <v>1245</v>
      </c>
      <c r="P1016" s="2" t="s">
        <v>1382</v>
      </c>
      <c r="Q1016" s="2" t="s">
        <v>1383</v>
      </c>
      <c r="R1016" s="2" t="s">
        <v>1384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3237</v>
      </c>
      <c r="AA1016" s="2" t="s">
        <v>1044</v>
      </c>
      <c r="AB1016" s="2" t="s">
        <v>1322</v>
      </c>
      <c r="AC1016" s="2" t="s">
        <v>1382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1385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5"/>
        <v>0.45495495495495497</v>
      </c>
      <c r="Z1017" s="2" t="s">
        <v>3237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10.1</v>
      </c>
      <c r="AL1017" s="5">
        <f t="shared" si="124"/>
        <v>0.45495495495495497</v>
      </c>
    </row>
    <row r="1018" spans="1:38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1385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3237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1385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3237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1024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6">(T1020-W1020)/T1020</f>
        <v>0.43981481481481483</v>
      </c>
      <c r="Z1020" s="2" t="s">
        <v>3237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7.125</v>
      </c>
      <c r="AL1020" s="5">
        <f t="shared" si="124"/>
        <v>0.43981481481481483</v>
      </c>
    </row>
    <row r="1021" spans="1:38" x14ac:dyDescent="0.2">
      <c r="A1021" s="2">
        <v>2025</v>
      </c>
      <c r="B1021" s="2">
        <v>5</v>
      </c>
      <c r="D1021" s="2" t="s">
        <v>1024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3237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1024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3237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1386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3237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3237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3186</v>
      </c>
      <c r="K1025" s="2">
        <v>911577458</v>
      </c>
      <c r="L1025" s="2" t="s">
        <v>178</v>
      </c>
      <c r="M1025" s="2" t="s">
        <v>41</v>
      </c>
      <c r="O1025" s="2" t="s">
        <v>3188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3237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3186</v>
      </c>
      <c r="K1026" s="2">
        <v>911577458</v>
      </c>
      <c r="L1026" s="2" t="s">
        <v>178</v>
      </c>
      <c r="M1026" s="2" t="s">
        <v>41</v>
      </c>
      <c r="O1026" s="2" t="s">
        <v>3188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3237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3186</v>
      </c>
      <c r="K1027" s="2">
        <v>911577458</v>
      </c>
      <c r="L1027" s="2" t="s">
        <v>178</v>
      </c>
      <c r="M1027" s="2" t="s">
        <v>41</v>
      </c>
      <c r="O1027" s="2" t="s">
        <v>3188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3237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x14ac:dyDescent="0.2">
      <c r="A1029" s="2">
        <v>2025</v>
      </c>
      <c r="B1029" s="2">
        <v>5</v>
      </c>
      <c r="C1029" s="2" t="s">
        <v>3336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3191</v>
      </c>
      <c r="L1029" s="2" t="s">
        <v>134</v>
      </c>
      <c r="M1029" s="2" t="s">
        <v>40</v>
      </c>
      <c r="O1029" s="2" t="s">
        <v>3193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3191</v>
      </c>
      <c r="L1030" s="2" t="s">
        <v>134</v>
      </c>
      <c r="M1030" s="2" t="s">
        <v>40</v>
      </c>
      <c r="O1030" s="2" t="s">
        <v>3193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3191</v>
      </c>
      <c r="L1031" s="2" t="s">
        <v>134</v>
      </c>
      <c r="M1031" s="2" t="s">
        <v>40</v>
      </c>
      <c r="O1031" s="2" t="s">
        <v>3193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1387</v>
      </c>
      <c r="R1032" s="2" t="s">
        <v>1388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1389</v>
      </c>
      <c r="R1033" s="2" t="s">
        <v>1083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1390</v>
      </c>
      <c r="R1034" s="2" t="s">
        <v>1391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x14ac:dyDescent="0.2">
      <c r="A1037" s="2">
        <v>2025</v>
      </c>
      <c r="B1037" s="2">
        <v>5</v>
      </c>
      <c r="D1037" s="2" t="s">
        <v>1392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1393</v>
      </c>
      <c r="P1038" s="2" t="s">
        <v>73</v>
      </c>
      <c r="Q1038" s="2" t="s">
        <v>1394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3237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1393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3237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6"/>
        <v>0.43981481481481483</v>
      </c>
      <c r="Z1040" s="2" t="s">
        <v>3237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7.125</v>
      </c>
      <c r="AL1040" s="5">
        <f t="shared" si="124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3237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3237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3237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x14ac:dyDescent="0.2">
      <c r="A1044" s="2">
        <v>2025</v>
      </c>
      <c r="B1044" s="2">
        <v>5</v>
      </c>
      <c r="D1044" s="2" t="s">
        <v>1251</v>
      </c>
      <c r="P1044" s="2" t="s">
        <v>73</v>
      </c>
      <c r="Q1044" s="2" t="s">
        <v>1394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3237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x14ac:dyDescent="0.2">
      <c r="A1045" s="2">
        <v>2025</v>
      </c>
      <c r="B1045" s="2">
        <v>5</v>
      </c>
      <c r="D1045" s="2" t="s">
        <v>1251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3237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3326</v>
      </c>
      <c r="D1046" s="2" t="s">
        <v>3325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958</v>
      </c>
      <c r="R1046" s="2" t="s">
        <v>959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960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3309</v>
      </c>
      <c r="D1047" s="2" t="s">
        <v>3324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3237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3309</v>
      </c>
      <c r="D1048" s="2" t="s">
        <v>3324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1395</v>
      </c>
      <c r="R1048" s="2" t="s">
        <v>1396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3237</v>
      </c>
      <c r="AA1048" s="2" t="s">
        <v>72</v>
      </c>
      <c r="AB1048" s="2" t="s">
        <v>1607</v>
      </c>
      <c r="AC1048" s="2" t="s">
        <v>1607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3309</v>
      </c>
      <c r="D1049" s="2" t="s">
        <v>3324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1397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6"/>
        <v>0.60781250000000009</v>
      </c>
      <c r="Z1050" s="2" t="s">
        <v>3237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17.505000000000003</v>
      </c>
      <c r="AL1050" s="5">
        <f t="shared" si="130"/>
        <v>0.60781250000000009</v>
      </c>
    </row>
    <row r="1051" spans="1:38" x14ac:dyDescent="0.2">
      <c r="A1051" s="2">
        <v>2025</v>
      </c>
      <c r="B1051" s="2">
        <v>5</v>
      </c>
      <c r="D1051" s="2" t="s">
        <v>1259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3237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x14ac:dyDescent="0.2">
      <c r="A1052" s="2">
        <v>2025</v>
      </c>
      <c r="B1052" s="2">
        <v>5</v>
      </c>
      <c r="D1052" s="2" t="s">
        <v>1259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3237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x14ac:dyDescent="0.2">
      <c r="A1054" s="2">
        <v>2025</v>
      </c>
      <c r="B1054" s="2">
        <v>5</v>
      </c>
      <c r="C1054" s="2" t="s">
        <v>3326</v>
      </c>
      <c r="D1054" s="2" t="s">
        <v>1398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1399</v>
      </c>
      <c r="R1054" s="2" t="s">
        <v>1400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3242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x14ac:dyDescent="0.2">
      <c r="A1055" s="2">
        <v>2025</v>
      </c>
      <c r="B1055" s="2">
        <v>5</v>
      </c>
      <c r="D1055" s="2" t="s">
        <v>1401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3227</v>
      </c>
      <c r="J1055" s="2" t="s">
        <v>3226</v>
      </c>
      <c r="K1055" s="2">
        <v>913814877</v>
      </c>
      <c r="L1055" s="2" t="s">
        <v>202</v>
      </c>
      <c r="M1055" s="2" t="s">
        <v>81</v>
      </c>
      <c r="O1055" s="2" t="s">
        <v>3218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3237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1401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3227</v>
      </c>
      <c r="J1056" s="2" t="s">
        <v>3226</v>
      </c>
      <c r="K1056" s="2">
        <v>913814877</v>
      </c>
      <c r="L1056" s="2" t="s">
        <v>202</v>
      </c>
      <c r="M1056" s="2" t="s">
        <v>81</v>
      </c>
      <c r="O1056" s="2" t="s">
        <v>3218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3237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x14ac:dyDescent="0.2">
      <c r="A1057" s="2">
        <v>2025</v>
      </c>
      <c r="B1057" s="2">
        <v>5</v>
      </c>
      <c r="D1057" s="2" t="s">
        <v>1401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3227</v>
      </c>
      <c r="J1057" s="2" t="s">
        <v>3226</v>
      </c>
      <c r="K1057" s="2">
        <v>913814877</v>
      </c>
      <c r="L1057" s="2" t="s">
        <v>202</v>
      </c>
      <c r="M1057" s="2" t="s">
        <v>40</v>
      </c>
      <c r="O1057" s="2" t="s">
        <v>3219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x14ac:dyDescent="0.2">
      <c r="A1058" s="2">
        <v>2025</v>
      </c>
      <c r="B1058" s="2">
        <v>5</v>
      </c>
      <c r="D1058" s="2" t="s">
        <v>1401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3227</v>
      </c>
      <c r="J1058" s="2" t="s">
        <v>3226</v>
      </c>
      <c r="K1058" s="2">
        <v>913814877</v>
      </c>
      <c r="L1058" s="2" t="s">
        <v>202</v>
      </c>
      <c r="M1058" s="2" t="s">
        <v>40</v>
      </c>
      <c r="O1058" s="2" t="s">
        <v>3219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1401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3227</v>
      </c>
      <c r="J1059" s="2" t="s">
        <v>3226</v>
      </c>
      <c r="K1059" s="2">
        <v>913814877</v>
      </c>
      <c r="L1059" s="2" t="s">
        <v>202</v>
      </c>
      <c r="M1059" s="2" t="s">
        <v>40</v>
      </c>
      <c r="O1059" s="2" t="s">
        <v>3219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3392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x14ac:dyDescent="0.2">
      <c r="A1060" s="2">
        <v>2025</v>
      </c>
      <c r="B1060" s="2">
        <v>5</v>
      </c>
      <c r="D1060" s="2" t="s">
        <v>1402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3237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x14ac:dyDescent="0.2">
      <c r="A1061" s="2">
        <v>2025</v>
      </c>
      <c r="B1061" s="2">
        <v>5</v>
      </c>
      <c r="D1061" s="2" t="s">
        <v>1402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3237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x14ac:dyDescent="0.2">
      <c r="A1062" s="2">
        <v>2025</v>
      </c>
      <c r="B1062" s="2">
        <v>5</v>
      </c>
      <c r="D1062" s="2" t="s">
        <v>1403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1404</v>
      </c>
      <c r="J1062" s="2" t="s">
        <v>1405</v>
      </c>
      <c r="L1062" s="2" t="s">
        <v>178</v>
      </c>
      <c r="M1062" s="2" t="s">
        <v>40</v>
      </c>
      <c r="O1062" s="2" t="s">
        <v>1406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x14ac:dyDescent="0.2">
      <c r="A1063" s="2">
        <v>2025</v>
      </c>
      <c r="B1063" s="2">
        <v>5</v>
      </c>
      <c r="D1063" s="2" t="s">
        <v>1403</v>
      </c>
      <c r="P1063" s="2" t="s">
        <v>115</v>
      </c>
      <c r="Q1063" s="2" t="s">
        <v>1407</v>
      </c>
      <c r="R1063" s="2" t="s">
        <v>1408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x14ac:dyDescent="0.2">
      <c r="A1064" s="2">
        <v>2025</v>
      </c>
      <c r="B1064" s="2">
        <v>5</v>
      </c>
      <c r="D1064" s="2" t="s">
        <v>1403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x14ac:dyDescent="0.2">
      <c r="A1065" s="2">
        <v>2025</v>
      </c>
      <c r="B1065" s="2">
        <v>5</v>
      </c>
      <c r="D1065" s="2" t="s">
        <v>1403</v>
      </c>
      <c r="P1065" s="2" t="s">
        <v>115</v>
      </c>
      <c r="Q1065" s="2" t="s">
        <v>1409</v>
      </c>
      <c r="R1065" s="2" t="s">
        <v>1410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x14ac:dyDescent="0.2">
      <c r="A1066" s="2">
        <v>2025</v>
      </c>
      <c r="B1066" s="2">
        <v>5</v>
      </c>
      <c r="D1066" s="2" t="s">
        <v>1403</v>
      </c>
      <c r="P1066" s="2" t="s">
        <v>115</v>
      </c>
      <c r="Q1066" s="2" t="s">
        <v>1411</v>
      </c>
      <c r="R1066" s="2" t="s">
        <v>1412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x14ac:dyDescent="0.2">
      <c r="A1067" s="2">
        <v>2025</v>
      </c>
      <c r="B1067" s="2">
        <v>5</v>
      </c>
      <c r="D1067" s="2" t="s">
        <v>1403</v>
      </c>
      <c r="P1067" s="2" t="s">
        <v>115</v>
      </c>
      <c r="Q1067" s="2" t="s">
        <v>1413</v>
      </c>
      <c r="R1067" s="2" t="s">
        <v>1414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x14ac:dyDescent="0.2">
      <c r="A1068" s="2">
        <v>2025</v>
      </c>
      <c r="B1068" s="2">
        <v>5</v>
      </c>
      <c r="D1068" s="2" t="s">
        <v>1403</v>
      </c>
      <c r="P1068" s="2" t="s">
        <v>115</v>
      </c>
      <c r="Q1068" s="2" t="s">
        <v>981</v>
      </c>
      <c r="R1068" s="2" t="s">
        <v>982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x14ac:dyDescent="0.2">
      <c r="A1069" s="2">
        <v>2025</v>
      </c>
      <c r="B1069" s="2">
        <v>5</v>
      </c>
      <c r="D1069" s="2" t="s">
        <v>1403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x14ac:dyDescent="0.2">
      <c r="A1070" s="2">
        <v>2025</v>
      </c>
      <c r="B1070" s="2">
        <v>5</v>
      </c>
      <c r="D1070" s="2" t="s">
        <v>1403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x14ac:dyDescent="0.2">
      <c r="A1071" s="2">
        <v>2025</v>
      </c>
      <c r="B1071" s="2">
        <v>5</v>
      </c>
      <c r="D1071" s="2" t="s">
        <v>1056</v>
      </c>
      <c r="E1071" s="2" t="s">
        <v>184</v>
      </c>
      <c r="F1071" s="2" t="s">
        <v>1057</v>
      </c>
      <c r="G1071" s="2">
        <v>500199523</v>
      </c>
      <c r="H1071" s="2" t="s">
        <v>291</v>
      </c>
      <c r="I1071" s="2" t="s">
        <v>294</v>
      </c>
      <c r="J1071" s="2" t="s">
        <v>1058</v>
      </c>
      <c r="L1071" s="2" t="s">
        <v>294</v>
      </c>
      <c r="M1071" s="2" t="s">
        <v>81</v>
      </c>
      <c r="O1071" s="2" t="s">
        <v>1415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3237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x14ac:dyDescent="0.2">
      <c r="A1072" s="2">
        <v>2025</v>
      </c>
      <c r="B1072" s="2">
        <v>5</v>
      </c>
      <c r="D1072" s="2" t="s">
        <v>1056</v>
      </c>
      <c r="E1072" s="2" t="s">
        <v>184</v>
      </c>
      <c r="F1072" s="2" t="s">
        <v>1057</v>
      </c>
      <c r="G1072" s="2">
        <v>500199523</v>
      </c>
      <c r="H1072" s="2" t="s">
        <v>291</v>
      </c>
      <c r="I1072" s="2" t="s">
        <v>294</v>
      </c>
      <c r="J1072" s="2" t="s">
        <v>1058</v>
      </c>
      <c r="L1072" s="2" t="s">
        <v>294</v>
      </c>
      <c r="M1072" s="2" t="s">
        <v>81</v>
      </c>
      <c r="O1072" s="2" t="s">
        <v>1415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3237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1374</v>
      </c>
      <c r="R1073" s="2" t="s">
        <v>1375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3237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3237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x14ac:dyDescent="0.2">
      <c r="A1075" s="2">
        <v>2025</v>
      </c>
      <c r="B1075" s="2">
        <v>5</v>
      </c>
      <c r="D1075" s="2" t="s">
        <v>1416</v>
      </c>
      <c r="P1075" s="2" t="s">
        <v>115</v>
      </c>
      <c r="Q1075" s="2" t="s">
        <v>1417</v>
      </c>
      <c r="R1075" s="2" t="s">
        <v>1418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1419</v>
      </c>
      <c r="R1076" s="2" t="s">
        <v>1420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3237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3203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3237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3237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1421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3237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1421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3237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x14ac:dyDescent="0.2">
      <c r="A1083" s="2">
        <v>2025</v>
      </c>
      <c r="B1083" s="2">
        <v>5</v>
      </c>
      <c r="D1083" s="2" t="s">
        <v>1422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2419</v>
      </c>
      <c r="J1083" s="2" t="s">
        <v>2420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3237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x14ac:dyDescent="0.2">
      <c r="A1084" s="2">
        <v>2025</v>
      </c>
      <c r="B1084" s="2">
        <v>5</v>
      </c>
      <c r="D1084" s="2" t="s">
        <v>1422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2419</v>
      </c>
      <c r="J1084" s="2" t="s">
        <v>2420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3237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x14ac:dyDescent="0.2">
      <c r="A1085" s="2">
        <v>2025</v>
      </c>
      <c r="B1085" s="2">
        <v>5</v>
      </c>
      <c r="D1085" s="2" t="s">
        <v>1423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3237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x14ac:dyDescent="0.2">
      <c r="A1086" s="2">
        <v>2025</v>
      </c>
      <c r="B1086" s="2">
        <v>5</v>
      </c>
      <c r="D1086" s="2" t="s">
        <v>1423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3237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1424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3237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1424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3237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x14ac:dyDescent="0.2">
      <c r="A1089" s="2">
        <v>2025</v>
      </c>
      <c r="B1089" s="2">
        <v>5</v>
      </c>
      <c r="D1089" s="2" t="s">
        <v>1425</v>
      </c>
      <c r="P1089" s="2" t="s">
        <v>115</v>
      </c>
      <c r="Q1089" s="2" t="s">
        <v>1426</v>
      </c>
      <c r="R1089" s="2" t="s">
        <v>1427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x14ac:dyDescent="0.2">
      <c r="A1090" s="2">
        <v>2025</v>
      </c>
      <c r="B1090" s="2">
        <v>5</v>
      </c>
      <c r="D1090" s="2" t="s">
        <v>1425</v>
      </c>
      <c r="P1090" s="2" t="s">
        <v>115</v>
      </c>
      <c r="Q1090" s="2" t="s">
        <v>1428</v>
      </c>
      <c r="R1090" s="2" t="s">
        <v>1429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x14ac:dyDescent="0.2">
      <c r="A1091" s="2">
        <v>2025</v>
      </c>
      <c r="B1091" s="2">
        <v>5</v>
      </c>
      <c r="D1091" s="2" t="s">
        <v>1425</v>
      </c>
      <c r="P1091" s="2" t="s">
        <v>115</v>
      </c>
      <c r="Q1091" s="2" t="s">
        <v>1430</v>
      </c>
      <c r="R1091" s="2" t="s">
        <v>1431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x14ac:dyDescent="0.2">
      <c r="A1092" s="2">
        <v>2025</v>
      </c>
      <c r="B1092" s="2">
        <v>5</v>
      </c>
      <c r="D1092" s="2" t="s">
        <v>1425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x14ac:dyDescent="0.2">
      <c r="A1093" s="2">
        <v>2025</v>
      </c>
      <c r="B1093" s="2">
        <v>5</v>
      </c>
      <c r="D1093" s="2" t="s">
        <v>1425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x14ac:dyDescent="0.2">
      <c r="A1094" s="2">
        <v>2025</v>
      </c>
      <c r="B1094" s="2">
        <v>5</v>
      </c>
      <c r="D1094" s="2" t="s">
        <v>1425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1432</v>
      </c>
      <c r="R1095" s="2" t="s">
        <v>1433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3237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3237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x14ac:dyDescent="0.2">
      <c r="A1098" s="2">
        <v>2025</v>
      </c>
      <c r="B1098" s="2">
        <v>5</v>
      </c>
      <c r="D1098" s="2" t="s">
        <v>1434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x14ac:dyDescent="0.2">
      <c r="A1099" s="2">
        <v>2025</v>
      </c>
      <c r="B1099" s="2">
        <v>5</v>
      </c>
      <c r="D1099" s="2" t="s">
        <v>1434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3237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3237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3237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1435</v>
      </c>
      <c r="R1103" s="2" t="s">
        <v>1436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3237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3237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1437</v>
      </c>
      <c r="R1106" s="2" t="s">
        <v>1438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x14ac:dyDescent="0.2">
      <c r="A1109" s="2">
        <v>2025</v>
      </c>
      <c r="B1109" s="2">
        <v>5</v>
      </c>
      <c r="D1109" s="2" t="s">
        <v>1299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1300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3237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x14ac:dyDescent="0.2">
      <c r="A1110" s="2">
        <v>2025</v>
      </c>
      <c r="B1110" s="2">
        <v>5</v>
      </c>
      <c r="D1110" s="2" t="s">
        <v>1299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1300</v>
      </c>
      <c r="L1110" s="2" t="s">
        <v>340</v>
      </c>
      <c r="M1110" s="2" t="s">
        <v>81</v>
      </c>
      <c r="O1110" s="2" t="s">
        <v>3210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3237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x14ac:dyDescent="0.2">
      <c r="A1111" s="2">
        <v>2025</v>
      </c>
      <c r="B1111" s="2">
        <v>5</v>
      </c>
      <c r="D1111" s="2" t="s">
        <v>1299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1300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3237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x14ac:dyDescent="0.2">
      <c r="A1112" s="2">
        <v>2025</v>
      </c>
      <c r="B1112" s="2">
        <v>5</v>
      </c>
      <c r="D1112" s="2" t="s">
        <v>1439</v>
      </c>
      <c r="P1112" s="2" t="s">
        <v>283</v>
      </c>
      <c r="Q1112" s="2" t="s">
        <v>1440</v>
      </c>
      <c r="R1112" s="2" t="s">
        <v>1441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3237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3237</v>
      </c>
      <c r="AA1113" s="2" t="s">
        <v>46</v>
      </c>
      <c r="AB1113" s="2" t="s">
        <v>61</v>
      </c>
      <c r="AC1113" s="2" t="s">
        <v>3343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3237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3237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x14ac:dyDescent="0.2">
      <c r="A1117" s="2">
        <v>2025</v>
      </c>
      <c r="B1117" s="2">
        <v>5</v>
      </c>
      <c r="D1117" s="2" t="s">
        <v>1122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x14ac:dyDescent="0.2">
      <c r="A1118" s="2">
        <v>2025</v>
      </c>
      <c r="B1118" s="2">
        <v>5</v>
      </c>
      <c r="D1118" s="2" t="s">
        <v>1442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3392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1440</v>
      </c>
      <c r="R1119" s="2" t="s">
        <v>1441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3237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x14ac:dyDescent="0.2">
      <c r="A1121" s="2">
        <v>2025</v>
      </c>
      <c r="B1121" s="2">
        <v>4</v>
      </c>
      <c r="D1121" s="2" t="s">
        <v>1123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3256</v>
      </c>
      <c r="J1121" s="2" t="s">
        <v>3257</v>
      </c>
      <c r="K1121" s="2">
        <v>96179412</v>
      </c>
      <c r="L1121" s="2" t="s">
        <v>462</v>
      </c>
      <c r="M1121" s="2" t="s">
        <v>40</v>
      </c>
      <c r="O1121" s="2" t="s">
        <v>3260</v>
      </c>
      <c r="P1121" s="2" t="s">
        <v>40</v>
      </c>
      <c r="Q1121" s="2" t="s">
        <v>1312</v>
      </c>
      <c r="R1121" s="2" t="s">
        <v>3261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x14ac:dyDescent="0.2">
      <c r="A1122" s="2">
        <v>2025</v>
      </c>
      <c r="B1122" s="2">
        <v>4</v>
      </c>
      <c r="D1122" s="2" t="s">
        <v>1123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3256</v>
      </c>
      <c r="J1122" s="2" t="s">
        <v>3257</v>
      </c>
      <c r="K1122" s="2">
        <v>96179412</v>
      </c>
      <c r="L1122" s="2" t="s">
        <v>462</v>
      </c>
      <c r="M1122" s="2" t="s">
        <v>40</v>
      </c>
      <c r="O1122" s="2" t="s">
        <v>3260</v>
      </c>
      <c r="P1122" s="2" t="s">
        <v>40</v>
      </c>
      <c r="Q1122" s="2" t="s">
        <v>1312</v>
      </c>
      <c r="R1122" s="2" t="s">
        <v>3262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x14ac:dyDescent="0.2">
      <c r="A1123" s="2">
        <v>2025</v>
      </c>
      <c r="B1123" s="2">
        <v>5</v>
      </c>
      <c r="D1123" s="2" t="s">
        <v>1123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3256</v>
      </c>
      <c r="J1123" s="2" t="s">
        <v>3257</v>
      </c>
      <c r="K1123" s="2">
        <v>96179412</v>
      </c>
      <c r="L1123" s="2" t="s">
        <v>462</v>
      </c>
      <c r="M1123" s="2" t="s">
        <v>40</v>
      </c>
      <c r="O1123" s="2" t="s">
        <v>3263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3237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3237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x14ac:dyDescent="0.2">
      <c r="A1126" s="2">
        <v>2025</v>
      </c>
      <c r="B1126" s="2">
        <v>5</v>
      </c>
      <c r="D1126" s="2" t="s">
        <v>1443</v>
      </c>
      <c r="P1126" s="2" t="s">
        <v>115</v>
      </c>
      <c r="Q1126" s="2" t="s">
        <v>1444</v>
      </c>
      <c r="R1126" s="2" t="s">
        <v>1445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x14ac:dyDescent="0.2">
      <c r="A1127" s="2">
        <v>2025</v>
      </c>
      <c r="B1127" s="2">
        <v>5</v>
      </c>
      <c r="D1127" s="2" t="s">
        <v>1443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3392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x14ac:dyDescent="0.2">
      <c r="A1128" s="2">
        <v>2025</v>
      </c>
      <c r="B1128" s="2">
        <v>5</v>
      </c>
      <c r="D1128" s="2" t="s">
        <v>1127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2302</v>
      </c>
      <c r="J1128" s="2" t="s">
        <v>2303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x14ac:dyDescent="0.2">
      <c r="A1129" s="2">
        <v>2025</v>
      </c>
      <c r="B1129" s="2">
        <v>5</v>
      </c>
      <c r="D1129" s="2" t="s">
        <v>1127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2302</v>
      </c>
      <c r="J1129" s="2" t="s">
        <v>2303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x14ac:dyDescent="0.2">
      <c r="A1130" s="2">
        <v>2025</v>
      </c>
      <c r="B1130" s="2">
        <v>5</v>
      </c>
      <c r="D1130" s="2" t="s">
        <v>1127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2302</v>
      </c>
      <c r="J1130" s="2" t="s">
        <v>2303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x14ac:dyDescent="0.2">
      <c r="A1131" s="2">
        <v>2025</v>
      </c>
      <c r="B1131" s="2">
        <v>5</v>
      </c>
      <c r="D1131" s="2" t="s">
        <v>1127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2302</v>
      </c>
      <c r="J1131" s="2" t="s">
        <v>2303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1316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1317</v>
      </c>
      <c r="L1132" s="2" t="s">
        <v>178</v>
      </c>
      <c r="M1132" s="2" t="s">
        <v>41</v>
      </c>
      <c r="O1132" s="2" t="s">
        <v>1446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3237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1316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1317</v>
      </c>
      <c r="L1133" s="2" t="s">
        <v>178</v>
      </c>
      <c r="M1133" s="2" t="s">
        <v>41</v>
      </c>
      <c r="O1133" s="2" t="s">
        <v>1446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3237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x14ac:dyDescent="0.2">
      <c r="A1134" s="2">
        <v>2025</v>
      </c>
      <c r="B1134" s="2">
        <v>5</v>
      </c>
      <c r="D1134" s="2" t="s">
        <v>1128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1129</v>
      </c>
      <c r="J1134" s="2" t="s">
        <v>1130</v>
      </c>
      <c r="L1134" s="2" t="s">
        <v>462</v>
      </c>
      <c r="M1134" s="2" t="s">
        <v>40</v>
      </c>
      <c r="O1134" s="2" t="s">
        <v>1447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3237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1440</v>
      </c>
      <c r="R1136" s="2" t="s">
        <v>1441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3237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1448</v>
      </c>
      <c r="R1137" s="2" t="s">
        <v>1449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3237</v>
      </c>
      <c r="AA1137" s="2" t="s">
        <v>72</v>
      </c>
      <c r="AB1137" s="2" t="s">
        <v>1607</v>
      </c>
      <c r="AC1137" s="2" t="s">
        <v>1607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1450</v>
      </c>
      <c r="R1138" s="2" t="s">
        <v>1451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3237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3237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3237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3237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3237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3237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3237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1452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3237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1453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3237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1214</v>
      </c>
      <c r="R1148" s="2" t="s">
        <v>1215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3237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3237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3237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3237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3392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x14ac:dyDescent="0.2">
      <c r="A1153" s="2">
        <v>2025</v>
      </c>
      <c r="B1153" s="2">
        <v>7</v>
      </c>
      <c r="D1153" s="2" t="s">
        <v>1454</v>
      </c>
      <c r="P1153" s="2" t="s">
        <v>115</v>
      </c>
      <c r="Q1153" s="2" t="s">
        <v>981</v>
      </c>
      <c r="R1153" s="2" t="s">
        <v>982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x14ac:dyDescent="0.2">
      <c r="A1154" s="2">
        <v>2025</v>
      </c>
      <c r="B1154" s="2">
        <v>7</v>
      </c>
      <c r="D1154" s="2" t="s">
        <v>1454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x14ac:dyDescent="0.2">
      <c r="A1155" s="2">
        <v>2025</v>
      </c>
      <c r="B1155" s="2">
        <v>7</v>
      </c>
      <c r="D1155" s="2" t="s">
        <v>1454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x14ac:dyDescent="0.2">
      <c r="A1156" s="2">
        <v>2025</v>
      </c>
      <c r="B1156" s="2">
        <v>7</v>
      </c>
      <c r="D1156" s="2" t="s">
        <v>1455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1456</v>
      </c>
      <c r="J1156" s="2" t="s">
        <v>1457</v>
      </c>
      <c r="K1156" s="2">
        <v>917563471</v>
      </c>
      <c r="L1156" s="2" t="s">
        <v>100</v>
      </c>
      <c r="M1156" s="2" t="s">
        <v>81</v>
      </c>
      <c r="O1156" s="2" t="s">
        <v>1458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3237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x14ac:dyDescent="0.2">
      <c r="A1157" s="2">
        <v>2025</v>
      </c>
      <c r="B1157" s="2">
        <v>7</v>
      </c>
      <c r="D1157" s="2" t="s">
        <v>1455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1456</v>
      </c>
      <c r="J1157" s="2" t="s">
        <v>1457</v>
      </c>
      <c r="K1157" s="2">
        <v>917563471</v>
      </c>
      <c r="L1157" s="2" t="s">
        <v>100</v>
      </c>
      <c r="M1157" s="2" t="s">
        <v>81</v>
      </c>
      <c r="O1157" s="2" t="s">
        <v>1458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3237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x14ac:dyDescent="0.2">
      <c r="A1158" s="2">
        <v>2025</v>
      </c>
      <c r="B1158" s="2">
        <v>7</v>
      </c>
      <c r="D1158" s="2" t="s">
        <v>1143</v>
      </c>
      <c r="E1158" s="2" t="s">
        <v>109</v>
      </c>
      <c r="G1158" s="2">
        <v>504576658</v>
      </c>
      <c r="H1158" s="2" t="s">
        <v>41</v>
      </c>
      <c r="I1158" s="2" t="s">
        <v>1144</v>
      </c>
      <c r="J1158" s="2" t="s">
        <v>1145</v>
      </c>
      <c r="L1158" s="2" t="s">
        <v>100</v>
      </c>
      <c r="M1158" s="2" t="s">
        <v>41</v>
      </c>
      <c r="O1158" s="2" t="s">
        <v>1459</v>
      </c>
      <c r="P1158" s="2" t="s">
        <v>73</v>
      </c>
      <c r="Q1158" s="2" t="s">
        <v>1078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3237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x14ac:dyDescent="0.2">
      <c r="A1159" s="2">
        <v>2025</v>
      </c>
      <c r="B1159" s="2">
        <v>7</v>
      </c>
      <c r="D1159" s="2" t="s">
        <v>1143</v>
      </c>
      <c r="E1159" s="2" t="s">
        <v>109</v>
      </c>
      <c r="G1159" s="2">
        <v>504576658</v>
      </c>
      <c r="H1159" s="2" t="s">
        <v>41</v>
      </c>
      <c r="I1159" s="2" t="s">
        <v>1144</v>
      </c>
      <c r="J1159" s="2" t="s">
        <v>1145</v>
      </c>
      <c r="L1159" s="2" t="s">
        <v>100</v>
      </c>
      <c r="M1159" s="2" t="s">
        <v>41</v>
      </c>
      <c r="O1159" s="2" t="s">
        <v>1459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3237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x14ac:dyDescent="0.2">
      <c r="A1160" s="2">
        <v>2025</v>
      </c>
      <c r="B1160" s="2">
        <v>7</v>
      </c>
      <c r="D1160" s="2" t="s">
        <v>1460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x14ac:dyDescent="0.2">
      <c r="A1161" s="2">
        <v>2025</v>
      </c>
      <c r="B1161" s="2">
        <v>7</v>
      </c>
      <c r="D1161" s="2" t="s">
        <v>1460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x14ac:dyDescent="0.2">
      <c r="A1162" s="2">
        <v>2025</v>
      </c>
      <c r="B1162" s="2">
        <v>7</v>
      </c>
      <c r="D1162" s="2" t="s">
        <v>1461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x14ac:dyDescent="0.2">
      <c r="A1163" s="2">
        <v>2025</v>
      </c>
      <c r="B1163" s="2">
        <v>7</v>
      </c>
      <c r="D1163" s="2" t="s">
        <v>1461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1462</v>
      </c>
      <c r="P1164" s="2" t="s">
        <v>43</v>
      </c>
      <c r="Q1164" s="2" t="s">
        <v>972</v>
      </c>
      <c r="R1164" s="2" t="s">
        <v>973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3237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1462</v>
      </c>
      <c r="P1165" s="2" t="s">
        <v>43</v>
      </c>
      <c r="Q1165" s="2" t="s">
        <v>974</v>
      </c>
      <c r="R1165" s="2" t="s">
        <v>975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3237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1463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1464</v>
      </c>
      <c r="J1166" s="2" t="s">
        <v>1465</v>
      </c>
      <c r="K1166" s="2">
        <v>925788716</v>
      </c>
      <c r="L1166" s="2" t="s">
        <v>1466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3237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1463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1464</v>
      </c>
      <c r="J1167" s="2" t="s">
        <v>1465</v>
      </c>
      <c r="K1167" s="2">
        <v>925788716</v>
      </c>
      <c r="L1167" s="2" t="s">
        <v>1466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3237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1463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1464</v>
      </c>
      <c r="J1168" s="2" t="s">
        <v>1465</v>
      </c>
      <c r="K1168" s="2">
        <v>925788716</v>
      </c>
      <c r="L1168" s="2" t="s">
        <v>1466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3237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1463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1464</v>
      </c>
      <c r="J1169" s="2" t="s">
        <v>1465</v>
      </c>
      <c r="K1169" s="2">
        <v>925788716</v>
      </c>
      <c r="L1169" s="2" t="s">
        <v>1466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3237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1463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1464</v>
      </c>
      <c r="J1170" s="2" t="s">
        <v>1465</v>
      </c>
      <c r="K1170" s="2">
        <v>925788716</v>
      </c>
      <c r="L1170" s="2" t="s">
        <v>1466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3237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x14ac:dyDescent="0.2">
      <c r="A1171" s="2">
        <v>2025</v>
      </c>
      <c r="B1171" s="2">
        <v>7</v>
      </c>
      <c r="D1171" s="2" t="s">
        <v>1463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1464</v>
      </c>
      <c r="J1171" s="2" t="s">
        <v>1465</v>
      </c>
      <c r="K1171" s="2">
        <v>925788716</v>
      </c>
      <c r="L1171" s="2" t="s">
        <v>1466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x14ac:dyDescent="0.2">
      <c r="A1172" s="2">
        <v>2025</v>
      </c>
      <c r="B1172" s="2">
        <v>7</v>
      </c>
      <c r="D1172" s="2" t="s">
        <v>1467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1468</v>
      </c>
      <c r="J1172" s="2" t="s">
        <v>1469</v>
      </c>
      <c r="K1172" s="2">
        <v>962823313</v>
      </c>
      <c r="L1172" s="2" t="s">
        <v>601</v>
      </c>
      <c r="M1172" s="2" t="s">
        <v>41</v>
      </c>
      <c r="O1172" s="2" t="s">
        <v>1470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3237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1467</v>
      </c>
      <c r="L1173" s="2" t="s">
        <v>601</v>
      </c>
      <c r="M1173" s="2" t="s">
        <v>41</v>
      </c>
      <c r="O1173" s="2" t="s">
        <v>1470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3237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1467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3237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1467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3237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x14ac:dyDescent="0.2">
      <c r="A1176" s="2">
        <v>2025</v>
      </c>
      <c r="B1176" s="2">
        <v>7</v>
      </c>
      <c r="D1176" s="2" t="s">
        <v>1467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3237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3237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3392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x14ac:dyDescent="0.2">
      <c r="A1181" s="2">
        <v>2025</v>
      </c>
      <c r="B1181" s="2">
        <v>7</v>
      </c>
      <c r="D1181" s="2" t="s">
        <v>1471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1472</v>
      </c>
      <c r="J1181" s="2" t="s">
        <v>1473</v>
      </c>
      <c r="L1181" s="2" t="s">
        <v>361</v>
      </c>
      <c r="M1181" s="2" t="s">
        <v>40</v>
      </c>
      <c r="O1181" s="2" t="s">
        <v>1474</v>
      </c>
      <c r="P1181" s="2" t="s">
        <v>115</v>
      </c>
      <c r="Q1181" s="2" t="s">
        <v>1475</v>
      </c>
      <c r="R1181" s="2" t="s">
        <v>1476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x14ac:dyDescent="0.2">
      <c r="A1182" s="2">
        <v>2025</v>
      </c>
      <c r="B1182" s="2">
        <v>7</v>
      </c>
      <c r="D1182" s="2" t="s">
        <v>1471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1472</v>
      </c>
      <c r="J1182" s="2" t="s">
        <v>1473</v>
      </c>
      <c r="L1182" s="2" t="s">
        <v>361</v>
      </c>
      <c r="M1182" s="2" t="s">
        <v>40</v>
      </c>
      <c r="O1182" s="2" t="s">
        <v>1474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x14ac:dyDescent="0.2">
      <c r="A1183" s="2">
        <v>2025</v>
      </c>
      <c r="B1183" s="2">
        <v>7</v>
      </c>
      <c r="D1183" s="2" t="s">
        <v>1471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1472</v>
      </c>
      <c r="J1183" s="2" t="s">
        <v>1473</v>
      </c>
      <c r="L1183" s="2" t="s">
        <v>361</v>
      </c>
      <c r="M1183" s="2" t="s">
        <v>40</v>
      </c>
      <c r="O1183" s="2" t="s">
        <v>1474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x14ac:dyDescent="0.2">
      <c r="A1184" s="2">
        <v>2025</v>
      </c>
      <c r="B1184" s="2">
        <v>7</v>
      </c>
      <c r="D1184" s="2" t="s">
        <v>1153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1477</v>
      </c>
      <c r="K1184" s="2">
        <v>938183284</v>
      </c>
      <c r="L1184" s="2" t="s">
        <v>134</v>
      </c>
      <c r="M1184" s="2" t="s">
        <v>110</v>
      </c>
      <c r="O1184" s="2" t="s">
        <v>1478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3237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x14ac:dyDescent="0.2">
      <c r="A1185" s="2">
        <v>2025</v>
      </c>
      <c r="B1185" s="2">
        <v>7</v>
      </c>
      <c r="D1185" s="2" t="s">
        <v>1153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3237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1479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3237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1479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3237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x14ac:dyDescent="0.2">
      <c r="A1188" s="2">
        <v>2025</v>
      </c>
      <c r="B1188" s="2">
        <v>7</v>
      </c>
      <c r="D1188" s="2" t="s">
        <v>1480</v>
      </c>
      <c r="E1188" s="2" t="s">
        <v>754</v>
      </c>
      <c r="F1188" s="2" t="s">
        <v>1481</v>
      </c>
      <c r="G1188" s="2">
        <v>506123758</v>
      </c>
      <c r="H1188" s="2" t="s">
        <v>110</v>
      </c>
      <c r="I1188" s="2" t="s">
        <v>1482</v>
      </c>
      <c r="J1188" s="2" t="s">
        <v>1483</v>
      </c>
      <c r="K1188" s="2">
        <v>936406952</v>
      </c>
      <c r="L1188" s="2" t="s">
        <v>462</v>
      </c>
      <c r="M1188" s="2" t="s">
        <v>40</v>
      </c>
      <c r="O1188" s="2" t="s">
        <v>1484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x14ac:dyDescent="0.2">
      <c r="A1189" s="2">
        <v>2025</v>
      </c>
      <c r="B1189" s="2">
        <v>7</v>
      </c>
      <c r="D1189" s="2" t="s">
        <v>1480</v>
      </c>
      <c r="E1189" s="2" t="s">
        <v>754</v>
      </c>
      <c r="F1189" s="2" t="s">
        <v>1481</v>
      </c>
      <c r="G1189" s="2">
        <v>506123758</v>
      </c>
      <c r="H1189" s="2" t="s">
        <v>110</v>
      </c>
      <c r="I1189" s="2" t="s">
        <v>1482</v>
      </c>
      <c r="J1189" s="2" t="s">
        <v>1483</v>
      </c>
      <c r="K1189" s="2">
        <v>936406952</v>
      </c>
      <c r="L1189" s="2" t="s">
        <v>462</v>
      </c>
      <c r="M1189" s="2" t="s">
        <v>40</v>
      </c>
      <c r="O1189" s="2" t="s">
        <v>1484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x14ac:dyDescent="0.2">
      <c r="A1190" s="2">
        <v>2025</v>
      </c>
      <c r="B1190" s="2">
        <v>7</v>
      </c>
      <c r="D1190" s="2" t="s">
        <v>1485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1486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3237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1487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3237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1486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3237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1486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3237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x14ac:dyDescent="0.2">
      <c r="A1195" s="2">
        <v>2025</v>
      </c>
      <c r="B1195" s="2">
        <v>7</v>
      </c>
      <c r="D1195" s="2" t="s">
        <v>1488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x14ac:dyDescent="0.2">
      <c r="A1196" s="2">
        <v>2025</v>
      </c>
      <c r="B1196" s="2">
        <v>7</v>
      </c>
      <c r="D1196" s="2" t="s">
        <v>1489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3237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x14ac:dyDescent="0.2">
      <c r="A1197" s="2">
        <v>2025</v>
      </c>
      <c r="B1197" s="2">
        <v>7</v>
      </c>
      <c r="D1197" s="2" t="s">
        <v>1348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3237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x14ac:dyDescent="0.2">
      <c r="A1198" s="2">
        <v>2025</v>
      </c>
      <c r="B1198" s="2">
        <v>7</v>
      </c>
      <c r="D1198" s="2" t="s">
        <v>1348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3237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3237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3237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3237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3"/>
        <v>0.43981481481481483</v>
      </c>
      <c r="Z1202" s="2" t="s">
        <v>3237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7.125</v>
      </c>
      <c r="AL1202" s="5">
        <f t="shared" si="142"/>
        <v>0.43981481481481483</v>
      </c>
    </row>
    <row r="1203" spans="1:38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3237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3237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x14ac:dyDescent="0.2">
      <c r="A1205" s="2">
        <v>2025</v>
      </c>
      <c r="B1205" s="2">
        <v>7</v>
      </c>
      <c r="D1205" s="2" t="s">
        <v>1490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1490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3237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1181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1182</v>
      </c>
      <c r="J1207" s="2" t="s">
        <v>1183</v>
      </c>
      <c r="L1207" s="2" t="s">
        <v>462</v>
      </c>
      <c r="M1207" s="2" t="s">
        <v>41</v>
      </c>
      <c r="O1207" s="2" t="s">
        <v>1491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3237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1181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1182</v>
      </c>
      <c r="J1208" s="2" t="s">
        <v>1183</v>
      </c>
      <c r="L1208" s="2" t="s">
        <v>462</v>
      </c>
      <c r="M1208" s="2" t="s">
        <v>41</v>
      </c>
      <c r="O1208" s="2" t="s">
        <v>1491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3237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1181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1182</v>
      </c>
      <c r="J1209" s="2" t="s">
        <v>1183</v>
      </c>
      <c r="L1209" s="2" t="s">
        <v>462</v>
      </c>
      <c r="M1209" s="2" t="s">
        <v>41</v>
      </c>
      <c r="O1209" s="2" t="s">
        <v>1491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3237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1181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1182</v>
      </c>
      <c r="J1210" s="2" t="s">
        <v>1183</v>
      </c>
      <c r="L1210" s="2" t="s">
        <v>462</v>
      </c>
      <c r="M1210" s="2" t="s">
        <v>41</v>
      </c>
      <c r="O1210" s="2" t="s">
        <v>1491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3237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1181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1182</v>
      </c>
      <c r="J1211" s="2" t="s">
        <v>1183</v>
      </c>
      <c r="L1211" s="2" t="s">
        <v>462</v>
      </c>
      <c r="M1211" s="2" t="s">
        <v>41</v>
      </c>
      <c r="O1211" s="2" t="s">
        <v>1491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3237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1181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1182</v>
      </c>
      <c r="J1212" s="2" t="s">
        <v>1183</v>
      </c>
      <c r="L1212" s="2" t="s">
        <v>462</v>
      </c>
      <c r="M1212" s="2" t="s">
        <v>41</v>
      </c>
      <c r="O1212" s="2" t="s">
        <v>1491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3237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1181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1182</v>
      </c>
      <c r="J1213" s="2" t="s">
        <v>1183</v>
      </c>
      <c r="L1213" s="2" t="s">
        <v>462</v>
      </c>
      <c r="M1213" s="2" t="s">
        <v>41</v>
      </c>
      <c r="O1213" s="2" t="s">
        <v>1491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3237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x14ac:dyDescent="0.2">
      <c r="A1214" s="2">
        <v>2025</v>
      </c>
      <c r="B1214" s="2">
        <v>7</v>
      </c>
      <c r="D1214" s="2" t="s">
        <v>1181</v>
      </c>
      <c r="E1214" s="2" t="s">
        <v>38</v>
      </c>
      <c r="G1214" s="2">
        <v>502089075</v>
      </c>
      <c r="H1214" s="2" t="s">
        <v>41</v>
      </c>
      <c r="I1214" s="2" t="s">
        <v>1182</v>
      </c>
      <c r="J1214" s="2" t="s">
        <v>1183</v>
      </c>
      <c r="L1214" s="2" t="s">
        <v>462</v>
      </c>
      <c r="M1214" s="2" t="s">
        <v>41</v>
      </c>
      <c r="O1214" s="2" t="s">
        <v>1492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3237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x14ac:dyDescent="0.2">
      <c r="A1215" s="2">
        <v>2025</v>
      </c>
      <c r="B1215" s="2">
        <v>7</v>
      </c>
      <c r="D1215" s="2" t="s">
        <v>1181</v>
      </c>
      <c r="E1215" s="2" t="s">
        <v>38</v>
      </c>
      <c r="G1215" s="2">
        <v>502089075</v>
      </c>
      <c r="H1215" s="2" t="s">
        <v>41</v>
      </c>
      <c r="I1215" s="2" t="s">
        <v>1182</v>
      </c>
      <c r="J1215" s="2" t="s">
        <v>1183</v>
      </c>
      <c r="L1215" s="2" t="s">
        <v>462</v>
      </c>
      <c r="M1215" s="2" t="s">
        <v>41</v>
      </c>
      <c r="O1215" s="2" t="s">
        <v>1492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3237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x14ac:dyDescent="0.2">
      <c r="A1216" s="2">
        <v>2025</v>
      </c>
      <c r="B1216" s="2">
        <v>7</v>
      </c>
      <c r="C1216" s="2" t="s">
        <v>3426</v>
      </c>
      <c r="D1216" s="2" t="s">
        <v>1493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1399</v>
      </c>
      <c r="R1216" s="2" t="s">
        <v>1400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3242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x14ac:dyDescent="0.2">
      <c r="A1217" s="2">
        <v>2025</v>
      </c>
      <c r="B1217" s="2">
        <v>7</v>
      </c>
      <c r="D1217" s="2" t="s">
        <v>1494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1495</v>
      </c>
      <c r="L1217" s="2" t="s">
        <v>340</v>
      </c>
      <c r="M1217" s="2" t="s">
        <v>40</v>
      </c>
      <c r="P1217" s="2" t="s">
        <v>115</v>
      </c>
      <c r="Q1217" s="16" t="s">
        <v>711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f t="shared" si="140"/>
        <v>0</v>
      </c>
      <c r="AL1217" s="5" t="e">
        <f t="shared" si="142"/>
        <v>#DIV/0!</v>
      </c>
    </row>
    <row r="1218" spans="1:38" x14ac:dyDescent="0.2">
      <c r="A1218" s="2">
        <v>2025</v>
      </c>
      <c r="B1218" s="2">
        <v>7</v>
      </c>
      <c r="D1218" s="2" t="s">
        <v>1494</v>
      </c>
      <c r="P1218" s="2" t="s">
        <v>115</v>
      </c>
      <c r="Q1218" s="2" t="s">
        <v>1496</v>
      </c>
      <c r="R1218" s="2" t="s">
        <v>1497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x14ac:dyDescent="0.2">
      <c r="A1219" s="2">
        <v>2025</v>
      </c>
      <c r="B1219" s="2">
        <v>7</v>
      </c>
      <c r="D1219" s="2" t="s">
        <v>1494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1498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1498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1499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1111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1500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3237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1501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3237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1502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3237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3237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3237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3237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3237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3237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1503</v>
      </c>
      <c r="R1231" s="2" t="s">
        <v>1504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3237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1049</v>
      </c>
      <c r="R1232" s="2" t="s">
        <v>1050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3237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3237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x14ac:dyDescent="0.2">
      <c r="A1234" s="2">
        <v>2025</v>
      </c>
      <c r="B1234" s="2">
        <v>7</v>
      </c>
      <c r="D1234" s="2" t="s">
        <v>1354</v>
      </c>
      <c r="P1234" s="2" t="s">
        <v>115</v>
      </c>
      <c r="Q1234" s="2" t="s">
        <v>1505</v>
      </c>
      <c r="R1234" s="2" t="s">
        <v>1506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3237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3237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3237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3237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3237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3237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1507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3392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x14ac:dyDescent="0.2">
      <c r="A1243" s="2">
        <v>2025</v>
      </c>
      <c r="B1243" s="2">
        <v>7</v>
      </c>
      <c r="D1243" s="2" t="s">
        <v>1358</v>
      </c>
      <c r="P1243" s="2" t="s">
        <v>283</v>
      </c>
      <c r="Q1243" s="2" t="s">
        <v>1440</v>
      </c>
      <c r="R1243" s="2" t="s">
        <v>1441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3237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1508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1509</v>
      </c>
      <c r="J1244" s="2" t="s">
        <v>1510</v>
      </c>
      <c r="K1244" s="2">
        <v>961386655</v>
      </c>
      <c r="L1244" s="2" t="s">
        <v>134</v>
      </c>
      <c r="M1244" s="2" t="s">
        <v>40</v>
      </c>
      <c r="O1244" s="2" t="s">
        <v>1511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3237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1508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1509</v>
      </c>
      <c r="J1245" s="2" t="s">
        <v>1510</v>
      </c>
      <c r="K1245" s="2">
        <v>961386655</v>
      </c>
      <c r="L1245" s="2" t="s">
        <v>134</v>
      </c>
      <c r="M1245" s="2" t="s">
        <v>40</v>
      </c>
      <c r="O1245" s="2" t="s">
        <v>1511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3237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1508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1509</v>
      </c>
      <c r="J1246" s="2" t="s">
        <v>1510</v>
      </c>
      <c r="K1246" s="2">
        <v>961386655</v>
      </c>
      <c r="L1246" s="2" t="s">
        <v>134</v>
      </c>
      <c r="M1246" s="2" t="s">
        <v>40</v>
      </c>
      <c r="O1246" s="2" t="s">
        <v>1511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3237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1508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1509</v>
      </c>
      <c r="J1247" s="2" t="s">
        <v>1510</v>
      </c>
      <c r="K1247" s="2">
        <v>961386655</v>
      </c>
      <c r="L1247" s="2" t="s">
        <v>134</v>
      </c>
      <c r="M1247" s="2" t="s">
        <v>40</v>
      </c>
      <c r="O1247" s="2" t="s">
        <v>1511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3237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x14ac:dyDescent="0.2">
      <c r="A1248" s="2">
        <v>2025</v>
      </c>
      <c r="B1248" s="2">
        <v>7</v>
      </c>
      <c r="D1248" s="2" t="s">
        <v>1508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1509</v>
      </c>
      <c r="J1248" s="2" t="s">
        <v>1510</v>
      </c>
      <c r="K1248" s="2">
        <v>961386655</v>
      </c>
      <c r="L1248" s="2" t="s">
        <v>134</v>
      </c>
      <c r="M1248" s="2" t="s">
        <v>40</v>
      </c>
      <c r="O1248" s="2" t="s">
        <v>1511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1512</v>
      </c>
      <c r="AB1248" s="2" t="s">
        <v>1513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x14ac:dyDescent="0.2">
      <c r="A1249" s="2">
        <v>2025</v>
      </c>
      <c r="B1249" s="2">
        <v>7</v>
      </c>
      <c r="D1249" s="2" t="s">
        <v>1508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1509</v>
      </c>
      <c r="J1249" s="2" t="s">
        <v>1510</v>
      </c>
      <c r="K1249" s="2">
        <v>961386655</v>
      </c>
      <c r="L1249" s="2" t="s">
        <v>134</v>
      </c>
      <c r="M1249" s="2" t="s">
        <v>40</v>
      </c>
      <c r="O1249" s="2" t="s">
        <v>1511</v>
      </c>
      <c r="P1249" s="2" t="s">
        <v>40</v>
      </c>
      <c r="Q1249" s="2" t="s">
        <v>1514</v>
      </c>
      <c r="R1249" s="2" t="s">
        <v>1515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1512</v>
      </c>
      <c r="AB1249" s="2" t="s">
        <v>1516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x14ac:dyDescent="0.2">
      <c r="A1250" s="2">
        <v>2025</v>
      </c>
      <c r="B1250" s="2">
        <v>7</v>
      </c>
      <c r="D1250" s="2" t="s">
        <v>1359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1360</v>
      </c>
      <c r="L1250" s="2" t="s">
        <v>419</v>
      </c>
      <c r="P1250" s="2" t="s">
        <v>283</v>
      </c>
      <c r="Q1250" s="2" t="s">
        <v>1517</v>
      </c>
      <c r="R1250" s="2" t="s">
        <v>1518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3237</v>
      </c>
      <c r="AA1250" s="2" t="s">
        <v>72</v>
      </c>
      <c r="AB1250" s="2" t="s">
        <v>1607</v>
      </c>
      <c r="AC1250" s="2" t="s">
        <v>1607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x14ac:dyDescent="0.2">
      <c r="A1251" s="2">
        <v>2025</v>
      </c>
      <c r="B1251" s="2">
        <v>7</v>
      </c>
      <c r="D1251" s="2" t="s">
        <v>1359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1360</v>
      </c>
      <c r="L1251" s="2" t="s">
        <v>419</v>
      </c>
      <c r="P1251" s="2" t="s">
        <v>283</v>
      </c>
      <c r="Q1251" s="2" t="s">
        <v>1519</v>
      </c>
      <c r="R1251" s="2" t="s">
        <v>1520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3237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1521</v>
      </c>
      <c r="R1252" s="2" t="s">
        <v>1522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x14ac:dyDescent="0.2">
      <c r="A1255" s="2">
        <v>2025</v>
      </c>
      <c r="B1255" s="2">
        <v>7</v>
      </c>
      <c r="D1255" s="2" t="s">
        <v>1523</v>
      </c>
      <c r="P1255" s="2" t="s">
        <v>283</v>
      </c>
      <c r="Q1255" s="2" t="s">
        <v>1450</v>
      </c>
      <c r="R1255" s="2" t="s">
        <v>1451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3237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x14ac:dyDescent="0.2">
      <c r="A1256" s="2">
        <v>2025</v>
      </c>
      <c r="B1256" s="2">
        <v>7</v>
      </c>
      <c r="D1256" s="2" t="s">
        <v>1523</v>
      </c>
      <c r="P1256" s="2" t="s">
        <v>69</v>
      </c>
      <c r="Q1256" s="2" t="s">
        <v>1524</v>
      </c>
      <c r="R1256" s="2" t="s">
        <v>1525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1098</v>
      </c>
      <c r="AC1256" s="2" t="s">
        <v>3242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1526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1527</v>
      </c>
      <c r="J1259" s="2" t="s">
        <v>1528</v>
      </c>
      <c r="K1259" s="2">
        <v>962461409</v>
      </c>
      <c r="L1259" s="2" t="s">
        <v>345</v>
      </c>
      <c r="P1259" s="2" t="s">
        <v>115</v>
      </c>
      <c r="Q1259" s="16" t="s">
        <v>711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0</v>
      </c>
      <c r="AL1259" s="5" t="e">
        <f t="shared" si="148"/>
        <v>#DIV/0!</v>
      </c>
    </row>
    <row r="1260" spans="1:38" x14ac:dyDescent="0.2">
      <c r="A1260" s="2">
        <v>2025</v>
      </c>
      <c r="B1260" s="2">
        <v>7</v>
      </c>
      <c r="D1260" s="2" t="s">
        <v>1526</v>
      </c>
      <c r="P1260" s="2" t="s">
        <v>115</v>
      </c>
      <c r="Q1260" s="2" t="s">
        <v>1529</v>
      </c>
      <c r="R1260" s="2" t="s">
        <v>1530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x14ac:dyDescent="0.2">
      <c r="A1261" s="2">
        <v>2025</v>
      </c>
      <c r="B1261" s="2">
        <v>7</v>
      </c>
      <c r="D1261" s="2" t="s">
        <v>1526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x14ac:dyDescent="0.2">
      <c r="A1262" s="2">
        <v>2025</v>
      </c>
      <c r="B1262" s="2">
        <v>7</v>
      </c>
      <c r="D1262" s="2" t="s">
        <v>1531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1532</v>
      </c>
      <c r="J1262" s="2" t="s">
        <v>1533</v>
      </c>
      <c r="K1262" s="2">
        <v>962461409</v>
      </c>
      <c r="L1262" s="2" t="s">
        <v>345</v>
      </c>
      <c r="M1262" s="2" t="s">
        <v>40</v>
      </c>
      <c r="O1262" s="2" t="s">
        <v>1534</v>
      </c>
      <c r="P1262" s="2" t="s">
        <v>283</v>
      </c>
      <c r="Q1262" s="2" t="s">
        <v>1535</v>
      </c>
      <c r="R1262" s="2" t="s">
        <v>1536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3237</v>
      </c>
      <c r="AA1262" s="2" t="s">
        <v>579</v>
      </c>
      <c r="AB1262" s="2" t="s">
        <v>120</v>
      </c>
      <c r="AC1262" s="2" t="s">
        <v>1331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x14ac:dyDescent="0.2">
      <c r="A1263" s="2">
        <v>2025</v>
      </c>
      <c r="B1263" s="2">
        <v>7</v>
      </c>
      <c r="D1263" s="2" t="s">
        <v>1531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1532</v>
      </c>
      <c r="J1263" s="2" t="s">
        <v>1533</v>
      </c>
      <c r="K1263" s="2">
        <v>962461409</v>
      </c>
      <c r="L1263" s="2" t="s">
        <v>345</v>
      </c>
      <c r="M1263" s="2" t="s">
        <v>40</v>
      </c>
      <c r="O1263" s="2" t="s">
        <v>1534</v>
      </c>
      <c r="P1263" s="2" t="s">
        <v>283</v>
      </c>
      <c r="Q1263" s="2" t="s">
        <v>1537</v>
      </c>
      <c r="R1263" s="2" t="s">
        <v>1538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3237</v>
      </c>
      <c r="AA1263" s="2" t="s">
        <v>579</v>
      </c>
      <c r="AB1263" s="2" t="s">
        <v>120</v>
      </c>
      <c r="AC1263" s="2" t="s">
        <v>1331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x14ac:dyDescent="0.2">
      <c r="A1264" s="2">
        <v>2025</v>
      </c>
      <c r="B1264" s="2">
        <v>7</v>
      </c>
      <c r="D1264" s="2" t="s">
        <v>1531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1532</v>
      </c>
      <c r="J1264" s="2" t="s">
        <v>1533</v>
      </c>
      <c r="K1264" s="2">
        <v>962461409</v>
      </c>
      <c r="L1264" s="2" t="s">
        <v>345</v>
      </c>
      <c r="M1264" s="2" t="s">
        <v>40</v>
      </c>
      <c r="O1264" s="2" t="s">
        <v>1534</v>
      </c>
      <c r="P1264" s="2" t="s">
        <v>283</v>
      </c>
      <c r="Q1264" s="2" t="s">
        <v>1539</v>
      </c>
      <c r="R1264" s="2" t="s">
        <v>1540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3237</v>
      </c>
      <c r="AA1264" s="2" t="s">
        <v>579</v>
      </c>
      <c r="AB1264" s="2" t="s">
        <v>120</v>
      </c>
      <c r="AC1264" s="2" t="s">
        <v>1331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x14ac:dyDescent="0.2">
      <c r="A1265" s="2">
        <v>2025</v>
      </c>
      <c r="B1265" s="2">
        <v>7</v>
      </c>
      <c r="D1265" s="2" t="s">
        <v>1531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1532</v>
      </c>
      <c r="J1265" s="2" t="s">
        <v>1533</v>
      </c>
      <c r="K1265" s="2">
        <v>962461409</v>
      </c>
      <c r="L1265" s="2" t="s">
        <v>345</v>
      </c>
      <c r="M1265" s="2" t="s">
        <v>40</v>
      </c>
      <c r="O1265" s="2" t="s">
        <v>1534</v>
      </c>
      <c r="P1265" s="2" t="s">
        <v>283</v>
      </c>
      <c r="Q1265" s="2" t="s">
        <v>1541</v>
      </c>
      <c r="R1265" s="2" t="s">
        <v>1542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3237</v>
      </c>
      <c r="AA1265" s="2" t="s">
        <v>579</v>
      </c>
      <c r="AB1265" s="2" t="s">
        <v>120</v>
      </c>
      <c r="AC1265" s="2" t="s">
        <v>1331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x14ac:dyDescent="0.2">
      <c r="A1266" s="2">
        <v>2025</v>
      </c>
      <c r="B1266" s="2">
        <v>7</v>
      </c>
      <c r="D1266" s="2" t="s">
        <v>1531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1532</v>
      </c>
      <c r="J1266" s="2" t="s">
        <v>1533</v>
      </c>
      <c r="K1266" s="2">
        <v>962461409</v>
      </c>
      <c r="L1266" s="2" t="s">
        <v>345</v>
      </c>
      <c r="M1266" s="2" t="s">
        <v>40</v>
      </c>
      <c r="O1266" s="2" t="s">
        <v>1534</v>
      </c>
      <c r="P1266" s="2" t="s">
        <v>283</v>
      </c>
      <c r="Q1266" s="2" t="s">
        <v>1543</v>
      </c>
      <c r="R1266" s="2" t="s">
        <v>1544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3237</v>
      </c>
      <c r="AA1266" s="2" t="s">
        <v>579</v>
      </c>
      <c r="AB1266" s="2" t="s">
        <v>120</v>
      </c>
      <c r="AC1266" s="2" t="s">
        <v>1331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x14ac:dyDescent="0.2">
      <c r="A1267" s="2">
        <v>2025</v>
      </c>
      <c r="B1267" s="2">
        <v>7</v>
      </c>
      <c r="D1267" s="2" t="s">
        <v>1531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1532</v>
      </c>
      <c r="J1267" s="2" t="s">
        <v>1533</v>
      </c>
      <c r="K1267" s="2">
        <v>962461409</v>
      </c>
      <c r="L1267" s="2" t="s">
        <v>345</v>
      </c>
      <c r="M1267" s="2" t="s">
        <v>40</v>
      </c>
      <c r="O1267" s="2" t="s">
        <v>1534</v>
      </c>
      <c r="P1267" s="2" t="s">
        <v>283</v>
      </c>
      <c r="Q1267" s="2" t="s">
        <v>1545</v>
      </c>
      <c r="R1267" s="2" t="s">
        <v>1546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1334</v>
      </c>
      <c r="AC1267" s="2" t="s">
        <v>1331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x14ac:dyDescent="0.2">
      <c r="A1268" s="2">
        <v>2025</v>
      </c>
      <c r="B1268" s="2">
        <v>7</v>
      </c>
      <c r="D1268" s="2" t="s">
        <v>1531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1532</v>
      </c>
      <c r="J1268" s="2" t="s">
        <v>1533</v>
      </c>
      <c r="K1268" s="2">
        <v>962461409</v>
      </c>
      <c r="L1268" s="2" t="s">
        <v>345</v>
      </c>
      <c r="M1268" s="2" t="s">
        <v>40</v>
      </c>
      <c r="O1268" s="2" t="s">
        <v>1534</v>
      </c>
      <c r="P1268" s="2" t="s">
        <v>283</v>
      </c>
      <c r="Q1268" s="2" t="s">
        <v>1547</v>
      </c>
      <c r="R1268" s="2" t="s">
        <v>1548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1334</v>
      </c>
      <c r="AC1268" s="2" t="s">
        <v>1331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1549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x14ac:dyDescent="0.2">
      <c r="A1270" s="2">
        <v>2025</v>
      </c>
      <c r="B1270" s="2">
        <v>7</v>
      </c>
      <c r="D1270" s="2" t="s">
        <v>999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x14ac:dyDescent="0.2">
      <c r="A1271" s="2">
        <v>2025</v>
      </c>
      <c r="B1271" s="2">
        <v>7</v>
      </c>
      <c r="D1271" s="2" t="s">
        <v>999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x14ac:dyDescent="0.2">
      <c r="A1272" s="2">
        <v>2025</v>
      </c>
      <c r="B1272" s="2">
        <v>7</v>
      </c>
      <c r="D1272" s="2" t="s">
        <v>1550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1551</v>
      </c>
      <c r="R1273" s="2" t="s">
        <v>1552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3392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x14ac:dyDescent="0.2">
      <c r="A1277" s="2">
        <v>2025</v>
      </c>
      <c r="B1277" s="2">
        <v>7</v>
      </c>
      <c r="D1277" s="2" t="s">
        <v>1009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3237</v>
      </c>
      <c r="AA1277" s="2" t="s">
        <v>46</v>
      </c>
      <c r="AB1277" s="2" t="s">
        <v>61</v>
      </c>
      <c r="AC1277" s="2" t="s">
        <v>3343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x14ac:dyDescent="0.2">
      <c r="A1278" s="2">
        <v>2025</v>
      </c>
      <c r="B1278" s="2">
        <v>7</v>
      </c>
      <c r="D1278" s="2" t="s">
        <v>1009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3237</v>
      </c>
      <c r="AA1278" s="2" t="s">
        <v>46</v>
      </c>
      <c r="AB1278" s="2" t="s">
        <v>61</v>
      </c>
      <c r="AC1278" s="2" t="s">
        <v>3343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1553</v>
      </c>
      <c r="P1279" s="2" t="s">
        <v>283</v>
      </c>
      <c r="Q1279" s="2" t="s">
        <v>1554</v>
      </c>
      <c r="R1279" s="2" t="s">
        <v>1555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3413</v>
      </c>
    </row>
    <row r="1280" spans="1:38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1553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3237</v>
      </c>
      <c r="AA1280" s="2" t="s">
        <v>46</v>
      </c>
      <c r="AB1280" s="2" t="s">
        <v>61</v>
      </c>
      <c r="AC1280" s="2" t="s">
        <v>3343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1553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3237</v>
      </c>
      <c r="AA1281" s="2" t="s">
        <v>46</v>
      </c>
      <c r="AB1281" s="2" t="s">
        <v>61</v>
      </c>
      <c r="AC1281" s="2" t="s">
        <v>3343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1556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3237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1556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3237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3392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1557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1558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1558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1557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x14ac:dyDescent="0.2">
      <c r="A1293" s="2">
        <v>2025</v>
      </c>
      <c r="B1293" s="2">
        <v>7</v>
      </c>
      <c r="D1293" s="2" t="s">
        <v>1012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1013</v>
      </c>
      <c r="J1293" s="2" t="s">
        <v>1014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3392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1018</v>
      </c>
      <c r="L1295" s="2" t="s">
        <v>100</v>
      </c>
      <c r="M1295" s="2" t="s">
        <v>81</v>
      </c>
      <c r="O1295" s="2" t="s">
        <v>1559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3237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1018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3237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3237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3237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x14ac:dyDescent="0.2">
      <c r="A1299" s="2">
        <v>2025</v>
      </c>
      <c r="B1299" s="2">
        <v>7</v>
      </c>
      <c r="D1299" s="2" t="s">
        <v>1560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1561</v>
      </c>
      <c r="J1299" s="2" t="s">
        <v>1562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x14ac:dyDescent="0.2">
      <c r="A1300" s="2">
        <v>2025</v>
      </c>
      <c r="B1300" s="2">
        <v>7</v>
      </c>
      <c r="D1300" s="2" t="s">
        <v>1560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1561</v>
      </c>
      <c r="J1300" s="2" t="s">
        <v>1562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x14ac:dyDescent="0.2">
      <c r="A1301" s="2">
        <v>2025</v>
      </c>
      <c r="B1301" s="2">
        <v>7</v>
      </c>
      <c r="D1301" s="2" t="s">
        <v>1380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3237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x14ac:dyDescent="0.2">
      <c r="A1302" s="2">
        <v>2025</v>
      </c>
      <c r="B1302" s="2">
        <v>7</v>
      </c>
      <c r="D1302" s="2" t="s">
        <v>1380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3237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x14ac:dyDescent="0.2">
      <c r="A1303" s="2">
        <v>2025</v>
      </c>
      <c r="B1303" s="2">
        <v>7</v>
      </c>
      <c r="D1303" s="2" t="s">
        <v>1244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x14ac:dyDescent="0.2">
      <c r="A1304" s="2">
        <v>2025</v>
      </c>
      <c r="B1304" s="2">
        <v>7</v>
      </c>
      <c r="D1304" s="2" t="s">
        <v>1244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x14ac:dyDescent="0.2">
      <c r="A1305" s="2">
        <v>2025</v>
      </c>
      <c r="B1305" s="2">
        <v>7</v>
      </c>
      <c r="D1305" s="2" t="s">
        <v>1244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x14ac:dyDescent="0.2">
      <c r="A1306" s="2">
        <v>2025</v>
      </c>
      <c r="B1306" s="2">
        <v>7</v>
      </c>
      <c r="D1306" s="2" t="s">
        <v>1245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1563</v>
      </c>
      <c r="J1306" s="2" t="s">
        <v>1564</v>
      </c>
      <c r="K1306" s="2">
        <v>919050729</v>
      </c>
      <c r="L1306" s="2" t="s">
        <v>202</v>
      </c>
      <c r="M1306" s="2" t="s">
        <v>81</v>
      </c>
      <c r="O1306" s="2" t="s">
        <v>1565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3237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x14ac:dyDescent="0.2">
      <c r="A1307" s="2">
        <v>2025</v>
      </c>
      <c r="B1307" s="2">
        <v>7</v>
      </c>
      <c r="D1307" s="2" t="s">
        <v>1245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3237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x14ac:dyDescent="0.2">
      <c r="A1308" s="2">
        <v>2025</v>
      </c>
      <c r="B1308" s="2">
        <v>7</v>
      </c>
      <c r="D1308" s="2" t="s">
        <v>1020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1021</v>
      </c>
      <c r="J1308" s="2" t="s">
        <v>1022</v>
      </c>
      <c r="L1308" s="2" t="s">
        <v>294</v>
      </c>
      <c r="M1308" s="2" t="s">
        <v>81</v>
      </c>
      <c r="O1308" s="2" t="s">
        <v>1566</v>
      </c>
      <c r="P1308" s="2" t="s">
        <v>115</v>
      </c>
      <c r="Q1308" s="2" t="s">
        <v>1567</v>
      </c>
      <c r="R1308" s="2" t="s">
        <v>1568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x14ac:dyDescent="0.2">
      <c r="A1309" s="2">
        <v>2025</v>
      </c>
      <c r="B1309" s="2">
        <v>7</v>
      </c>
      <c r="D1309" s="2" t="s">
        <v>1020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1021</v>
      </c>
      <c r="J1309" s="2" t="s">
        <v>1022</v>
      </c>
      <c r="L1309" s="2" t="s">
        <v>294</v>
      </c>
      <c r="M1309" s="2" t="s">
        <v>81</v>
      </c>
      <c r="O1309" s="2" t="s">
        <v>1569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3237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x14ac:dyDescent="0.2">
      <c r="A1310" s="2">
        <v>2025</v>
      </c>
      <c r="B1310" s="2">
        <v>7</v>
      </c>
      <c r="D1310" s="2" t="s">
        <v>1020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1021</v>
      </c>
      <c r="J1310" s="2" t="s">
        <v>1022</v>
      </c>
      <c r="L1310" s="2" t="s">
        <v>294</v>
      </c>
      <c r="M1310" s="2" t="s">
        <v>81</v>
      </c>
      <c r="O1310" s="2" t="s">
        <v>1569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3237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x14ac:dyDescent="0.2">
      <c r="A1311" s="2">
        <v>2025</v>
      </c>
      <c r="B1311" s="2">
        <v>7</v>
      </c>
      <c r="D1311" s="2" t="s">
        <v>1570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x14ac:dyDescent="0.2">
      <c r="A1312" s="2">
        <v>2025</v>
      </c>
      <c r="B1312" s="2">
        <v>7</v>
      </c>
      <c r="D1312" s="2" t="s">
        <v>1570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x14ac:dyDescent="0.2">
      <c r="A1313" s="2">
        <v>2025</v>
      </c>
      <c r="B1313" s="2">
        <v>7</v>
      </c>
      <c r="D1313" s="2" t="s">
        <v>1571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3237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x14ac:dyDescent="0.2">
      <c r="A1314" s="2">
        <v>2025</v>
      </c>
      <c r="B1314" s="2">
        <v>7</v>
      </c>
      <c r="D1314" s="2" t="s">
        <v>1571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3237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3237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3237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x14ac:dyDescent="0.2">
      <c r="A1321" s="2">
        <v>2025</v>
      </c>
      <c r="B1321" s="2">
        <v>7</v>
      </c>
      <c r="D1321" s="2" t="s">
        <v>1572</v>
      </c>
      <c r="P1321" s="2" t="s">
        <v>115</v>
      </c>
      <c r="Q1321" s="2" t="s">
        <v>1573</v>
      </c>
      <c r="R1321" s="2" t="s">
        <v>1574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x14ac:dyDescent="0.2">
      <c r="A1322" s="2">
        <v>2025</v>
      </c>
      <c r="B1322" s="2">
        <v>7</v>
      </c>
      <c r="D1322" s="2" t="s">
        <v>1572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x14ac:dyDescent="0.2">
      <c r="A1323" s="2">
        <v>2025</v>
      </c>
      <c r="B1323" s="2">
        <v>7</v>
      </c>
      <c r="D1323" s="2" t="s">
        <v>1572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x14ac:dyDescent="0.2">
      <c r="A1324" s="2">
        <v>2025</v>
      </c>
      <c r="B1324" s="2">
        <v>7</v>
      </c>
      <c r="D1324" s="2" t="s">
        <v>1572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x14ac:dyDescent="0.2">
      <c r="A1325" s="2">
        <v>2025</v>
      </c>
      <c r="B1325" s="2">
        <v>7</v>
      </c>
      <c r="C1325" s="2" t="s">
        <v>3411</v>
      </c>
      <c r="D1325" s="2" t="s">
        <v>1575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1041</v>
      </c>
      <c r="Q1325" s="2" t="s">
        <v>1576</v>
      </c>
      <c r="R1325" s="2" t="s">
        <v>1577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3237</v>
      </c>
      <c r="AA1325" s="2" t="s">
        <v>76</v>
      </c>
      <c r="AB1325" s="2" t="s">
        <v>77</v>
      </c>
      <c r="AC1325" s="2" t="s">
        <v>1041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x14ac:dyDescent="0.2">
      <c r="A1326" s="2">
        <v>2025</v>
      </c>
      <c r="B1326" s="2">
        <v>7</v>
      </c>
      <c r="C1326" s="2" t="s">
        <v>3411</v>
      </c>
      <c r="D1326" s="2" t="s">
        <v>1575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1041</v>
      </c>
      <c r="Q1326" s="2" t="s">
        <v>1578</v>
      </c>
      <c r="R1326" s="2" t="s">
        <v>1579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3237</v>
      </c>
      <c r="AA1326" s="2" t="s">
        <v>76</v>
      </c>
      <c r="AB1326" s="2" t="s">
        <v>77</v>
      </c>
      <c r="AC1326" s="2" t="s">
        <v>1041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x14ac:dyDescent="0.2">
      <c r="A1327" s="2">
        <v>2025</v>
      </c>
      <c r="B1327" s="2">
        <v>7</v>
      </c>
      <c r="D1327" s="2" t="s">
        <v>1575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3237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1554</v>
      </c>
      <c r="R1328" s="2" t="s">
        <v>1555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3237</v>
      </c>
      <c r="AA1329" s="2" t="s">
        <v>46</v>
      </c>
      <c r="AB1329" s="2" t="s">
        <v>61</v>
      </c>
      <c r="AC1329" s="2" t="s">
        <v>3343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3237</v>
      </c>
      <c r="AA1330" s="2" t="s">
        <v>46</v>
      </c>
      <c r="AB1330" s="2" t="s">
        <v>61</v>
      </c>
      <c r="AC1330" s="2" t="s">
        <v>3343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1580</v>
      </c>
      <c r="E1331" s="2" t="s">
        <v>754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1286</v>
      </c>
      <c r="R1331" s="2" t="s">
        <v>1287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1581</v>
      </c>
      <c r="AB1331" s="2" t="s">
        <v>389</v>
      </c>
      <c r="AC1331" s="2" t="s">
        <v>1331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x14ac:dyDescent="0.2">
      <c r="A1332" s="2">
        <v>2025</v>
      </c>
      <c r="B1332" s="2">
        <v>7</v>
      </c>
      <c r="D1332" s="2" t="s">
        <v>1580</v>
      </c>
      <c r="E1332" s="2" t="s">
        <v>754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1288</v>
      </c>
      <c r="R1332" s="2" t="s">
        <v>1289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1581</v>
      </c>
      <c r="AB1332" s="2" t="s">
        <v>389</v>
      </c>
      <c r="AC1332" s="2" t="s">
        <v>1331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x14ac:dyDescent="0.2">
      <c r="A1333" s="2">
        <v>2025</v>
      </c>
      <c r="B1333" s="2">
        <v>7</v>
      </c>
      <c r="D1333" s="2" t="s">
        <v>1580</v>
      </c>
      <c r="E1333" s="2" t="s">
        <v>754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1157</v>
      </c>
      <c r="R1333" s="2" t="s">
        <v>1158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1581</v>
      </c>
      <c r="AB1333" s="2" t="s">
        <v>389</v>
      </c>
      <c r="AC1333" s="2" t="s">
        <v>1331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x14ac:dyDescent="0.2">
      <c r="A1334" s="2">
        <v>2025</v>
      </c>
      <c r="B1334" s="2">
        <v>7</v>
      </c>
      <c r="D1334" s="2" t="s">
        <v>1580</v>
      </c>
      <c r="E1334" s="2" t="s">
        <v>754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1159</v>
      </c>
      <c r="R1334" s="2" t="s">
        <v>1160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1581</v>
      </c>
      <c r="AB1334" s="2" t="s">
        <v>389</v>
      </c>
      <c r="AC1334" s="2" t="s">
        <v>1331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x14ac:dyDescent="0.2">
      <c r="A1335" s="2">
        <v>2025</v>
      </c>
      <c r="B1335" s="2">
        <v>7</v>
      </c>
      <c r="D1335" s="2" t="s">
        <v>1580</v>
      </c>
      <c r="E1335" s="2" t="s">
        <v>754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1161</v>
      </c>
      <c r="R1335" s="2" t="s">
        <v>1162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1581</v>
      </c>
      <c r="AB1335" s="2" t="s">
        <v>389</v>
      </c>
      <c r="AC1335" s="2" t="s">
        <v>1331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x14ac:dyDescent="0.2">
      <c r="A1336" s="2">
        <v>2025</v>
      </c>
      <c r="B1336" s="2">
        <v>7</v>
      </c>
      <c r="D1336" s="2" t="s">
        <v>1582</v>
      </c>
      <c r="Q1336" s="2" t="s">
        <v>1583</v>
      </c>
      <c r="R1336" s="2" t="s">
        <v>1584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x14ac:dyDescent="0.2">
      <c r="A1337" s="2">
        <v>2025</v>
      </c>
      <c r="B1337" s="2">
        <v>7</v>
      </c>
      <c r="D1337" s="2" t="s">
        <v>1582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3327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1585</v>
      </c>
      <c r="R1338" s="2" t="s">
        <v>1586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1587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3237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1587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3237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1587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x14ac:dyDescent="0.2">
      <c r="A1345" s="2">
        <v>2025</v>
      </c>
      <c r="B1345" s="2">
        <v>7</v>
      </c>
      <c r="D1345" s="2" t="s">
        <v>1588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3237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x14ac:dyDescent="0.2">
      <c r="A1346" s="2">
        <v>2025</v>
      </c>
      <c r="B1346" s="2">
        <v>7</v>
      </c>
      <c r="D1346" s="2" t="s">
        <v>1588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3392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3237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3237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1269</v>
      </c>
      <c r="R1350" s="2" t="s">
        <v>1270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x14ac:dyDescent="0.2">
      <c r="A1353" s="2">
        <v>2025</v>
      </c>
      <c r="B1353" s="2">
        <v>7</v>
      </c>
      <c r="D1353" s="2" t="s">
        <v>1589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x14ac:dyDescent="0.2">
      <c r="A1354" s="2">
        <v>2025</v>
      </c>
      <c r="B1354" s="2">
        <v>7</v>
      </c>
      <c r="D1354" s="2" t="s">
        <v>1589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1068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3237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3143</v>
      </c>
      <c r="L1358" s="2" t="s">
        <v>178</v>
      </c>
      <c r="M1358" s="2" t="s">
        <v>41</v>
      </c>
      <c r="O1358" s="2" t="s">
        <v>3148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3237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3143</v>
      </c>
      <c r="L1359" s="2" t="s">
        <v>178</v>
      </c>
      <c r="M1359" s="2" t="s">
        <v>41</v>
      </c>
      <c r="O1359" s="2" t="s">
        <v>3147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3237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0"/>
        <v>0.43981481481481483</v>
      </c>
      <c r="Z1361" s="2" t="s">
        <v>3237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7.125</v>
      </c>
      <c r="AL1361" s="5">
        <f t="shared" si="164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3237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3237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3237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3237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3237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3237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x14ac:dyDescent="0.2">
      <c r="A1368" s="2">
        <v>2025</v>
      </c>
      <c r="B1368" s="2">
        <v>7</v>
      </c>
      <c r="D1368" s="2" t="s">
        <v>1590</v>
      </c>
      <c r="M1368" s="2" t="s">
        <v>81</v>
      </c>
      <c r="P1368" s="2" t="s">
        <v>283</v>
      </c>
      <c r="Q1368" s="2" t="s">
        <v>1591</v>
      </c>
      <c r="R1368" s="2" t="s">
        <v>1592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3237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x14ac:dyDescent="0.2">
      <c r="A1369" s="2">
        <v>2025</v>
      </c>
      <c r="B1369" s="2">
        <v>7</v>
      </c>
      <c r="D1369" s="2" t="s">
        <v>1590</v>
      </c>
      <c r="M1369" s="2" t="s">
        <v>81</v>
      </c>
      <c r="P1369" s="2" t="s">
        <v>283</v>
      </c>
      <c r="Q1369" s="2" t="s">
        <v>1593</v>
      </c>
      <c r="R1369" s="2" t="s">
        <v>1594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3237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x14ac:dyDescent="0.2">
      <c r="A1370" s="2">
        <v>2025</v>
      </c>
      <c r="B1370" s="2">
        <v>7</v>
      </c>
      <c r="D1370" s="2" t="s">
        <v>1590</v>
      </c>
      <c r="M1370" s="2" t="s">
        <v>81</v>
      </c>
      <c r="P1370" s="2" t="s">
        <v>283</v>
      </c>
      <c r="Q1370" s="2" t="s">
        <v>1440</v>
      </c>
      <c r="R1370" s="2" t="s">
        <v>1441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3237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x14ac:dyDescent="0.2">
      <c r="A1371" s="2">
        <v>2025</v>
      </c>
      <c r="B1371" s="2">
        <v>7</v>
      </c>
      <c r="D1371" s="2" t="s">
        <v>1590</v>
      </c>
      <c r="M1371" s="2" t="s">
        <v>81</v>
      </c>
      <c r="P1371" s="2" t="s">
        <v>283</v>
      </c>
      <c r="Q1371" s="2" t="s">
        <v>1595</v>
      </c>
      <c r="R1371" s="2" t="s">
        <v>1596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3237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1590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3237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1590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3237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x14ac:dyDescent="0.2">
      <c r="A1374" s="2">
        <v>2025</v>
      </c>
      <c r="B1374" s="2">
        <v>7</v>
      </c>
      <c r="D1374" s="2" t="s">
        <v>1597</v>
      </c>
      <c r="P1374" s="2" t="s">
        <v>115</v>
      </c>
      <c r="Q1374" s="2" t="s">
        <v>1598</v>
      </c>
      <c r="R1374" s="2" t="s">
        <v>1599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x14ac:dyDescent="0.2">
      <c r="A1375" s="2">
        <v>2025</v>
      </c>
      <c r="B1375" s="2">
        <v>7</v>
      </c>
      <c r="D1375" s="2" t="s">
        <v>1600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1601</v>
      </c>
      <c r="J1375" s="2" t="s">
        <v>1602</v>
      </c>
      <c r="L1375" s="2" t="s">
        <v>202</v>
      </c>
      <c r="M1375" s="2" t="s">
        <v>41</v>
      </c>
      <c r="O1375" s="2" t="s">
        <v>1603</v>
      </c>
      <c r="P1375" s="2" t="s">
        <v>283</v>
      </c>
      <c r="Q1375" s="2" t="s">
        <v>1554</v>
      </c>
      <c r="R1375" s="2" t="s">
        <v>1555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3413</v>
      </c>
    </row>
    <row r="1376" spans="1:38" x14ac:dyDescent="0.2">
      <c r="A1376" s="2">
        <v>2025</v>
      </c>
      <c r="B1376" s="2">
        <v>7</v>
      </c>
      <c r="D1376" s="2" t="s">
        <v>1600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1601</v>
      </c>
      <c r="J1376" s="2" t="s">
        <v>1602</v>
      </c>
      <c r="L1376" s="2" t="s">
        <v>202</v>
      </c>
      <c r="M1376" s="2" t="s">
        <v>41</v>
      </c>
      <c r="O1376" s="2" t="s">
        <v>1603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3237</v>
      </c>
      <c r="AA1376" s="2" t="s">
        <v>46</v>
      </c>
      <c r="AB1376" s="2" t="s">
        <v>61</v>
      </c>
      <c r="AC1376" s="2" t="s">
        <v>3343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x14ac:dyDescent="0.2">
      <c r="A1377" s="2">
        <v>2025</v>
      </c>
      <c r="B1377" s="2">
        <v>7</v>
      </c>
      <c r="D1377" s="2" t="s">
        <v>1600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1601</v>
      </c>
      <c r="J1377" s="2" t="s">
        <v>1602</v>
      </c>
      <c r="L1377" s="2" t="s">
        <v>202</v>
      </c>
      <c r="M1377" s="2" t="s">
        <v>41</v>
      </c>
      <c r="O1377" s="2" t="s">
        <v>1603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3237</v>
      </c>
      <c r="AA1377" s="2" t="s">
        <v>46</v>
      </c>
      <c r="AB1377" s="2" t="s">
        <v>61</v>
      </c>
      <c r="AC1377" s="2" t="s">
        <v>3343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x14ac:dyDescent="0.2">
      <c r="A1378" s="2">
        <v>2025</v>
      </c>
      <c r="B1378" s="2">
        <v>7</v>
      </c>
      <c r="D1378" s="2" t="s">
        <v>1604</v>
      </c>
      <c r="P1378" s="2" t="s">
        <v>73</v>
      </c>
      <c r="Q1378" s="2" t="s">
        <v>1605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3237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x14ac:dyDescent="0.2">
      <c r="A1379" s="2">
        <v>2025</v>
      </c>
      <c r="B1379" s="2">
        <v>7</v>
      </c>
      <c r="D1379" s="2" t="s">
        <v>1604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3237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x14ac:dyDescent="0.2">
      <c r="A1380" s="2">
        <v>2025</v>
      </c>
      <c r="B1380" s="2">
        <v>7</v>
      </c>
      <c r="D1380" s="2" t="s">
        <v>1606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x14ac:dyDescent="0.2">
      <c r="A1381" s="2">
        <v>2025</v>
      </c>
      <c r="B1381" s="2">
        <v>7</v>
      </c>
      <c r="D1381" s="2" t="s">
        <v>1606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1517</v>
      </c>
      <c r="R1382" s="2" t="s">
        <v>1518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3237</v>
      </c>
      <c r="AA1382" s="2" t="s">
        <v>72</v>
      </c>
      <c r="AB1382" s="2" t="s">
        <v>1607</v>
      </c>
      <c r="AC1382" s="2" t="s">
        <v>1607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3237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1072</v>
      </c>
      <c r="R1384" s="2" t="s">
        <v>1073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3237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1608</v>
      </c>
      <c r="P1385" s="2" t="s">
        <v>188</v>
      </c>
      <c r="Q1385" s="2" t="s">
        <v>1609</v>
      </c>
      <c r="R1385" s="2" t="s">
        <v>1610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1611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1608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1608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3237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1078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3237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1612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3237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3237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x14ac:dyDescent="0.2">
      <c r="A1393" s="2">
        <v>2025</v>
      </c>
      <c r="B1393" s="2">
        <v>7</v>
      </c>
      <c r="D1393" s="2" t="s">
        <v>1423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3237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x14ac:dyDescent="0.2">
      <c r="A1394" s="2">
        <v>2025</v>
      </c>
      <c r="B1394" s="2">
        <v>7</v>
      </c>
      <c r="D1394" s="2" t="s">
        <v>1423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3237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1613</v>
      </c>
      <c r="P1395" s="2" t="s">
        <v>115</v>
      </c>
      <c r="Q1395" s="2" t="s">
        <v>1082</v>
      </c>
      <c r="R1395" s="2" t="s">
        <v>1083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1614</v>
      </c>
      <c r="P1396" s="2" t="s">
        <v>1615</v>
      </c>
      <c r="Q1396" s="2" t="s">
        <v>1616</v>
      </c>
      <c r="R1396" s="2" t="s">
        <v>1617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1615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1618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3237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1614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1614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1618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3237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1614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3392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1619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3237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3237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x14ac:dyDescent="0.2">
      <c r="A1404" s="2">
        <v>2025</v>
      </c>
      <c r="B1404" s="2">
        <v>7</v>
      </c>
      <c r="D1404" s="2" t="s">
        <v>1620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1621</v>
      </c>
      <c r="J1404" s="2" t="s">
        <v>1622</v>
      </c>
      <c r="K1404" s="2">
        <v>917259016</v>
      </c>
      <c r="L1404" s="2" t="s">
        <v>100</v>
      </c>
      <c r="M1404" s="2" t="s">
        <v>41</v>
      </c>
      <c r="O1404" s="2" t="s">
        <v>1623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3237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x14ac:dyDescent="0.2">
      <c r="A1405" s="2">
        <v>2025</v>
      </c>
      <c r="B1405" s="2">
        <v>7</v>
      </c>
      <c r="D1405" s="2" t="s">
        <v>1620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1621</v>
      </c>
      <c r="J1405" s="2" t="s">
        <v>1622</v>
      </c>
      <c r="K1405" s="2">
        <v>917259016</v>
      </c>
      <c r="L1405" s="2" t="s">
        <v>100</v>
      </c>
      <c r="M1405" s="2" t="s">
        <v>41</v>
      </c>
      <c r="O1405" s="2" t="s">
        <v>1623</v>
      </c>
      <c r="P1405" s="2" t="s">
        <v>73</v>
      </c>
      <c r="Q1405" s="2" t="s">
        <v>1624</v>
      </c>
      <c r="R1405" s="2" t="s">
        <v>998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3237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x14ac:dyDescent="0.2">
      <c r="A1406" s="2">
        <v>2025</v>
      </c>
      <c r="B1406" s="2">
        <v>7</v>
      </c>
      <c r="D1406" s="2" t="s">
        <v>1620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1621</v>
      </c>
      <c r="J1406" s="2" t="s">
        <v>1622</v>
      </c>
      <c r="K1406" s="2">
        <v>917259016</v>
      </c>
      <c r="L1406" s="2" t="s">
        <v>100</v>
      </c>
      <c r="M1406" s="2" t="s">
        <v>41</v>
      </c>
      <c r="O1406" s="2" t="s">
        <v>1623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3237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1625</v>
      </c>
      <c r="P1407" s="2" t="s">
        <v>69</v>
      </c>
      <c r="Q1407" s="2" t="s">
        <v>1626</v>
      </c>
      <c r="R1407" s="2" t="s">
        <v>1627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1098</v>
      </c>
      <c r="AC1407" s="2" t="s">
        <v>3242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x14ac:dyDescent="0.2">
      <c r="A1408" s="2">
        <v>2025</v>
      </c>
      <c r="B1408" s="2">
        <v>7</v>
      </c>
      <c r="D1408" s="2" t="s">
        <v>1628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1517</v>
      </c>
      <c r="R1409" s="2" t="s">
        <v>1518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3237</v>
      </c>
      <c r="AA1409" s="2" t="s">
        <v>72</v>
      </c>
      <c r="AB1409" s="2" t="s">
        <v>1607</v>
      </c>
      <c r="AC1409" s="2" t="s">
        <v>1607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1367</v>
      </c>
      <c r="R1410" s="2" t="s">
        <v>1368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7"/>
        <v>0.62209302325581395</v>
      </c>
      <c r="Z1410" s="2" t="s">
        <v>3237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32.1</v>
      </c>
      <c r="AL1410" s="5">
        <f t="shared" si="164"/>
        <v>0.62209302325581395</v>
      </c>
    </row>
    <row r="1411" spans="1:38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3237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3237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3237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x14ac:dyDescent="0.2">
      <c r="A1414" s="2">
        <v>2025</v>
      </c>
      <c r="B1414" s="2">
        <v>7</v>
      </c>
      <c r="D1414" s="2" t="s">
        <v>1629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1630</v>
      </c>
      <c r="J1414" s="2" t="s">
        <v>1631</v>
      </c>
      <c r="L1414" s="2" t="s">
        <v>294</v>
      </c>
      <c r="M1414" s="2" t="s">
        <v>291</v>
      </c>
      <c r="O1414" s="2" t="s">
        <v>1632</v>
      </c>
      <c r="P1414" s="2" t="s">
        <v>283</v>
      </c>
      <c r="Q1414" s="2" t="s">
        <v>1633</v>
      </c>
      <c r="R1414" s="2" t="s">
        <v>1634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3237</v>
      </c>
      <c r="AA1414" s="2" t="s">
        <v>72</v>
      </c>
      <c r="AB1414" s="2" t="s">
        <v>1607</v>
      </c>
      <c r="AC1414" s="2" t="s">
        <v>1607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x14ac:dyDescent="0.2">
      <c r="A1415" s="2">
        <v>2025</v>
      </c>
      <c r="B1415" s="2">
        <v>7</v>
      </c>
      <c r="D1415" s="2" t="s">
        <v>1629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1630</v>
      </c>
      <c r="J1415" s="2" t="s">
        <v>1631</v>
      </c>
      <c r="L1415" s="2" t="s">
        <v>294</v>
      </c>
      <c r="M1415" s="2" t="s">
        <v>1175</v>
      </c>
      <c r="O1415" s="2" t="s">
        <v>1635</v>
      </c>
      <c r="P1415" s="2" t="s">
        <v>283</v>
      </c>
      <c r="Q1415" s="2" t="s">
        <v>1636</v>
      </c>
      <c r="R1415" s="2" t="s">
        <v>1637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3237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x14ac:dyDescent="0.2">
      <c r="A1416" s="2">
        <v>2025</v>
      </c>
      <c r="B1416" s="2">
        <v>7</v>
      </c>
      <c r="D1416" s="2" t="s">
        <v>1629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1630</v>
      </c>
      <c r="J1416" s="2" t="s">
        <v>1631</v>
      </c>
      <c r="L1416" s="2" t="s">
        <v>294</v>
      </c>
      <c r="M1416" s="2" t="s">
        <v>1175</v>
      </c>
      <c r="O1416" s="2" t="s">
        <v>1635</v>
      </c>
      <c r="P1416" s="2" t="s">
        <v>283</v>
      </c>
      <c r="Q1416" s="2" t="s">
        <v>1638</v>
      </c>
      <c r="R1416" s="2" t="s">
        <v>1639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3237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x14ac:dyDescent="0.2">
      <c r="A1417" s="2">
        <v>2025</v>
      </c>
      <c r="B1417" s="2">
        <v>7</v>
      </c>
      <c r="D1417" s="2" t="s">
        <v>1279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x14ac:dyDescent="0.2">
      <c r="A1418" s="2">
        <v>2025</v>
      </c>
      <c r="B1418" s="2">
        <v>7</v>
      </c>
      <c r="D1418" s="2" t="s">
        <v>1279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1095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3237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x14ac:dyDescent="0.2">
      <c r="A1420" s="2">
        <v>2025</v>
      </c>
      <c r="B1420" s="2">
        <v>7</v>
      </c>
      <c r="D1420" s="2" t="s">
        <v>1294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1640</v>
      </c>
      <c r="R1421" s="2" t="s">
        <v>1641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3237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3237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3237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3237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3237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3237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3237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7"/>
        <v>0.42342342342342337</v>
      </c>
      <c r="Z1429" s="2" t="s">
        <v>3237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18.799999999999997</v>
      </c>
      <c r="AL1429" s="5">
        <f t="shared" si="171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3237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3237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3237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3392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x14ac:dyDescent="0.2">
      <c r="A1436" s="2">
        <v>2025</v>
      </c>
      <c r="B1436" s="2">
        <v>7</v>
      </c>
      <c r="C1436" s="2" t="s">
        <v>3412</v>
      </c>
      <c r="D1436" s="2" t="s">
        <v>1642</v>
      </c>
      <c r="E1436" s="2" t="s">
        <v>2454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1643</v>
      </c>
      <c r="R1436" s="2" t="s">
        <v>1644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3237</v>
      </c>
      <c r="AA1436" s="2" t="s">
        <v>72</v>
      </c>
      <c r="AB1436" s="2" t="s">
        <v>1607</v>
      </c>
      <c r="AC1436" s="2" t="s">
        <v>1607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1645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3312</v>
      </c>
      <c r="O1438" s="2" t="s">
        <v>1646</v>
      </c>
      <c r="P1438" s="2" t="s">
        <v>283</v>
      </c>
      <c r="Q1438" s="2" t="s">
        <v>1647</v>
      </c>
      <c r="R1438" s="2" t="s">
        <v>1648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3237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3312</v>
      </c>
      <c r="O1439" s="2" t="s">
        <v>1649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3237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x14ac:dyDescent="0.2">
      <c r="A1440" s="2">
        <v>2025</v>
      </c>
      <c r="B1440" s="2">
        <v>7</v>
      </c>
      <c r="D1440" s="2" t="s">
        <v>1299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1300</v>
      </c>
      <c r="L1440" s="2" t="s">
        <v>340</v>
      </c>
      <c r="P1440" s="2" t="s">
        <v>73</v>
      </c>
      <c r="Q1440" s="2" t="s">
        <v>1452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3237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x14ac:dyDescent="0.2">
      <c r="A1441" s="2">
        <v>2025</v>
      </c>
      <c r="B1441" s="2">
        <v>7</v>
      </c>
      <c r="D1441" s="2" t="s">
        <v>1299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1300</v>
      </c>
      <c r="L1441" s="2" t="s">
        <v>340</v>
      </c>
      <c r="P1441" s="2" t="s">
        <v>73</v>
      </c>
      <c r="Q1441" s="2" t="s">
        <v>1453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3237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x14ac:dyDescent="0.2">
      <c r="A1442" s="2">
        <v>2025</v>
      </c>
      <c r="B1442" s="2">
        <v>7</v>
      </c>
      <c r="D1442" s="2" t="s">
        <v>1299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1300</v>
      </c>
      <c r="L1442" s="2" t="s">
        <v>340</v>
      </c>
      <c r="P1442" s="2" t="s">
        <v>73</v>
      </c>
      <c r="Q1442" s="2" t="s">
        <v>1650</v>
      </c>
      <c r="R1442" s="2" t="s">
        <v>998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3237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x14ac:dyDescent="0.2">
      <c r="A1443" s="2">
        <v>2025</v>
      </c>
      <c r="B1443" s="2">
        <v>7</v>
      </c>
      <c r="D1443" s="2" t="s">
        <v>1299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1300</v>
      </c>
      <c r="L1443" s="2" t="s">
        <v>340</v>
      </c>
      <c r="M1443" s="2" t="s">
        <v>81</v>
      </c>
      <c r="P1443" s="2" t="s">
        <v>1041</v>
      </c>
      <c r="Q1443" s="2" t="s">
        <v>1651</v>
      </c>
      <c r="R1443" s="2" t="s">
        <v>1652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3237</v>
      </c>
      <c r="AA1443" s="2" t="s">
        <v>76</v>
      </c>
      <c r="AB1443" s="2" t="s">
        <v>77</v>
      </c>
      <c r="AC1443" s="2" t="s">
        <v>1041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x14ac:dyDescent="0.2">
      <c r="A1444" s="2">
        <v>2025</v>
      </c>
      <c r="B1444" s="2">
        <v>7</v>
      </c>
      <c r="D1444" s="2" t="s">
        <v>1299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1300</v>
      </c>
      <c r="L1444" s="2" t="s">
        <v>340</v>
      </c>
      <c r="M1444" s="2" t="s">
        <v>81</v>
      </c>
      <c r="P1444" s="2" t="s">
        <v>1041</v>
      </c>
      <c r="Q1444" s="2" t="s">
        <v>1653</v>
      </c>
      <c r="R1444" s="2" t="s">
        <v>1654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3237</v>
      </c>
      <c r="AA1444" s="2" t="s">
        <v>76</v>
      </c>
      <c r="AB1444" s="2" t="s">
        <v>77</v>
      </c>
      <c r="AC1444" s="2" t="s">
        <v>1041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x14ac:dyDescent="0.2">
      <c r="A1445" s="2">
        <v>2025</v>
      </c>
      <c r="B1445" s="2">
        <v>7</v>
      </c>
      <c r="D1445" s="2" t="s">
        <v>1299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1300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x14ac:dyDescent="0.2">
      <c r="A1446" s="2">
        <v>2025</v>
      </c>
      <c r="B1446" s="2">
        <v>7</v>
      </c>
      <c r="D1446" s="2" t="s">
        <v>1299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1300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3237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3237</v>
      </c>
      <c r="AA1447" s="2" t="s">
        <v>46</v>
      </c>
      <c r="AB1447" s="2" t="s">
        <v>61</v>
      </c>
      <c r="AC1447" s="2" t="s">
        <v>3343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3237</v>
      </c>
      <c r="AA1448" s="2" t="s">
        <v>46</v>
      </c>
      <c r="AB1448" s="2" t="s">
        <v>61</v>
      </c>
      <c r="AC1448" s="2" t="s">
        <v>3343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3237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x14ac:dyDescent="0.2">
      <c r="A1450" s="2">
        <v>2025</v>
      </c>
      <c r="B1450" s="2">
        <v>7</v>
      </c>
      <c r="D1450" s="2" t="s">
        <v>1116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1117</v>
      </c>
      <c r="J1450" s="2" t="s">
        <v>1118</v>
      </c>
      <c r="K1450" s="2">
        <v>914550474</v>
      </c>
      <c r="L1450" s="2" t="s">
        <v>100</v>
      </c>
      <c r="M1450" s="2" t="s">
        <v>40</v>
      </c>
      <c r="O1450" s="2" t="s">
        <v>1655</v>
      </c>
      <c r="P1450" s="2" t="s">
        <v>115</v>
      </c>
      <c r="Q1450" s="2" t="s">
        <v>1656</v>
      </c>
      <c r="R1450" s="2" t="s">
        <v>1657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x14ac:dyDescent="0.2">
      <c r="A1453" s="2">
        <v>2025</v>
      </c>
      <c r="B1453" s="2">
        <v>7</v>
      </c>
      <c r="D1453" s="2" t="s">
        <v>1658</v>
      </c>
      <c r="E1453" s="2" t="s">
        <v>38</v>
      </c>
      <c r="F1453" s="2" t="s">
        <v>39</v>
      </c>
      <c r="H1453" s="2" t="s">
        <v>41</v>
      </c>
      <c r="I1453" s="2" t="s">
        <v>1659</v>
      </c>
      <c r="J1453" s="2" t="s">
        <v>1660</v>
      </c>
      <c r="L1453" s="2" t="s">
        <v>113</v>
      </c>
      <c r="M1453" s="2" t="s">
        <v>40</v>
      </c>
      <c r="O1453" s="2" t="s">
        <v>1661</v>
      </c>
      <c r="P1453" s="2" t="s">
        <v>115</v>
      </c>
      <c r="Q1453" s="2" t="s">
        <v>1662</v>
      </c>
      <c r="R1453" s="2" t="s">
        <v>1663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x14ac:dyDescent="0.2">
      <c r="A1454" s="2">
        <v>2025</v>
      </c>
      <c r="B1454" s="2">
        <v>7</v>
      </c>
      <c r="D1454" s="2" t="s">
        <v>1658</v>
      </c>
      <c r="E1454" s="2" t="s">
        <v>38</v>
      </c>
      <c r="F1454" s="2" t="s">
        <v>39</v>
      </c>
      <c r="H1454" s="2" t="s">
        <v>41</v>
      </c>
      <c r="I1454" s="2" t="s">
        <v>1659</v>
      </c>
      <c r="J1454" s="2" t="s">
        <v>1660</v>
      </c>
      <c r="L1454" s="2" t="s">
        <v>113</v>
      </c>
      <c r="M1454" s="2" t="s">
        <v>40</v>
      </c>
      <c r="O1454" s="2" t="s">
        <v>1661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x14ac:dyDescent="0.2">
      <c r="A1455" s="2">
        <v>2025</v>
      </c>
      <c r="B1455" s="2">
        <v>7</v>
      </c>
      <c r="D1455" s="2" t="s">
        <v>1658</v>
      </c>
      <c r="E1455" s="2" t="s">
        <v>38</v>
      </c>
      <c r="F1455" s="2" t="s">
        <v>39</v>
      </c>
      <c r="H1455" s="2" t="s">
        <v>41</v>
      </c>
      <c r="I1455" s="2" t="s">
        <v>1659</v>
      </c>
      <c r="J1455" s="2" t="s">
        <v>1660</v>
      </c>
      <c r="L1455" s="2" t="s">
        <v>113</v>
      </c>
      <c r="M1455" s="2" t="s">
        <v>40</v>
      </c>
      <c r="O1455" s="2" t="s">
        <v>1661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x14ac:dyDescent="0.2">
      <c r="A1456" s="2">
        <v>2025</v>
      </c>
      <c r="B1456" s="2">
        <v>7</v>
      </c>
      <c r="D1456" s="2" t="s">
        <v>1306</v>
      </c>
      <c r="P1456" s="2" t="s">
        <v>1197</v>
      </c>
      <c r="Q1456" s="2" t="s">
        <v>1089</v>
      </c>
      <c r="R1456" s="2" t="s">
        <v>1090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1202</v>
      </c>
      <c r="AB1456" s="2" t="s">
        <v>120</v>
      </c>
      <c r="AC1456" s="2" t="s">
        <v>1197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x14ac:dyDescent="0.2">
      <c r="A1457" s="2">
        <v>2025</v>
      </c>
      <c r="B1457" s="2">
        <v>7</v>
      </c>
      <c r="D1457" s="2" t="s">
        <v>1664</v>
      </c>
      <c r="P1457" s="2" t="s">
        <v>283</v>
      </c>
      <c r="Q1457" s="2" t="s">
        <v>1517</v>
      </c>
      <c r="R1457" s="2" t="s">
        <v>1518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3237</v>
      </c>
      <c r="AA1457" s="2" t="s">
        <v>72</v>
      </c>
      <c r="AB1457" s="2" t="s">
        <v>1607</v>
      </c>
      <c r="AC1457" s="2" t="s">
        <v>1607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x14ac:dyDescent="0.2">
      <c r="A1458" s="2">
        <v>2025</v>
      </c>
      <c r="B1458" s="2">
        <v>7</v>
      </c>
      <c r="D1458" s="2" t="s">
        <v>1665</v>
      </c>
      <c r="P1458" s="2" t="s">
        <v>283</v>
      </c>
      <c r="Q1458" s="2" t="s">
        <v>1595</v>
      </c>
      <c r="R1458" s="2" t="s">
        <v>1596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3237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x14ac:dyDescent="0.2">
      <c r="A1459" s="2">
        <v>2025</v>
      </c>
      <c r="B1459" s="2">
        <v>7</v>
      </c>
      <c r="D1459" s="2" t="s">
        <v>1665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x14ac:dyDescent="0.2">
      <c r="A1460" s="2">
        <v>2025</v>
      </c>
      <c r="B1460" s="2">
        <v>7</v>
      </c>
      <c r="D1460" s="2" t="s">
        <v>1666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x14ac:dyDescent="0.2">
      <c r="A1461" s="2">
        <v>2025</v>
      </c>
      <c r="B1461" s="2">
        <v>7</v>
      </c>
      <c r="D1461" s="2" t="s">
        <v>1666</v>
      </c>
      <c r="P1461" s="2" t="s">
        <v>115</v>
      </c>
      <c r="Q1461" s="2" t="s">
        <v>1336</v>
      </c>
      <c r="R1461" s="2" t="s">
        <v>1337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x14ac:dyDescent="0.2">
      <c r="A1462" s="2">
        <v>2025</v>
      </c>
      <c r="B1462" s="2">
        <v>7</v>
      </c>
      <c r="D1462" s="2" t="s">
        <v>1667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3392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3237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x14ac:dyDescent="0.2">
      <c r="A1464" s="2">
        <v>2025</v>
      </c>
      <c r="B1464" s="2">
        <v>7</v>
      </c>
      <c r="D1464" s="2" t="s">
        <v>1123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3256</v>
      </c>
      <c r="J1464" s="2" t="s">
        <v>3257</v>
      </c>
      <c r="K1464" s="2">
        <v>96179412</v>
      </c>
      <c r="L1464" s="2" t="s">
        <v>462</v>
      </c>
      <c r="M1464" s="2" t="s">
        <v>40</v>
      </c>
      <c r="O1464" s="2" t="s">
        <v>3264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x14ac:dyDescent="0.2">
      <c r="A1465" s="2">
        <v>2025</v>
      </c>
      <c r="B1465" s="2">
        <v>7</v>
      </c>
      <c r="D1465" s="2" t="s">
        <v>1123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3256</v>
      </c>
      <c r="J1465" s="2" t="s">
        <v>3257</v>
      </c>
      <c r="K1465" s="2">
        <v>96179412</v>
      </c>
      <c r="L1465" s="2" t="s">
        <v>462</v>
      </c>
      <c r="M1465" s="2" t="s">
        <v>40</v>
      </c>
      <c r="O1465" s="2" t="s">
        <v>3264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x14ac:dyDescent="0.2">
      <c r="A1466" s="2">
        <v>2025</v>
      </c>
      <c r="B1466" s="2">
        <v>7</v>
      </c>
      <c r="D1466" s="2" t="s">
        <v>1123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3256</v>
      </c>
      <c r="J1466" s="2" t="s">
        <v>3257</v>
      </c>
      <c r="K1466" s="2">
        <v>96179412</v>
      </c>
      <c r="L1466" s="2" t="s">
        <v>462</v>
      </c>
      <c r="M1466" s="2" t="s">
        <v>40</v>
      </c>
      <c r="O1466" s="2" t="s">
        <v>3264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3237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3237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x14ac:dyDescent="0.2">
      <c r="A1469" s="2">
        <v>2025</v>
      </c>
      <c r="B1469" s="2">
        <v>7</v>
      </c>
      <c r="D1469" s="2" t="s">
        <v>1668</v>
      </c>
      <c r="P1469" s="2" t="s">
        <v>283</v>
      </c>
      <c r="Q1469" s="2" t="s">
        <v>1669</v>
      </c>
      <c r="R1469" s="2" t="s">
        <v>1670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2649</v>
      </c>
      <c r="AC1469" s="2" t="s">
        <v>1331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x14ac:dyDescent="0.2">
      <c r="A1470" s="2">
        <v>2025</v>
      </c>
      <c r="B1470" s="2">
        <v>7</v>
      </c>
      <c r="D1470" s="2" t="s">
        <v>1668</v>
      </c>
      <c r="P1470" s="2" t="s">
        <v>283</v>
      </c>
      <c r="Q1470" s="2" t="s">
        <v>1671</v>
      </c>
      <c r="R1470" s="2" t="s">
        <v>1672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2649</v>
      </c>
      <c r="AC1470" s="2" t="s">
        <v>1331</v>
      </c>
      <c r="AF1470" s="2">
        <f t="shared" si="168"/>
        <v>0</v>
      </c>
      <c r="AJ1470" s="2">
        <f t="shared" si="169"/>
        <v>0</v>
      </c>
    </row>
    <row r="1471" spans="1:38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x14ac:dyDescent="0.2">
      <c r="A1474" s="2">
        <v>2025</v>
      </c>
      <c r="B1474" s="2">
        <v>6</v>
      </c>
      <c r="D1474" s="2" t="s">
        <v>1673</v>
      </c>
      <c r="P1474" s="2" t="s">
        <v>283</v>
      </c>
      <c r="Q1474" s="2" t="s">
        <v>1440</v>
      </c>
      <c r="R1474" s="2" t="s">
        <v>1441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3237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3237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3237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3237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x14ac:dyDescent="0.2">
      <c r="A1478" s="2">
        <v>2025</v>
      </c>
      <c r="B1478" s="2">
        <v>6</v>
      </c>
      <c r="D1478" s="2" t="s">
        <v>1673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3237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1041</v>
      </c>
      <c r="Q1479" s="2" t="s">
        <v>1674</v>
      </c>
      <c r="R1479" s="2" t="s">
        <v>1675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3237</v>
      </c>
      <c r="AA1479" s="2" t="s">
        <v>76</v>
      </c>
      <c r="AB1479" s="2" t="s">
        <v>77</v>
      </c>
      <c r="AC1479" s="2" t="s">
        <v>1041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1041</v>
      </c>
      <c r="Q1480" s="2" t="s">
        <v>1676</v>
      </c>
      <c r="R1480" s="2" t="s">
        <v>1677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3237</v>
      </c>
      <c r="AA1480" s="2" t="s">
        <v>1044</v>
      </c>
      <c r="AB1480" s="2" t="s">
        <v>1045</v>
      </c>
      <c r="AC1480" s="2" t="s">
        <v>1041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1041</v>
      </c>
      <c r="Q1481" s="2" t="s">
        <v>1678</v>
      </c>
      <c r="R1481" s="2" t="s">
        <v>1679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3237</v>
      </c>
      <c r="AA1481" s="2" t="s">
        <v>1044</v>
      </c>
      <c r="AB1481" s="2" t="s">
        <v>1045</v>
      </c>
      <c r="AC1481" s="2" t="s">
        <v>1041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x14ac:dyDescent="0.2">
      <c r="A1482" s="2">
        <v>2025</v>
      </c>
      <c r="B1482" s="2">
        <v>6</v>
      </c>
      <c r="D1482" s="2" t="s">
        <v>1673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x14ac:dyDescent="0.2">
      <c r="A1483" s="2">
        <v>2025</v>
      </c>
      <c r="B1483" s="2">
        <v>6</v>
      </c>
      <c r="D1483" s="2" t="s">
        <v>1673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3237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1680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3237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1680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3237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1680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3237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1680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5"/>
        <v>0.54166666666666663</v>
      </c>
      <c r="Z1487" s="2" t="s">
        <v>3237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13</v>
      </c>
      <c r="AL1487" s="5">
        <f t="shared" si="171"/>
        <v>0.54166666666666663</v>
      </c>
    </row>
    <row r="1488" spans="1:38" x14ac:dyDescent="0.2">
      <c r="A1488" s="2">
        <v>2025</v>
      </c>
      <c r="B1488" s="2">
        <v>6</v>
      </c>
      <c r="D1488" s="2" t="s">
        <v>1461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1461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1479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3237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1479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3237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1479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3237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x14ac:dyDescent="0.2">
      <c r="A1493" s="2">
        <v>2025</v>
      </c>
      <c r="B1493" s="2">
        <v>6</v>
      </c>
      <c r="D1493" s="2" t="s">
        <v>1681</v>
      </c>
      <c r="P1493" s="2" t="s">
        <v>115</v>
      </c>
      <c r="Q1493" s="2" t="s">
        <v>1254</v>
      </c>
      <c r="R1493" s="2" t="s">
        <v>1255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x14ac:dyDescent="0.2">
      <c r="A1494" s="2">
        <v>2025</v>
      </c>
      <c r="B1494" s="2">
        <v>6</v>
      </c>
      <c r="D1494" s="2" t="s">
        <v>1681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1682</v>
      </c>
      <c r="P1495" s="2" t="s">
        <v>115</v>
      </c>
      <c r="Q1495" s="2" t="s">
        <v>1387</v>
      </c>
      <c r="R1495" s="2" t="s">
        <v>1388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1683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1157</v>
      </c>
      <c r="R1498" s="2" t="s">
        <v>1158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1581</v>
      </c>
      <c r="AB1498" s="2" t="s">
        <v>389</v>
      </c>
      <c r="AC1498" s="2" t="s">
        <v>1331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x14ac:dyDescent="0.2">
      <c r="A1499" s="2">
        <v>2025</v>
      </c>
      <c r="B1499" s="2">
        <v>6</v>
      </c>
      <c r="D1499" s="2" t="s">
        <v>1335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3392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x14ac:dyDescent="0.2">
      <c r="A1500" s="2">
        <v>2025</v>
      </c>
      <c r="B1500" s="2">
        <v>6</v>
      </c>
      <c r="D1500" s="2" t="s">
        <v>1488</v>
      </c>
      <c r="P1500" s="2" t="s">
        <v>1197</v>
      </c>
      <c r="Q1500" s="2" t="s">
        <v>1087</v>
      </c>
      <c r="R1500" s="2" t="s">
        <v>1088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1202</v>
      </c>
      <c r="AB1500" s="2" t="s">
        <v>120</v>
      </c>
      <c r="AC1500" s="2" t="s">
        <v>1197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x14ac:dyDescent="0.2">
      <c r="A1501" s="2">
        <v>2025</v>
      </c>
      <c r="B1501" s="2">
        <v>6</v>
      </c>
      <c r="D1501" s="2" t="s">
        <v>1488</v>
      </c>
      <c r="P1501" s="2" t="s">
        <v>1197</v>
      </c>
      <c r="Q1501" s="2" t="s">
        <v>1089</v>
      </c>
      <c r="R1501" s="2" t="s">
        <v>1090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1202</v>
      </c>
      <c r="AB1501" s="2" t="s">
        <v>120</v>
      </c>
      <c r="AC1501" s="2" t="s">
        <v>1197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C1502" s="2" t="s">
        <v>3434</v>
      </c>
      <c r="D1502" s="2" t="s">
        <v>3433</v>
      </c>
      <c r="E1502" s="2" t="s">
        <v>754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711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x14ac:dyDescent="0.2">
      <c r="A1503" s="2">
        <v>2025</v>
      </c>
      <c r="B1503" s="2">
        <v>6</v>
      </c>
      <c r="C1503" s="2" t="s">
        <v>3434</v>
      </c>
      <c r="D1503" s="2" t="s">
        <v>3433</v>
      </c>
      <c r="E1503" s="2" t="s">
        <v>754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x14ac:dyDescent="0.2">
      <c r="A1504" s="2">
        <v>2025</v>
      </c>
      <c r="B1504" s="2">
        <v>6</v>
      </c>
      <c r="C1504" s="2" t="s">
        <v>3434</v>
      </c>
      <c r="D1504" s="2" t="s">
        <v>3433</v>
      </c>
      <c r="E1504" s="2" t="s">
        <v>754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2516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x14ac:dyDescent="0.2">
      <c r="A1505" s="2">
        <v>2025</v>
      </c>
      <c r="B1505" s="2">
        <v>6</v>
      </c>
      <c r="C1505" s="2" t="s">
        <v>3434</v>
      </c>
      <c r="D1505" s="2" t="s">
        <v>3433</v>
      </c>
      <c r="E1505" s="2" t="s">
        <v>754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x14ac:dyDescent="0.2">
      <c r="A1506" s="2">
        <v>2025</v>
      </c>
      <c r="B1506" s="2">
        <v>6</v>
      </c>
      <c r="C1506" s="2" t="s">
        <v>3434</v>
      </c>
      <c r="D1506" s="2" t="s">
        <v>3433</v>
      </c>
      <c r="E1506" s="2" t="s">
        <v>754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1684</v>
      </c>
      <c r="R1506" s="2" t="s">
        <v>1685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3179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1686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1687</v>
      </c>
      <c r="P1508" s="2" t="s">
        <v>283</v>
      </c>
      <c r="Q1508" s="2" t="s">
        <v>1595</v>
      </c>
      <c r="R1508" s="2" t="s">
        <v>1596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3237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x14ac:dyDescent="0.2">
      <c r="A1509" s="2">
        <v>2025</v>
      </c>
      <c r="B1509" s="2">
        <v>6</v>
      </c>
      <c r="C1509" s="2" t="s">
        <v>3335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1688</v>
      </c>
      <c r="R1510" s="2" t="s">
        <v>1689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1690</v>
      </c>
      <c r="P1514" s="2" t="s">
        <v>43</v>
      </c>
      <c r="Q1514" s="2" t="s">
        <v>972</v>
      </c>
      <c r="R1514" s="2" t="s">
        <v>973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3237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1690</v>
      </c>
      <c r="P1515" s="2" t="s">
        <v>43</v>
      </c>
      <c r="Q1515" s="2" t="s">
        <v>974</v>
      </c>
      <c r="R1515" s="2" t="s">
        <v>975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3237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1691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3237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1691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3237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x14ac:dyDescent="0.2">
      <c r="A1518" s="2">
        <v>2025</v>
      </c>
      <c r="B1518" s="2">
        <v>6</v>
      </c>
      <c r="D1518" s="2" t="s">
        <v>1692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x14ac:dyDescent="0.2">
      <c r="A1519" s="2">
        <v>2025</v>
      </c>
      <c r="B1519" s="2">
        <v>6</v>
      </c>
      <c r="D1519" s="2" t="s">
        <v>1692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x14ac:dyDescent="0.2">
      <c r="A1520" s="2">
        <v>2025</v>
      </c>
      <c r="B1520" s="2">
        <v>6</v>
      </c>
      <c r="D1520" s="2" t="s">
        <v>1692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3392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x14ac:dyDescent="0.2">
      <c r="A1521" s="2">
        <v>2025</v>
      </c>
      <c r="B1521" s="2">
        <v>6</v>
      </c>
      <c r="D1521" s="2" t="s">
        <v>1693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3237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x14ac:dyDescent="0.2">
      <c r="A1522" s="2">
        <v>2025</v>
      </c>
      <c r="B1522" s="2">
        <v>6</v>
      </c>
      <c r="D1522" s="2" t="s">
        <v>1693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3237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x14ac:dyDescent="0.2">
      <c r="A1523" s="2">
        <v>2025</v>
      </c>
      <c r="B1523" s="2">
        <v>6</v>
      </c>
      <c r="D1523" s="2" t="s">
        <v>1354</v>
      </c>
      <c r="P1523" s="2" t="s">
        <v>283</v>
      </c>
      <c r="Q1523" s="2" t="s">
        <v>1694</v>
      </c>
      <c r="R1523" s="2" t="s">
        <v>1695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3237</v>
      </c>
      <c r="AA1523" s="2" t="s">
        <v>72</v>
      </c>
      <c r="AB1523" s="2" t="s">
        <v>1607</v>
      </c>
      <c r="AC1523" s="2" t="s">
        <v>1607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x14ac:dyDescent="0.2">
      <c r="A1524" s="2">
        <v>2025</v>
      </c>
      <c r="B1524" s="2">
        <v>6</v>
      </c>
      <c r="D1524" s="2" t="s">
        <v>984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985</v>
      </c>
      <c r="J1524" s="2" t="s">
        <v>986</v>
      </c>
      <c r="L1524" s="2" t="s">
        <v>294</v>
      </c>
      <c r="M1524" s="2" t="s">
        <v>81</v>
      </c>
      <c r="O1524" s="2" t="s">
        <v>1696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3237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x14ac:dyDescent="0.2">
      <c r="A1525" s="2">
        <v>2025</v>
      </c>
      <c r="B1525" s="2">
        <v>6</v>
      </c>
      <c r="D1525" s="2" t="s">
        <v>984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985</v>
      </c>
      <c r="J1525" s="2" t="s">
        <v>986</v>
      </c>
      <c r="L1525" s="2" t="s">
        <v>294</v>
      </c>
      <c r="M1525" s="2" t="s">
        <v>81</v>
      </c>
      <c r="O1525" s="2" t="s">
        <v>1696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3237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1697</v>
      </c>
      <c r="R1526" s="2" t="s">
        <v>1698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x14ac:dyDescent="0.2">
      <c r="A1529" s="2">
        <v>2025</v>
      </c>
      <c r="B1529" s="2">
        <v>6</v>
      </c>
      <c r="C1529" s="2" t="s">
        <v>3335</v>
      </c>
      <c r="D1529" s="2" t="s">
        <v>1359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1360</v>
      </c>
      <c r="L1529" s="2" t="s">
        <v>419</v>
      </c>
      <c r="M1529" s="2" t="s">
        <v>41</v>
      </c>
      <c r="P1529" s="2" t="s">
        <v>283</v>
      </c>
      <c r="Q1529" s="2" t="s">
        <v>1699</v>
      </c>
      <c r="R1529" s="2" t="s">
        <v>1700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3237</v>
      </c>
      <c r="AA1529" s="2" t="s">
        <v>1581</v>
      </c>
      <c r="AB1529" s="2" t="s">
        <v>389</v>
      </c>
      <c r="AC1529" s="2" t="s">
        <v>1331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x14ac:dyDescent="0.2">
      <c r="A1530" s="2">
        <v>2025</v>
      </c>
      <c r="B1530" s="2">
        <v>6</v>
      </c>
      <c r="D1530" s="2" t="s">
        <v>1701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1702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1702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x14ac:dyDescent="0.2">
      <c r="A1536" s="2">
        <v>2025</v>
      </c>
      <c r="B1536" s="2">
        <v>6</v>
      </c>
      <c r="D1536" s="2" t="s">
        <v>1703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1704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3237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1704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3237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x14ac:dyDescent="0.2">
      <c r="A1539" s="2">
        <v>2025</v>
      </c>
      <c r="B1539" s="2">
        <v>6</v>
      </c>
      <c r="C1539" s="2" t="s">
        <v>3405</v>
      </c>
      <c r="D1539" s="2" t="s">
        <v>3419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1705</v>
      </c>
      <c r="P1539" s="2" t="s">
        <v>115</v>
      </c>
      <c r="Q1539" s="2" t="s">
        <v>1706</v>
      </c>
      <c r="R1539" s="2" t="s">
        <v>1707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x14ac:dyDescent="0.2">
      <c r="A1540" s="2">
        <v>2025</v>
      </c>
      <c r="B1540" s="2">
        <v>6</v>
      </c>
      <c r="C1540" s="2" t="s">
        <v>3405</v>
      </c>
      <c r="D1540" s="2" t="s">
        <v>3419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1705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x14ac:dyDescent="0.2">
      <c r="A1541" s="2">
        <v>2025</v>
      </c>
      <c r="B1541" s="2">
        <v>6</v>
      </c>
      <c r="C1541" s="2" t="s">
        <v>3405</v>
      </c>
      <c r="D1541" s="2" t="s">
        <v>3419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1705</v>
      </c>
      <c r="P1541" s="2" t="s">
        <v>283</v>
      </c>
      <c r="Q1541" s="2" t="s">
        <v>1708</v>
      </c>
      <c r="R1541" s="2" t="s">
        <v>1709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3237</v>
      </c>
      <c r="AA1541" s="2" t="s">
        <v>72</v>
      </c>
      <c r="AB1541" s="2" t="s">
        <v>1607</v>
      </c>
      <c r="AC1541" s="2" t="s">
        <v>1607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x14ac:dyDescent="0.2">
      <c r="A1542" s="2">
        <v>2025</v>
      </c>
      <c r="B1542" s="2">
        <v>6</v>
      </c>
      <c r="C1542" s="2" t="s">
        <v>3405</v>
      </c>
      <c r="D1542" s="2" t="s">
        <v>3419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1705</v>
      </c>
      <c r="P1542" s="2" t="s">
        <v>283</v>
      </c>
      <c r="Q1542" s="2" t="s">
        <v>1710</v>
      </c>
      <c r="R1542" s="2" t="s">
        <v>1711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3237</v>
      </c>
      <c r="AA1542" s="2" t="s">
        <v>72</v>
      </c>
      <c r="AB1542" s="2" t="s">
        <v>1607</v>
      </c>
      <c r="AC1542" s="2" t="s">
        <v>1607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x14ac:dyDescent="0.2">
      <c r="A1543" s="2">
        <v>2025</v>
      </c>
      <c r="B1543" s="2">
        <v>6</v>
      </c>
      <c r="C1543" s="2" t="s">
        <v>3405</v>
      </c>
      <c r="D1543" s="2" t="s">
        <v>3419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1705</v>
      </c>
      <c r="P1543" s="2" t="s">
        <v>102</v>
      </c>
      <c r="Q1543" s="2" t="s">
        <v>1712</v>
      </c>
      <c r="R1543" s="2" t="s">
        <v>1713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3179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x14ac:dyDescent="0.2">
      <c r="A1544" s="2">
        <v>2025</v>
      </c>
      <c r="B1544" s="2">
        <v>6</v>
      </c>
      <c r="C1544" s="2" t="s">
        <v>3405</v>
      </c>
      <c r="D1544" s="2" t="s">
        <v>3419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1705</v>
      </c>
      <c r="P1544" s="2" t="s">
        <v>102</v>
      </c>
      <c r="Q1544" s="2" t="s">
        <v>1096</v>
      </c>
      <c r="R1544" s="2" t="s">
        <v>1097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1098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x14ac:dyDescent="0.2">
      <c r="A1545" s="2">
        <v>2025</v>
      </c>
      <c r="B1545" s="2">
        <v>6</v>
      </c>
      <c r="D1545" s="2" t="s">
        <v>1018</v>
      </c>
      <c r="L1545" s="2" t="s">
        <v>100</v>
      </c>
      <c r="M1545" s="2" t="s">
        <v>81</v>
      </c>
      <c r="P1545" s="2" t="s">
        <v>283</v>
      </c>
      <c r="Q1545" s="2" t="s">
        <v>1240</v>
      </c>
      <c r="R1545" s="2" t="s">
        <v>1241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3237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x14ac:dyDescent="0.2">
      <c r="A1546" s="2">
        <v>2025</v>
      </c>
      <c r="B1546" s="2">
        <v>6</v>
      </c>
      <c r="D1546" s="2" t="s">
        <v>1560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1561</v>
      </c>
      <c r="J1546" s="2" t="s">
        <v>1562</v>
      </c>
      <c r="L1546" s="2" t="s">
        <v>100</v>
      </c>
      <c r="P1546" s="2" t="s">
        <v>115</v>
      </c>
      <c r="Q1546" s="2" t="s">
        <v>1714</v>
      </c>
      <c r="R1546" s="2" t="s">
        <v>1715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x14ac:dyDescent="0.2">
      <c r="A1547" s="2">
        <v>2025</v>
      </c>
      <c r="B1547" s="2">
        <v>6</v>
      </c>
      <c r="D1547" s="2" t="s">
        <v>1560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1561</v>
      </c>
      <c r="J1547" s="2" t="s">
        <v>1562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3237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x14ac:dyDescent="0.2">
      <c r="A1548" s="2">
        <v>2025</v>
      </c>
      <c r="B1548" s="2">
        <v>6</v>
      </c>
      <c r="D1548" s="2" t="s">
        <v>1560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1561</v>
      </c>
      <c r="J1548" s="2" t="s">
        <v>1562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x14ac:dyDescent="0.2">
      <c r="A1549" s="2">
        <v>2025</v>
      </c>
      <c r="B1549" s="2">
        <v>6</v>
      </c>
      <c r="D1549" s="2" t="s">
        <v>1560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1561</v>
      </c>
      <c r="J1549" s="2" t="s">
        <v>1562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x14ac:dyDescent="0.2">
      <c r="A1551" s="2">
        <v>2025</v>
      </c>
      <c r="B1551" s="2">
        <v>6</v>
      </c>
      <c r="D1551" s="2" t="s">
        <v>1381</v>
      </c>
      <c r="M1551" s="2" t="s">
        <v>81</v>
      </c>
      <c r="O1551" s="2" t="s">
        <v>3211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3237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x14ac:dyDescent="0.2">
      <c r="A1552" s="2">
        <v>2025</v>
      </c>
      <c r="B1552" s="2">
        <v>6</v>
      </c>
      <c r="D1552" s="2" t="s">
        <v>1381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3237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1025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3237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3237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x14ac:dyDescent="0.2">
      <c r="A1561" s="2">
        <v>2025</v>
      </c>
      <c r="B1561" s="2">
        <v>6</v>
      </c>
      <c r="D1561" s="2" t="s">
        <v>1572</v>
      </c>
      <c r="P1561" s="2" t="s">
        <v>283</v>
      </c>
      <c r="Q1561" s="2" t="s">
        <v>1440</v>
      </c>
      <c r="R1561" s="2" t="s">
        <v>1441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3237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x14ac:dyDescent="0.2">
      <c r="A1562" s="2">
        <v>2025</v>
      </c>
      <c r="B1562" s="2">
        <v>6</v>
      </c>
      <c r="D1562" s="2" t="s">
        <v>1572</v>
      </c>
      <c r="P1562" s="2" t="s">
        <v>283</v>
      </c>
      <c r="Q1562" s="2" t="s">
        <v>1595</v>
      </c>
      <c r="R1562" s="2" t="s">
        <v>1596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3237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1716</v>
      </c>
      <c r="J1563" s="2" t="s">
        <v>1717</v>
      </c>
      <c r="L1563" s="2" t="s">
        <v>340</v>
      </c>
      <c r="M1563" s="2" t="s">
        <v>40</v>
      </c>
      <c r="O1563" s="2" t="s">
        <v>1718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991</v>
      </c>
      <c r="R1564" s="2" t="s">
        <v>992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x14ac:dyDescent="0.2">
      <c r="A1567" s="2">
        <v>2025</v>
      </c>
      <c r="B1567" s="2">
        <v>6</v>
      </c>
      <c r="D1567" s="2" t="s">
        <v>1251</v>
      </c>
      <c r="P1567" s="2" t="s">
        <v>73</v>
      </c>
      <c r="Q1567" s="2" t="s">
        <v>1252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3237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D1568" s="2" t="s">
        <v>1251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3237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711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9"/>
        <v>1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1600</v>
      </c>
      <c r="AL1569" s="5">
        <f t="shared" si="185"/>
        <v>1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958</v>
      </c>
      <c r="R1571" s="2" t="s">
        <v>959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960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1197</v>
      </c>
      <c r="Q1573" s="2" t="s">
        <v>1719</v>
      </c>
      <c r="R1573" s="2" t="s">
        <v>1720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1202</v>
      </c>
      <c r="AB1573" s="2" t="s">
        <v>120</v>
      </c>
      <c r="AC1573" s="2" t="s">
        <v>1197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1197</v>
      </c>
      <c r="Q1574" s="2" t="s">
        <v>1200</v>
      </c>
      <c r="R1574" s="2" t="s">
        <v>1201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1202</v>
      </c>
      <c r="AB1574" s="2" t="s">
        <v>120</v>
      </c>
      <c r="AC1574" s="2" t="s">
        <v>1197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1721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3237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x14ac:dyDescent="0.2">
      <c r="A1578" s="2">
        <v>2025</v>
      </c>
      <c r="B1578" s="2">
        <v>6</v>
      </c>
      <c r="D1578" s="2" t="s">
        <v>1722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x14ac:dyDescent="0.2">
      <c r="A1579" s="2">
        <v>2025</v>
      </c>
      <c r="B1579" s="2">
        <v>6</v>
      </c>
      <c r="D1579" s="2" t="s">
        <v>1722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1440</v>
      </c>
      <c r="R1580" s="2" t="s">
        <v>1441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3237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x14ac:dyDescent="0.2">
      <c r="A1582" s="2">
        <v>2025</v>
      </c>
      <c r="B1582" s="2">
        <v>6</v>
      </c>
      <c r="D1582" s="2" t="s">
        <v>1723</v>
      </c>
      <c r="P1582" s="2" t="s">
        <v>115</v>
      </c>
      <c r="Q1582" s="2" t="s">
        <v>1254</v>
      </c>
      <c r="R1582" s="2" t="s">
        <v>1255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1724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1725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3237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1725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3237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3143</v>
      </c>
      <c r="L1589" s="2" t="s">
        <v>178</v>
      </c>
      <c r="M1589" s="2" t="s">
        <v>41</v>
      </c>
      <c r="O1589" s="2" t="s">
        <v>3146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3237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711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0</v>
      </c>
      <c r="AL1590" s="5" t="e">
        <f t="shared" si="185"/>
        <v>#DIV/0!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x14ac:dyDescent="0.2">
      <c r="A1592" s="2">
        <v>2025</v>
      </c>
      <c r="B1592" s="2">
        <v>6</v>
      </c>
      <c r="D1592" s="2" t="s">
        <v>1597</v>
      </c>
      <c r="P1592" s="2" t="s">
        <v>115</v>
      </c>
      <c r="Q1592" s="2" t="s">
        <v>1567</v>
      </c>
      <c r="R1592" s="2" t="s">
        <v>1568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x14ac:dyDescent="0.2">
      <c r="A1593" s="2">
        <v>2025</v>
      </c>
      <c r="B1593" s="2">
        <v>6</v>
      </c>
      <c r="D1593" s="2" t="s">
        <v>1597</v>
      </c>
      <c r="P1593" s="2" t="s">
        <v>115</v>
      </c>
      <c r="Q1593" s="2" t="s">
        <v>1598</v>
      </c>
      <c r="R1593" s="2" t="s">
        <v>1599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x14ac:dyDescent="0.2">
      <c r="A1594" s="2">
        <v>2025</v>
      </c>
      <c r="B1594" s="2">
        <v>6</v>
      </c>
      <c r="D1594" s="2" t="s">
        <v>1597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x14ac:dyDescent="0.2">
      <c r="A1595" s="2">
        <v>2025</v>
      </c>
      <c r="B1595" s="2">
        <v>6</v>
      </c>
      <c r="C1595" s="2" t="s">
        <v>3403</v>
      </c>
      <c r="D1595" s="2" t="s">
        <v>1726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1440</v>
      </c>
      <c r="R1595" s="2" t="s">
        <v>1441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3237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x14ac:dyDescent="0.2">
      <c r="A1596" s="2">
        <v>2025</v>
      </c>
      <c r="B1596" s="2">
        <v>6</v>
      </c>
      <c r="C1596" s="2" t="s">
        <v>3405</v>
      </c>
      <c r="D1596" s="2" t="s">
        <v>1726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1448</v>
      </c>
      <c r="R1596" s="2" t="s">
        <v>1449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3237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x14ac:dyDescent="0.2">
      <c r="A1597" s="2">
        <v>2025</v>
      </c>
      <c r="B1597" s="2">
        <v>6</v>
      </c>
      <c r="D1597" s="2" t="s">
        <v>1727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3245</v>
      </c>
      <c r="J1597" s="2" t="s">
        <v>3246</v>
      </c>
      <c r="L1597" s="2" t="s">
        <v>572</v>
      </c>
      <c r="M1597" s="2" t="s">
        <v>81</v>
      </c>
      <c r="O1597" s="2" t="s">
        <v>3247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3237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x14ac:dyDescent="0.2">
      <c r="A1598" s="2">
        <v>2025</v>
      </c>
      <c r="B1598" s="2">
        <v>6</v>
      </c>
      <c r="D1598" s="2" t="s">
        <v>1727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3245</v>
      </c>
      <c r="J1598" s="2" t="s">
        <v>3246</v>
      </c>
      <c r="L1598" s="2" t="s">
        <v>572</v>
      </c>
      <c r="M1598" s="2" t="s">
        <v>81</v>
      </c>
      <c r="O1598" s="2" t="s">
        <v>3247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3237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1517</v>
      </c>
      <c r="R1599" s="2" t="s">
        <v>1518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3237</v>
      </c>
      <c r="AA1599" s="2" t="s">
        <v>72</v>
      </c>
      <c r="AB1599" s="2" t="s">
        <v>1607</v>
      </c>
      <c r="AC1599" s="2" t="s">
        <v>1607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3237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3237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1038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3237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3237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x14ac:dyDescent="0.2">
      <c r="A1605" s="2">
        <v>2025</v>
      </c>
      <c r="B1605" s="2">
        <v>6</v>
      </c>
      <c r="D1605" s="2" t="s">
        <v>1728</v>
      </c>
      <c r="P1605" s="2" t="s">
        <v>188</v>
      </c>
      <c r="Q1605" s="2" t="s">
        <v>1729</v>
      </c>
      <c r="R1605" s="2" t="s">
        <v>1730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1615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x14ac:dyDescent="0.2">
      <c r="A1606" s="2">
        <v>2025</v>
      </c>
      <c r="B1606" s="2">
        <v>6</v>
      </c>
      <c r="D1606" s="2" t="s">
        <v>1728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3392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x14ac:dyDescent="0.2">
      <c r="A1607" s="2">
        <v>2025</v>
      </c>
      <c r="B1607" s="2">
        <v>6</v>
      </c>
      <c r="D1607" s="2" t="s">
        <v>1422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2419</v>
      </c>
      <c r="J1607" s="2" t="s">
        <v>2420</v>
      </c>
      <c r="L1607" s="2" t="s">
        <v>202</v>
      </c>
      <c r="M1607" s="2" t="s">
        <v>81</v>
      </c>
      <c r="P1607" s="2" t="s">
        <v>1041</v>
      </c>
      <c r="Q1607" s="2" t="s">
        <v>1731</v>
      </c>
      <c r="R1607" s="2" t="s">
        <v>1732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3237</v>
      </c>
      <c r="AA1607" s="2" t="s">
        <v>76</v>
      </c>
      <c r="AB1607" s="2" t="s">
        <v>77</v>
      </c>
      <c r="AC1607" s="2" t="s">
        <v>1041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x14ac:dyDescent="0.2">
      <c r="A1608" s="2">
        <v>2025</v>
      </c>
      <c r="B1608" s="2">
        <v>6</v>
      </c>
      <c r="D1608" s="2" t="s">
        <v>1422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2419</v>
      </c>
      <c r="J1608" s="2" t="s">
        <v>2420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3237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1733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3237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1734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3237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1735</v>
      </c>
      <c r="P1611" s="2" t="s">
        <v>1041</v>
      </c>
      <c r="Q1611" s="2" t="s">
        <v>1736</v>
      </c>
      <c r="R1611" s="2" t="s">
        <v>1737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3237</v>
      </c>
      <c r="AA1611" s="2" t="s">
        <v>76</v>
      </c>
      <c r="AB1611" s="2" t="s">
        <v>77</v>
      </c>
      <c r="AC1611" s="2" t="s">
        <v>1041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1735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3237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1628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3237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1628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3237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1628</v>
      </c>
      <c r="P1615" s="2" t="s">
        <v>43</v>
      </c>
      <c r="Q1615" s="2" t="s">
        <v>1738</v>
      </c>
      <c r="R1615" s="2" t="s">
        <v>1739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3237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1628</v>
      </c>
      <c r="P1616" s="2" t="s">
        <v>43</v>
      </c>
      <c r="Q1616" s="2" t="s">
        <v>1740</v>
      </c>
      <c r="R1616" s="2" t="s">
        <v>1741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3237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x14ac:dyDescent="0.2">
      <c r="A1617" s="2">
        <v>2025</v>
      </c>
      <c r="B1617" s="2">
        <v>6</v>
      </c>
      <c r="D1617" s="2" t="s">
        <v>1091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1092</v>
      </c>
      <c r="J1617" s="2" t="s">
        <v>1093</v>
      </c>
      <c r="K1617" s="2">
        <v>917523997</v>
      </c>
      <c r="L1617" s="2" t="s">
        <v>113</v>
      </c>
      <c r="M1617" s="2" t="s">
        <v>40</v>
      </c>
      <c r="O1617" s="2" t="s">
        <v>1742</v>
      </c>
      <c r="P1617" s="2" t="s">
        <v>115</v>
      </c>
      <c r="Q1617" s="2" t="s">
        <v>1743</v>
      </c>
      <c r="R1617" s="2" t="s">
        <v>1744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x14ac:dyDescent="0.2">
      <c r="A1618" s="2">
        <v>2025</v>
      </c>
      <c r="B1618" s="2">
        <v>6</v>
      </c>
      <c r="D1618" s="2" t="s">
        <v>1091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1092</v>
      </c>
      <c r="J1618" s="2" t="s">
        <v>1093</v>
      </c>
      <c r="K1618" s="2">
        <v>917523997</v>
      </c>
      <c r="L1618" s="2" t="s">
        <v>113</v>
      </c>
      <c r="M1618" s="2" t="s">
        <v>40</v>
      </c>
      <c r="O1618" s="2" t="s">
        <v>1742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x14ac:dyDescent="0.2">
      <c r="A1619" s="2">
        <v>2025</v>
      </c>
      <c r="B1619" s="2">
        <v>6</v>
      </c>
      <c r="D1619" s="2" t="s">
        <v>1745</v>
      </c>
      <c r="P1619" s="2" t="s">
        <v>115</v>
      </c>
      <c r="Q1619" s="2" t="s">
        <v>1746</v>
      </c>
      <c r="R1619" s="2" t="s">
        <v>1747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3237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3237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x14ac:dyDescent="0.2">
      <c r="A1624" s="2">
        <v>2025</v>
      </c>
      <c r="B1624" s="2">
        <v>6</v>
      </c>
      <c r="D1624" s="2" t="s">
        <v>1748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1129</v>
      </c>
      <c r="J1624" s="2" t="s">
        <v>1749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x14ac:dyDescent="0.2">
      <c r="A1625" s="2">
        <v>2025</v>
      </c>
      <c r="B1625" s="2">
        <v>6</v>
      </c>
      <c r="D1625" s="2" t="s">
        <v>1748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1129</v>
      </c>
      <c r="J1625" s="2" t="s">
        <v>1749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x14ac:dyDescent="0.2">
      <c r="A1630" s="2">
        <v>2025</v>
      </c>
      <c r="B1630" s="2">
        <v>6</v>
      </c>
      <c r="D1630" s="2" t="s">
        <v>1664</v>
      </c>
      <c r="P1630" s="2" t="s">
        <v>283</v>
      </c>
      <c r="Q1630" s="2" t="s">
        <v>1517</v>
      </c>
      <c r="R1630" s="2" t="s">
        <v>1518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3237</v>
      </c>
      <c r="AA1630" s="2" t="s">
        <v>72</v>
      </c>
      <c r="AB1630" s="2" t="s">
        <v>1607</v>
      </c>
      <c r="AC1630" s="2" t="s">
        <v>1607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x14ac:dyDescent="0.2">
      <c r="A1631" s="2">
        <v>2025</v>
      </c>
      <c r="B1631" s="2">
        <v>6</v>
      </c>
      <c r="D1631" s="2" t="s">
        <v>1665</v>
      </c>
      <c r="P1631" s="2" t="s">
        <v>283</v>
      </c>
      <c r="Q1631" s="2" t="s">
        <v>1440</v>
      </c>
      <c r="R1631" s="2" t="s">
        <v>1441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3237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x14ac:dyDescent="0.2">
      <c r="A1632" s="2">
        <v>2025</v>
      </c>
      <c r="B1632" s="2">
        <v>6</v>
      </c>
      <c r="D1632" s="2" t="s">
        <v>1750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x14ac:dyDescent="0.2">
      <c r="A1633" s="2">
        <v>2025</v>
      </c>
      <c r="B1633" s="2">
        <v>6</v>
      </c>
      <c r="D1633" s="2" t="s">
        <v>1127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2302</v>
      </c>
      <c r="J1633" s="2" t="s">
        <v>2303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x14ac:dyDescent="0.2">
      <c r="A1634" s="2">
        <v>2025</v>
      </c>
      <c r="B1634" s="2">
        <v>6</v>
      </c>
      <c r="D1634" s="2" t="s">
        <v>1127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2302</v>
      </c>
      <c r="J1634" s="2" t="s">
        <v>2303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x14ac:dyDescent="0.2">
      <c r="A1635" s="2">
        <v>2025</v>
      </c>
      <c r="B1635" s="2">
        <v>6</v>
      </c>
      <c r="D1635" s="2" t="s">
        <v>1751</v>
      </c>
      <c r="P1635" s="2" t="s">
        <v>283</v>
      </c>
      <c r="Q1635" s="2" t="s">
        <v>1752</v>
      </c>
      <c r="R1635" s="2" t="s">
        <v>1753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3237</v>
      </c>
      <c r="AA1635" s="2" t="s">
        <v>72</v>
      </c>
      <c r="AB1635" s="2" t="s">
        <v>1607</v>
      </c>
      <c r="AC1635" s="2" t="s">
        <v>1607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x14ac:dyDescent="0.2">
      <c r="A1636" s="2">
        <v>2025</v>
      </c>
      <c r="B1636" s="2">
        <v>6</v>
      </c>
      <c r="D1636" s="2" t="s">
        <v>1751</v>
      </c>
      <c r="P1636" s="2" t="s">
        <v>69</v>
      </c>
      <c r="Q1636" s="2" t="s">
        <v>1754</v>
      </c>
      <c r="R1636" s="2" t="s">
        <v>1755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3237</v>
      </c>
      <c r="AA1636" s="2" t="s">
        <v>72</v>
      </c>
      <c r="AB1636" s="2" t="s">
        <v>69</v>
      </c>
      <c r="AC1636" s="2" t="s">
        <v>3242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3237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3237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974</v>
      </c>
      <c r="R1639" s="2" t="s">
        <v>975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3237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1756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1757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1757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1038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3237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3237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x14ac:dyDescent="0.2">
      <c r="A1645" s="2">
        <v>2025</v>
      </c>
      <c r="B1645" s="2">
        <v>8</v>
      </c>
      <c r="C1645" s="2" t="s">
        <v>3329</v>
      </c>
      <c r="D1645" s="2" t="s">
        <v>1758</v>
      </c>
      <c r="E1645" s="2" t="s">
        <v>38</v>
      </c>
      <c r="F1645" s="2" t="s">
        <v>39</v>
      </c>
      <c r="I1645" s="2" t="s">
        <v>3400</v>
      </c>
      <c r="L1645" s="2" t="s">
        <v>481</v>
      </c>
      <c r="M1645" s="2" t="s">
        <v>81</v>
      </c>
      <c r="P1645" s="2" t="s">
        <v>73</v>
      </c>
      <c r="Q1645" s="2" t="s">
        <v>1025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3237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x14ac:dyDescent="0.2">
      <c r="A1646" s="2">
        <v>2025</v>
      </c>
      <c r="B1646" s="2">
        <v>8</v>
      </c>
      <c r="C1646" s="2" t="s">
        <v>3329</v>
      </c>
      <c r="D1646" s="2" t="s">
        <v>1758</v>
      </c>
      <c r="E1646" s="2" t="s">
        <v>38</v>
      </c>
      <c r="F1646" s="2" t="s">
        <v>39</v>
      </c>
      <c r="I1646" s="2" t="s">
        <v>3400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3237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1759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1759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x14ac:dyDescent="0.2">
      <c r="A1649" s="2">
        <v>2025</v>
      </c>
      <c r="B1649" s="2">
        <v>8</v>
      </c>
      <c r="C1649" s="2" t="s">
        <v>3329</v>
      </c>
      <c r="D1649" s="2" t="s">
        <v>1165</v>
      </c>
      <c r="E1649" s="2" t="s">
        <v>754</v>
      </c>
      <c r="G1649" s="2">
        <v>508199280</v>
      </c>
      <c r="H1649" s="2" t="s">
        <v>40</v>
      </c>
      <c r="I1649" s="2" t="s">
        <v>1166</v>
      </c>
      <c r="L1649" s="2" t="s">
        <v>294</v>
      </c>
      <c r="M1649" s="2" t="s">
        <v>81</v>
      </c>
      <c r="P1649" s="2" t="s">
        <v>73</v>
      </c>
      <c r="Q1649" s="2" t="s">
        <v>1452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3237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x14ac:dyDescent="0.2">
      <c r="A1650" s="2">
        <v>2025</v>
      </c>
      <c r="B1650" s="2">
        <v>8</v>
      </c>
      <c r="C1650" s="2" t="s">
        <v>3329</v>
      </c>
      <c r="D1650" s="2" t="s">
        <v>1165</v>
      </c>
      <c r="E1650" s="2" t="s">
        <v>754</v>
      </c>
      <c r="G1650" s="2">
        <v>508199280</v>
      </c>
      <c r="H1650" s="2" t="s">
        <v>40</v>
      </c>
      <c r="I1650" s="2" t="s">
        <v>1166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3237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1760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3237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1761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3237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1762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1762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1762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3124</v>
      </c>
      <c r="J1656" s="2" t="s">
        <v>3125</v>
      </c>
      <c r="L1656" s="2" t="s">
        <v>113</v>
      </c>
      <c r="M1656" s="2" t="s">
        <v>40</v>
      </c>
      <c r="O1656" s="2" t="s">
        <v>3127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2516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1181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1182</v>
      </c>
      <c r="J1657" s="2" t="s">
        <v>1183</v>
      </c>
      <c r="L1657" s="2" t="s">
        <v>462</v>
      </c>
      <c r="M1657" s="2" t="s">
        <v>41</v>
      </c>
      <c r="O1657" s="2" t="s">
        <v>1763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3237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1181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1182</v>
      </c>
      <c r="J1658" s="2" t="s">
        <v>1183</v>
      </c>
      <c r="L1658" s="2" t="s">
        <v>462</v>
      </c>
      <c r="M1658" s="2" t="s">
        <v>41</v>
      </c>
      <c r="O1658" s="2" t="s">
        <v>1764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3237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1181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1182</v>
      </c>
      <c r="J1659" s="2" t="s">
        <v>1183</v>
      </c>
      <c r="L1659" s="2" t="s">
        <v>462</v>
      </c>
      <c r="M1659" s="2" t="s">
        <v>41</v>
      </c>
      <c r="O1659" s="2" t="s">
        <v>1764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3237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x14ac:dyDescent="0.2">
      <c r="A1660" s="2">
        <v>2025</v>
      </c>
      <c r="B1660" s="2">
        <v>8</v>
      </c>
      <c r="D1660" s="2" t="s">
        <v>1181</v>
      </c>
      <c r="E1660" s="2" t="s">
        <v>38</v>
      </c>
      <c r="G1660" s="2">
        <v>502089075</v>
      </c>
      <c r="H1660" s="2" t="s">
        <v>41</v>
      </c>
      <c r="I1660" s="2" t="s">
        <v>1182</v>
      </c>
      <c r="J1660" s="2" t="s">
        <v>1183</v>
      </c>
      <c r="L1660" s="2" t="s">
        <v>462</v>
      </c>
      <c r="M1660" s="2" t="s">
        <v>41</v>
      </c>
      <c r="O1660" s="2" t="s">
        <v>1763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1765</v>
      </c>
      <c r="P1661" s="2" t="s">
        <v>73</v>
      </c>
      <c r="Q1661" s="2" t="s">
        <v>1766</v>
      </c>
      <c r="R1661" s="2" t="s">
        <v>965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3237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1765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1765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3237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x14ac:dyDescent="0.2">
      <c r="A1664" s="2">
        <v>2025</v>
      </c>
      <c r="B1664" s="2">
        <v>8</v>
      </c>
      <c r="D1664" s="2" t="s">
        <v>1767</v>
      </c>
      <c r="P1664" s="2" t="s">
        <v>115</v>
      </c>
      <c r="Q1664" s="2" t="s">
        <v>1768</v>
      </c>
      <c r="R1664" s="2" t="s">
        <v>1769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x14ac:dyDescent="0.2">
      <c r="A1665" s="2">
        <v>2025</v>
      </c>
      <c r="B1665" s="2">
        <v>8</v>
      </c>
      <c r="D1665" s="2" t="s">
        <v>1767</v>
      </c>
      <c r="P1665" s="2" t="s">
        <v>115</v>
      </c>
      <c r="Q1665" s="2" t="s">
        <v>1770</v>
      </c>
      <c r="R1665" s="2" t="s">
        <v>1771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x14ac:dyDescent="0.2">
      <c r="A1666" s="2">
        <v>2025</v>
      </c>
      <c r="B1666" s="2">
        <v>8</v>
      </c>
      <c r="D1666" s="2" t="s">
        <v>1772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x14ac:dyDescent="0.2">
      <c r="A1667" s="2">
        <v>2025</v>
      </c>
      <c r="B1667" s="2">
        <v>8</v>
      </c>
      <c r="D1667" s="2" t="s">
        <v>1772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3237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3237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x14ac:dyDescent="0.2">
      <c r="A1672" s="2">
        <v>2025</v>
      </c>
      <c r="B1672" s="2">
        <v>8</v>
      </c>
      <c r="D1672" s="2" t="s">
        <v>1773</v>
      </c>
      <c r="P1672" s="2" t="s">
        <v>1611</v>
      </c>
      <c r="Q1672" s="2" t="s">
        <v>1774</v>
      </c>
      <c r="R1672" s="2" t="s">
        <v>1775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1611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x14ac:dyDescent="0.2">
      <c r="A1673" s="2">
        <v>2025</v>
      </c>
      <c r="B1673" s="2">
        <v>8</v>
      </c>
      <c r="D1673" s="2" t="s">
        <v>1773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x14ac:dyDescent="0.2">
      <c r="A1674" s="2">
        <v>2025</v>
      </c>
      <c r="B1674" s="2">
        <v>8</v>
      </c>
      <c r="D1674" s="2" t="s">
        <v>1773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x14ac:dyDescent="0.2">
      <c r="A1675" s="2">
        <v>2025</v>
      </c>
      <c r="B1675" s="2">
        <v>8</v>
      </c>
      <c r="D1675" s="2" t="s">
        <v>984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985</v>
      </c>
      <c r="J1675" s="2" t="s">
        <v>986</v>
      </c>
      <c r="L1675" s="2" t="s">
        <v>294</v>
      </c>
      <c r="M1675" s="2" t="s">
        <v>81</v>
      </c>
      <c r="O1675" s="2" t="s">
        <v>1776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3237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x14ac:dyDescent="0.2">
      <c r="A1676" s="2">
        <v>2025</v>
      </c>
      <c r="B1676" s="2">
        <v>8</v>
      </c>
      <c r="D1676" s="2" t="s">
        <v>984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985</v>
      </c>
      <c r="J1676" s="2" t="s">
        <v>986</v>
      </c>
      <c r="L1676" s="2" t="s">
        <v>294</v>
      </c>
      <c r="M1676" s="2" t="s">
        <v>81</v>
      </c>
      <c r="O1676" s="2" t="s">
        <v>1776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3237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x14ac:dyDescent="0.2">
      <c r="A1677" s="2">
        <v>2025</v>
      </c>
      <c r="B1677" s="2">
        <v>8</v>
      </c>
      <c r="D1677" s="2" t="s">
        <v>1777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x14ac:dyDescent="0.2">
      <c r="A1678" s="2">
        <v>2025</v>
      </c>
      <c r="B1678" s="2">
        <v>8</v>
      </c>
      <c r="D1678" s="2" t="s">
        <v>1777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x14ac:dyDescent="0.2">
      <c r="A1679" s="2">
        <v>2025</v>
      </c>
      <c r="B1679" s="2">
        <v>8</v>
      </c>
      <c r="D1679" s="2" t="s">
        <v>1359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1360</v>
      </c>
      <c r="L1679" s="2" t="s">
        <v>419</v>
      </c>
      <c r="P1679" s="2" t="s">
        <v>283</v>
      </c>
      <c r="Q1679" s="2" t="s">
        <v>1778</v>
      </c>
      <c r="R1679" s="2" t="s">
        <v>1779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3237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1780</v>
      </c>
      <c r="R1680" s="2" t="s">
        <v>1781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3392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x14ac:dyDescent="0.2">
      <c r="A1684" s="2">
        <v>2025</v>
      </c>
      <c r="B1684" s="2">
        <v>8</v>
      </c>
      <c r="D1684" s="2" t="s">
        <v>1782</v>
      </c>
      <c r="P1684" s="2" t="s">
        <v>102</v>
      </c>
      <c r="Q1684" s="2" t="s">
        <v>1783</v>
      </c>
      <c r="R1684" s="2" t="s">
        <v>1784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1785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1785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x14ac:dyDescent="0.2">
      <c r="A1687" s="2">
        <v>2025</v>
      </c>
      <c r="B1687" s="2">
        <v>8</v>
      </c>
      <c r="D1687" s="2" t="s">
        <v>1786</v>
      </c>
      <c r="P1687" s="2" t="s">
        <v>283</v>
      </c>
      <c r="Q1687" s="2" t="s">
        <v>1787</v>
      </c>
      <c r="R1687" s="2" t="s">
        <v>1788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1331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x14ac:dyDescent="0.2">
      <c r="A1688" s="2">
        <v>2025</v>
      </c>
      <c r="B1688" s="2">
        <v>8</v>
      </c>
      <c r="D1688" s="2" t="s">
        <v>1786</v>
      </c>
      <c r="P1688" s="2" t="s">
        <v>283</v>
      </c>
      <c r="Q1688" s="2" t="s">
        <v>1789</v>
      </c>
      <c r="R1688" s="2" t="s">
        <v>1790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3237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x14ac:dyDescent="0.2">
      <c r="A1689" s="2">
        <v>2025</v>
      </c>
      <c r="B1689" s="2">
        <v>8</v>
      </c>
      <c r="D1689" s="2" t="s">
        <v>1786</v>
      </c>
      <c r="P1689" s="2" t="s">
        <v>283</v>
      </c>
      <c r="Q1689" s="2" t="s">
        <v>1791</v>
      </c>
      <c r="R1689" s="2" t="s">
        <v>1790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3237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x14ac:dyDescent="0.2">
      <c r="A1690" s="2">
        <v>2025</v>
      </c>
      <c r="B1690" s="2">
        <v>8</v>
      </c>
      <c r="D1690" s="2" t="s">
        <v>1786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1792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3237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3237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x14ac:dyDescent="0.2">
      <c r="A1693" s="2">
        <v>2025</v>
      </c>
      <c r="B1693" s="2">
        <v>8</v>
      </c>
      <c r="D1693" s="2" t="s">
        <v>1793</v>
      </c>
      <c r="P1693" s="2" t="s">
        <v>3241</v>
      </c>
      <c r="Q1693" s="2" t="s">
        <v>1794</v>
      </c>
      <c r="R1693" s="2" t="s">
        <v>1795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3241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x14ac:dyDescent="0.2">
      <c r="A1694" s="2">
        <v>2025</v>
      </c>
      <c r="B1694" s="2">
        <v>8</v>
      </c>
      <c r="D1694" s="2" t="s">
        <v>1796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3392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x14ac:dyDescent="0.2">
      <c r="A1698" s="2">
        <v>2025</v>
      </c>
      <c r="B1698" s="2">
        <v>8</v>
      </c>
      <c r="D1698" s="2" t="s">
        <v>1797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x14ac:dyDescent="0.2">
      <c r="A1699" s="2">
        <v>2025</v>
      </c>
      <c r="B1699" s="2">
        <v>8</v>
      </c>
      <c r="D1699" s="2" t="s">
        <v>1797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3237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3237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x14ac:dyDescent="0.2">
      <c r="A1702" s="2">
        <v>2025</v>
      </c>
      <c r="B1702" s="2">
        <v>8</v>
      </c>
      <c r="C1702" s="2" t="s">
        <v>3422</v>
      </c>
      <c r="D1702" s="2" t="s">
        <v>3421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1798</v>
      </c>
      <c r="P1702" s="2" t="s">
        <v>115</v>
      </c>
      <c r="Q1702" s="2" t="s">
        <v>1799</v>
      </c>
      <c r="R1702" s="2" t="s">
        <v>1800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3237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x14ac:dyDescent="0.2">
      <c r="A1704" s="2">
        <v>2025</v>
      </c>
      <c r="B1704" s="2">
        <v>8</v>
      </c>
      <c r="D1704" s="2" t="s">
        <v>1018</v>
      </c>
      <c r="L1704" s="2" t="s">
        <v>100</v>
      </c>
      <c r="M1704" s="2" t="s">
        <v>81</v>
      </c>
      <c r="P1704" s="2" t="s">
        <v>283</v>
      </c>
      <c r="Q1704" s="2" t="s">
        <v>1240</v>
      </c>
      <c r="R1704" s="2" t="s">
        <v>1241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3237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x14ac:dyDescent="0.2">
      <c r="A1705" s="2">
        <v>2025</v>
      </c>
      <c r="B1705" s="2">
        <v>8</v>
      </c>
      <c r="D1705" s="2" t="s">
        <v>1018</v>
      </c>
      <c r="P1705" s="2" t="s">
        <v>283</v>
      </c>
      <c r="Q1705" s="2" t="s">
        <v>1539</v>
      </c>
      <c r="R1705" s="2" t="s">
        <v>1540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3237</v>
      </c>
      <c r="AA1705" s="2" t="s">
        <v>579</v>
      </c>
      <c r="AB1705" s="2" t="s">
        <v>120</v>
      </c>
      <c r="AC1705" s="2" t="s">
        <v>1331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x14ac:dyDescent="0.2">
      <c r="A1706" s="2">
        <v>2025</v>
      </c>
      <c r="B1706" s="2">
        <v>8</v>
      </c>
      <c r="D1706" s="2" t="s">
        <v>1018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3237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3237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4"/>
        <v>0.43981481481481483</v>
      </c>
      <c r="Z1708" s="2" t="s">
        <v>3237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7.125</v>
      </c>
      <c r="AL1708" s="5">
        <f t="shared" si="203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3237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3237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3237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3237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3237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3237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3237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x14ac:dyDescent="0.2">
      <c r="A1716" s="2">
        <v>2025</v>
      </c>
      <c r="B1716" s="2">
        <v>8</v>
      </c>
      <c r="D1716" s="2" t="s">
        <v>1560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1561</v>
      </c>
      <c r="J1716" s="2" t="s">
        <v>1562</v>
      </c>
      <c r="L1716" s="2" t="s">
        <v>100</v>
      </c>
      <c r="M1716" s="2" t="s">
        <v>41</v>
      </c>
      <c r="P1716" s="2" t="s">
        <v>283</v>
      </c>
      <c r="Q1716" s="2" t="s">
        <v>1554</v>
      </c>
      <c r="R1716" s="2" t="s">
        <v>1555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3413</v>
      </c>
    </row>
    <row r="1717" spans="1:38" x14ac:dyDescent="0.2">
      <c r="A1717" s="2">
        <v>2025</v>
      </c>
      <c r="B1717" s="2">
        <v>8</v>
      </c>
      <c r="D1717" s="2" t="s">
        <v>1560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1561</v>
      </c>
      <c r="J1717" s="2" t="s">
        <v>1562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3237</v>
      </c>
      <c r="AA1717" s="2" t="s">
        <v>46</v>
      </c>
      <c r="AB1717" s="2" t="s">
        <v>61</v>
      </c>
      <c r="AC1717" s="2" t="s">
        <v>3343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x14ac:dyDescent="0.2">
      <c r="A1718" s="2">
        <v>2025</v>
      </c>
      <c r="B1718" s="2">
        <v>8</v>
      </c>
      <c r="D1718" s="2" t="s">
        <v>1560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1561</v>
      </c>
      <c r="J1718" s="2" t="s">
        <v>1562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3237</v>
      </c>
      <c r="AA1718" s="2" t="s">
        <v>46</v>
      </c>
      <c r="AB1718" s="2" t="s">
        <v>61</v>
      </c>
      <c r="AC1718" s="2" t="s">
        <v>3343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1560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1561</v>
      </c>
      <c r="J1719" s="2" t="s">
        <v>1562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3237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1560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1561</v>
      </c>
      <c r="J1720" s="2" t="s">
        <v>1562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3237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x14ac:dyDescent="0.2">
      <c r="A1721" s="2">
        <v>2025</v>
      </c>
      <c r="B1721" s="2">
        <v>8</v>
      </c>
      <c r="D1721" s="2" t="s">
        <v>1560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1561</v>
      </c>
      <c r="J1721" s="2" t="s">
        <v>1562</v>
      </c>
      <c r="L1721" s="2" t="s">
        <v>100</v>
      </c>
      <c r="M1721" s="2" t="s">
        <v>41</v>
      </c>
      <c r="P1721" s="2" t="s">
        <v>85</v>
      </c>
      <c r="Q1721" s="2" t="s">
        <v>1801</v>
      </c>
      <c r="R1721" s="2" t="s">
        <v>1802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3237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x14ac:dyDescent="0.2">
      <c r="A1722" s="2">
        <v>2025</v>
      </c>
      <c r="B1722" s="2">
        <v>8</v>
      </c>
      <c r="D1722" s="2" t="s">
        <v>1560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1561</v>
      </c>
      <c r="J1722" s="2" t="s">
        <v>1562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3237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x14ac:dyDescent="0.2">
      <c r="A1723" s="2">
        <v>2025</v>
      </c>
      <c r="B1723" s="2">
        <v>8</v>
      </c>
      <c r="D1723" s="2" t="s">
        <v>1560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1561</v>
      </c>
      <c r="J1723" s="2" t="s">
        <v>1562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3237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x14ac:dyDescent="0.2">
      <c r="A1724" s="2">
        <v>2025</v>
      </c>
      <c r="B1724" s="2">
        <v>8</v>
      </c>
      <c r="D1724" s="2" t="s">
        <v>1803</v>
      </c>
      <c r="P1724" s="2" t="s">
        <v>3241</v>
      </c>
      <c r="Q1724" s="2" t="s">
        <v>1794</v>
      </c>
      <c r="R1724" s="2" t="s">
        <v>1795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3241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3237</v>
      </c>
      <c r="AA1725" s="2" t="s">
        <v>46</v>
      </c>
      <c r="AB1725" s="2" t="s">
        <v>61</v>
      </c>
      <c r="AC1725" s="2" t="s">
        <v>3343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x14ac:dyDescent="0.2">
      <c r="A1726" s="2">
        <v>2025</v>
      </c>
      <c r="B1726" s="2">
        <v>8</v>
      </c>
      <c r="D1726" s="2" t="s">
        <v>1243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3230</v>
      </c>
      <c r="J1726" s="2" t="s">
        <v>3231</v>
      </c>
      <c r="L1726" s="2" t="s">
        <v>340</v>
      </c>
      <c r="M1726" s="2" t="s">
        <v>81</v>
      </c>
      <c r="O1726" s="2" t="s">
        <v>3233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3237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x14ac:dyDescent="0.2">
      <c r="A1727" s="2">
        <v>2025</v>
      </c>
      <c r="B1727" s="2">
        <v>8</v>
      </c>
      <c r="D1727" s="2" t="s">
        <v>1243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3230</v>
      </c>
      <c r="J1727" s="2" t="s">
        <v>3231</v>
      </c>
      <c r="L1727" s="2" t="s">
        <v>340</v>
      </c>
      <c r="M1727" s="2" t="s">
        <v>81</v>
      </c>
      <c r="O1727" s="2" t="s">
        <v>3233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3237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1804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3237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1804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3237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x14ac:dyDescent="0.2">
      <c r="A1730" s="2">
        <v>2025</v>
      </c>
      <c r="B1730" s="2">
        <v>8</v>
      </c>
      <c r="D1730" s="2" t="s">
        <v>1804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3237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1805</v>
      </c>
      <c r="R1731" s="2" t="s">
        <v>1806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3237</v>
      </c>
      <c r="AA1731" s="2" t="s">
        <v>46</v>
      </c>
      <c r="AB1731" s="2" t="s">
        <v>61</v>
      </c>
      <c r="AC1731" s="2" t="s">
        <v>3417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x14ac:dyDescent="0.2">
      <c r="A1732" s="2">
        <v>2025</v>
      </c>
      <c r="B1732" s="2">
        <v>8</v>
      </c>
      <c r="D1732" s="2" t="s">
        <v>1570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x14ac:dyDescent="0.2">
      <c r="A1733" s="2">
        <v>2025</v>
      </c>
      <c r="B1733" s="2">
        <v>8</v>
      </c>
      <c r="D1733" s="2" t="s">
        <v>1570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x14ac:dyDescent="0.2">
      <c r="A1734" s="2">
        <v>2025</v>
      </c>
      <c r="B1734" s="2">
        <v>8</v>
      </c>
      <c r="D1734" s="2" t="s">
        <v>1392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1392</v>
      </c>
      <c r="P1735" s="2" t="s">
        <v>115</v>
      </c>
      <c r="Q1735" s="16" t="s">
        <v>711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5"/>
        <v>1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1690</v>
      </c>
      <c r="AL1735" s="5">
        <f t="shared" si="203"/>
        <v>1</v>
      </c>
    </row>
    <row r="1736" spans="1:38" x14ac:dyDescent="0.2">
      <c r="A1736" s="2">
        <v>2025</v>
      </c>
      <c r="B1736" s="2">
        <v>8</v>
      </c>
      <c r="D1736" s="2" t="s">
        <v>1392</v>
      </c>
      <c r="P1736" s="2" t="s">
        <v>115</v>
      </c>
      <c r="Q1736" s="2" t="s">
        <v>1807</v>
      </c>
      <c r="R1736" s="2" t="s">
        <v>1808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x14ac:dyDescent="0.2">
      <c r="A1737" s="2">
        <v>2025</v>
      </c>
      <c r="B1737" s="2">
        <v>8</v>
      </c>
      <c r="D1737" s="2" t="s">
        <v>1392</v>
      </c>
      <c r="P1737" s="2" t="s">
        <v>115</v>
      </c>
      <c r="Q1737" s="2" t="s">
        <v>1809</v>
      </c>
      <c r="R1737" s="2" t="s">
        <v>1810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1811</v>
      </c>
      <c r="P1738" s="2" t="s">
        <v>115</v>
      </c>
      <c r="Q1738" s="2" t="s">
        <v>1812</v>
      </c>
      <c r="R1738" s="2" t="s">
        <v>1813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x14ac:dyDescent="0.2">
      <c r="A1739" s="2">
        <v>2025</v>
      </c>
      <c r="B1739" s="2">
        <v>8</v>
      </c>
      <c r="D1739" s="2" t="s">
        <v>1814</v>
      </c>
      <c r="P1739" s="2" t="s">
        <v>283</v>
      </c>
      <c r="Q1739" s="2" t="s">
        <v>1815</v>
      </c>
      <c r="R1739" s="2" t="s">
        <v>1816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x14ac:dyDescent="0.2">
      <c r="A1740" s="2">
        <v>2025</v>
      </c>
      <c r="B1740" s="2">
        <v>8</v>
      </c>
      <c r="D1740" s="2" t="s">
        <v>1814</v>
      </c>
      <c r="P1740" s="2" t="s">
        <v>283</v>
      </c>
      <c r="Q1740" s="2" t="s">
        <v>1448</v>
      </c>
      <c r="R1740" s="2" t="s">
        <v>1449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3237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3329</v>
      </c>
      <c r="D1741" s="2" t="s">
        <v>3328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3237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3237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1817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3237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1817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3237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x14ac:dyDescent="0.2">
      <c r="A1747" s="2">
        <v>2025</v>
      </c>
      <c r="B1747" s="2">
        <v>8</v>
      </c>
      <c r="D1747" s="2" t="s">
        <v>1260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3237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x14ac:dyDescent="0.2">
      <c r="A1748" s="2">
        <v>2025</v>
      </c>
      <c r="B1748" s="2">
        <v>8</v>
      </c>
      <c r="D1748" s="2" t="s">
        <v>1260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3237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3237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1312</v>
      </c>
      <c r="R1750" s="2" t="s">
        <v>1313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1314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3237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1818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3237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1819</v>
      </c>
      <c r="R1753" s="2" t="s">
        <v>1820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3237</v>
      </c>
      <c r="AA1753" s="2" t="s">
        <v>72</v>
      </c>
      <c r="AB1753" s="2" t="s">
        <v>1607</v>
      </c>
      <c r="AC1753" s="2" t="s">
        <v>1607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1821</v>
      </c>
      <c r="R1754" s="2" t="s">
        <v>1822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3237</v>
      </c>
      <c r="AA1754" s="2" t="s">
        <v>72</v>
      </c>
      <c r="AB1754" s="2" t="s">
        <v>1607</v>
      </c>
      <c r="AC1754" s="2" t="s">
        <v>1607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1823</v>
      </c>
      <c r="R1755" s="2" t="s">
        <v>1824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3237</v>
      </c>
      <c r="AA1755" s="2" t="s">
        <v>72</v>
      </c>
      <c r="AB1755" s="2" t="s">
        <v>1607</v>
      </c>
      <c r="AC1755" s="2" t="s">
        <v>1607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1825</v>
      </c>
      <c r="R1756" s="2" t="s">
        <v>1826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3237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1827</v>
      </c>
      <c r="R1757" s="2" t="s">
        <v>1828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3237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1066</v>
      </c>
      <c r="R1758" s="2" t="s">
        <v>1067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3237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1068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3237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1068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3237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x14ac:dyDescent="0.2">
      <c r="A1761" s="2">
        <v>2025</v>
      </c>
      <c r="B1761" s="2">
        <v>8</v>
      </c>
      <c r="D1761" s="2" t="s">
        <v>1829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x14ac:dyDescent="0.2">
      <c r="A1762" s="2">
        <v>2025</v>
      </c>
      <c r="B1762" s="2">
        <v>8</v>
      </c>
      <c r="D1762" s="2" t="s">
        <v>1829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3237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3237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3237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x14ac:dyDescent="0.2">
      <c r="A1766" s="2">
        <v>2025</v>
      </c>
      <c r="B1766" s="2">
        <v>8</v>
      </c>
      <c r="D1766" s="2" t="s">
        <v>1597</v>
      </c>
      <c r="P1766" s="2" t="s">
        <v>115</v>
      </c>
      <c r="Q1766" s="2" t="s">
        <v>1598</v>
      </c>
      <c r="R1766" s="2" t="s">
        <v>1599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1830</v>
      </c>
      <c r="R1767" s="2" t="s">
        <v>1831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3237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3237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3237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1074</v>
      </c>
      <c r="P1770" s="2" t="s">
        <v>283</v>
      </c>
      <c r="Q1770" s="2" t="s">
        <v>1332</v>
      </c>
      <c r="R1770" s="2" t="s">
        <v>1333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1334</v>
      </c>
      <c r="AC1770" s="2" t="s">
        <v>1331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1074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1561</v>
      </c>
      <c r="J1771" s="2" t="s">
        <v>1832</v>
      </c>
      <c r="L1771" s="2" t="s">
        <v>178</v>
      </c>
      <c r="M1771" s="2" t="s">
        <v>41</v>
      </c>
      <c r="O1771" s="2" t="s">
        <v>1833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3237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1074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3237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1074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3237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3237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3216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3237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3204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3237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3237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1834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x14ac:dyDescent="0.2">
      <c r="A1779" s="2">
        <v>2025</v>
      </c>
      <c r="B1779" s="2">
        <v>8</v>
      </c>
      <c r="D1779" s="2" t="s">
        <v>1835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1129</v>
      </c>
      <c r="J1779" s="2" t="s">
        <v>3243</v>
      </c>
      <c r="L1779" s="2" t="s">
        <v>462</v>
      </c>
      <c r="M1779" s="2" t="s">
        <v>41</v>
      </c>
      <c r="O1779" s="2" t="s">
        <v>3244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3183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1628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3237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1628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3237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1836</v>
      </c>
      <c r="R1783" s="2" t="s">
        <v>1837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3237</v>
      </c>
      <c r="AA1783" s="2" t="s">
        <v>72</v>
      </c>
      <c r="AB1783" s="2" t="s">
        <v>1607</v>
      </c>
      <c r="AC1783" s="2" t="s">
        <v>1607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1838</v>
      </c>
      <c r="R1784" s="2" t="s">
        <v>1839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3237</v>
      </c>
      <c r="AA1784" s="2" t="s">
        <v>72</v>
      </c>
      <c r="AB1784" s="2" t="s">
        <v>1607</v>
      </c>
      <c r="AC1784" s="2" t="s">
        <v>1607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3237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3237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3237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1840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3237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  <c r="AK1788" s="2">
        <f t="shared" ref="AK1788:AK1791" si="211"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1840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3237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  <c r="AK1789" s="2">
        <f t="shared" si="211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1840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3237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  <c r="AK1790" s="2">
        <f t="shared" si="211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1840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3237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  <c r="AK1791" s="2">
        <f t="shared" si="211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1840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3237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x14ac:dyDescent="0.2">
      <c r="A1793" s="2">
        <v>2025</v>
      </c>
      <c r="B1793" s="2">
        <v>8</v>
      </c>
      <c r="C1793" s="2" t="s">
        <v>3329</v>
      </c>
      <c r="D1793" s="2" t="s">
        <v>1642</v>
      </c>
      <c r="E1793" s="2" t="s">
        <v>2454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1643</v>
      </c>
      <c r="R1793" s="2" t="s">
        <v>1644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3237</v>
      </c>
      <c r="AA1793" s="2" t="s">
        <v>72</v>
      </c>
      <c r="AB1793" s="2" t="s">
        <v>1607</v>
      </c>
      <c r="AC1793" s="2" t="s">
        <v>1607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3162</v>
      </c>
      <c r="M1794" s="2" t="s">
        <v>41</v>
      </c>
      <c r="O1794" s="2" t="s">
        <v>3161</v>
      </c>
      <c r="P1794" s="2" t="s">
        <v>1041</v>
      </c>
      <c r="Q1794" s="2" t="s">
        <v>1841</v>
      </c>
      <c r="R1794" s="2" t="s">
        <v>1842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2">(T1794-W1794)/T1794</f>
        <v>0.39288461538461539</v>
      </c>
      <c r="Z1794" s="2" t="s">
        <v>3237</v>
      </c>
      <c r="AA1794" s="2" t="s">
        <v>76</v>
      </c>
      <c r="AB1794" s="2" t="s">
        <v>77</v>
      </c>
      <c r="AC1794" s="2" t="s">
        <v>1041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3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2"/>
        <v>0</v>
      </c>
      <c r="Z1795" s="2" t="s">
        <v>3237</v>
      </c>
      <c r="AA1795" s="2" t="s">
        <v>97</v>
      </c>
      <c r="AB1795" s="2" t="s">
        <v>77</v>
      </c>
      <c r="AC1795" s="2" t="s">
        <v>94</v>
      </c>
      <c r="AF1795" s="2">
        <f t="shared" ref="AF1795:AF1858" si="214">AJ1795</f>
        <v>0</v>
      </c>
      <c r="AJ1795" s="2">
        <f t="shared" ref="AJ1795:AJ1858" si="215">AI1795*T1795</f>
        <v>0</v>
      </c>
      <c r="AK1795" s="2">
        <f t="shared" ref="AK1795:AK1858" si="216">T1795-W1795</f>
        <v>0</v>
      </c>
      <c r="AL1795" s="5">
        <f t="shared" si="213"/>
        <v>0</v>
      </c>
    </row>
    <row r="1796" spans="1:38" x14ac:dyDescent="0.2">
      <c r="A1796" s="2">
        <v>2025</v>
      </c>
      <c r="B1796" s="2">
        <v>8</v>
      </c>
      <c r="D1796" s="2" t="s">
        <v>1299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1300</v>
      </c>
      <c r="L1796" s="2" t="s">
        <v>340</v>
      </c>
      <c r="M1796" s="2" t="s">
        <v>81</v>
      </c>
      <c r="P1796" s="2" t="s">
        <v>40</v>
      </c>
      <c r="Q1796" s="2" t="s">
        <v>1843</v>
      </c>
      <c r="R1796" s="2" t="s">
        <v>1844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2"/>
        <v>0.47619047619047616</v>
      </c>
      <c r="Z1796" s="2" t="s">
        <v>3237</v>
      </c>
      <c r="AA1796" s="2" t="s">
        <v>76</v>
      </c>
      <c r="AB1796" s="2" t="s">
        <v>77</v>
      </c>
      <c r="AC1796" s="2" t="s">
        <v>40</v>
      </c>
      <c r="AF1796" s="2">
        <f t="shared" si="214"/>
        <v>0</v>
      </c>
      <c r="AJ1796" s="2">
        <f t="shared" si="215"/>
        <v>0</v>
      </c>
      <c r="AK1796" s="2">
        <f t="shared" si="216"/>
        <v>100</v>
      </c>
      <c r="AL1796" s="5">
        <f t="shared" si="213"/>
        <v>0.47619047619047616</v>
      </c>
    </row>
    <row r="1797" spans="1:38" x14ac:dyDescent="0.2">
      <c r="A1797" s="2">
        <v>2025</v>
      </c>
      <c r="B1797" s="2">
        <v>8</v>
      </c>
      <c r="D1797" s="2" t="s">
        <v>1299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1300</v>
      </c>
      <c r="L1797" s="2" t="s">
        <v>340</v>
      </c>
      <c r="M1797" s="2" t="s">
        <v>291</v>
      </c>
      <c r="O1797" s="2" t="s">
        <v>3215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2"/>
        <v>0.45375609756097557</v>
      </c>
      <c r="Z1797" s="2" t="s">
        <v>3237</v>
      </c>
      <c r="AA1797" s="2" t="s">
        <v>76</v>
      </c>
      <c r="AB1797" s="2" t="s">
        <v>77</v>
      </c>
      <c r="AC1797" s="2" t="s">
        <v>78</v>
      </c>
      <c r="AF1797" s="2">
        <f t="shared" si="214"/>
        <v>0</v>
      </c>
      <c r="AG1797" s="2">
        <v>111.98</v>
      </c>
      <c r="AH1797" s="2">
        <v>210</v>
      </c>
      <c r="AJ1797" s="2">
        <f t="shared" si="215"/>
        <v>0</v>
      </c>
      <c r="AK1797" s="2">
        <f t="shared" si="216"/>
        <v>93.02</v>
      </c>
      <c r="AL1797" s="5">
        <f t="shared" si="213"/>
        <v>0.45375609756097557</v>
      </c>
    </row>
    <row r="1798" spans="1:38" x14ac:dyDescent="0.2">
      <c r="A1798" s="2">
        <v>2025</v>
      </c>
      <c r="B1798" s="2">
        <v>8</v>
      </c>
      <c r="D1798" s="2" t="s">
        <v>1299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1300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2"/>
        <v>0</v>
      </c>
      <c r="Z1798" s="2" t="s">
        <v>3237</v>
      </c>
      <c r="AA1798" s="2" t="s">
        <v>97</v>
      </c>
      <c r="AB1798" s="2" t="s">
        <v>77</v>
      </c>
      <c r="AC1798" s="2" t="s">
        <v>94</v>
      </c>
      <c r="AF1798" s="2">
        <f t="shared" si="214"/>
        <v>0</v>
      </c>
      <c r="AJ1798" s="2">
        <f t="shared" si="215"/>
        <v>0</v>
      </c>
      <c r="AK1798" s="2">
        <f t="shared" si="216"/>
        <v>0</v>
      </c>
      <c r="AL1798" s="5">
        <f t="shared" si="213"/>
        <v>0</v>
      </c>
    </row>
    <row r="1799" spans="1:38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1845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2"/>
        <v>0.5</v>
      </c>
      <c r="Z1799" s="2" t="s">
        <v>3237</v>
      </c>
      <c r="AA1799" s="2" t="s">
        <v>46</v>
      </c>
      <c r="AB1799" s="2" t="s">
        <v>47</v>
      </c>
      <c r="AC1799" s="2" t="s">
        <v>48</v>
      </c>
      <c r="AF1799" s="2">
        <f t="shared" si="214"/>
        <v>0</v>
      </c>
      <c r="AG1799" s="2">
        <v>9.3000000000000007</v>
      </c>
      <c r="AH1799" s="2">
        <v>21</v>
      </c>
      <c r="AJ1799" s="2">
        <f t="shared" si="215"/>
        <v>0</v>
      </c>
      <c r="AK1799" s="2">
        <f t="shared" si="216"/>
        <v>9.3000000000000007</v>
      </c>
      <c r="AL1799" s="5">
        <f t="shared" si="213"/>
        <v>0.5</v>
      </c>
    </row>
    <row r="1800" spans="1:38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2"/>
        <v>0.24285714285714285</v>
      </c>
      <c r="Z1800" s="2" t="s">
        <v>3237</v>
      </c>
      <c r="AA1800" s="2" t="s">
        <v>46</v>
      </c>
      <c r="AB1800" s="2" t="s">
        <v>57</v>
      </c>
      <c r="AC1800" s="2" t="s">
        <v>58</v>
      </c>
      <c r="AF1800" s="2">
        <f t="shared" si="214"/>
        <v>0</v>
      </c>
      <c r="AG1800" s="2">
        <v>10.6</v>
      </c>
      <c r="AH1800" s="2">
        <v>18</v>
      </c>
      <c r="AJ1800" s="2">
        <f t="shared" si="215"/>
        <v>0</v>
      </c>
      <c r="AK1800" s="2">
        <f t="shared" si="216"/>
        <v>34</v>
      </c>
      <c r="AL1800" s="5">
        <f t="shared" si="213"/>
        <v>0.24285714285714285</v>
      </c>
    </row>
    <row r="1801" spans="1:38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2"/>
        <v>0.29692307692307696</v>
      </c>
      <c r="Z1801" s="2" t="s">
        <v>3237</v>
      </c>
      <c r="AA1801" s="2" t="s">
        <v>46</v>
      </c>
      <c r="AB1801" s="2" t="s">
        <v>61</v>
      </c>
      <c r="AC1801" s="2" t="s">
        <v>58</v>
      </c>
      <c r="AF1801" s="2">
        <f t="shared" si="214"/>
        <v>0</v>
      </c>
      <c r="AG1801" s="2">
        <v>9.14</v>
      </c>
      <c r="AH1801" s="2">
        <v>16</v>
      </c>
      <c r="AJ1801" s="2">
        <f t="shared" si="215"/>
        <v>0</v>
      </c>
      <c r="AK1801" s="2">
        <f t="shared" si="216"/>
        <v>11.580000000000002</v>
      </c>
      <c r="AL1801" s="5">
        <f t="shared" si="213"/>
        <v>0.29692307692307696</v>
      </c>
    </row>
    <row r="1802" spans="1:38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2"/>
        <v>0.31666666666666665</v>
      </c>
      <c r="Z1802" s="2" t="s">
        <v>3237</v>
      </c>
      <c r="AA1802" s="2" t="s">
        <v>46</v>
      </c>
      <c r="AB1802" s="2" t="s">
        <v>61</v>
      </c>
      <c r="AC1802" s="2" t="s">
        <v>58</v>
      </c>
      <c r="AF1802" s="2">
        <f t="shared" si="214"/>
        <v>0</v>
      </c>
      <c r="AG1802" s="2">
        <v>8.1999999999999993</v>
      </c>
      <c r="AH1802" s="2">
        <v>13</v>
      </c>
      <c r="AJ1802" s="2">
        <f t="shared" si="215"/>
        <v>0</v>
      </c>
      <c r="AK1802" s="2">
        <f t="shared" si="216"/>
        <v>11.399999999999999</v>
      </c>
      <c r="AL1802" s="5">
        <f t="shared" si="213"/>
        <v>0.31666666666666665</v>
      </c>
    </row>
    <row r="1803" spans="1:38" x14ac:dyDescent="0.2">
      <c r="A1803" s="2">
        <v>2025</v>
      </c>
      <c r="B1803" s="2">
        <v>8</v>
      </c>
      <c r="D1803" s="2" t="s">
        <v>1846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4"/>
        <v>0</v>
      </c>
      <c r="AJ1803" s="2">
        <f t="shared" si="215"/>
        <v>0</v>
      </c>
      <c r="AK1803" s="2">
        <f t="shared" si="216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1846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2"/>
        <v>0.5</v>
      </c>
      <c r="Z1804" s="2" t="s">
        <v>118</v>
      </c>
      <c r="AA1804" s="2" t="s">
        <v>191</v>
      </c>
      <c r="AF1804" s="2">
        <f t="shared" si="214"/>
        <v>0</v>
      </c>
      <c r="AJ1804" s="2">
        <f t="shared" si="215"/>
        <v>0</v>
      </c>
      <c r="AK1804" s="2">
        <f t="shared" si="216"/>
        <v>12.5</v>
      </c>
      <c r="AL1804" s="5">
        <f t="shared" si="213"/>
        <v>0.5</v>
      </c>
    </row>
    <row r="1805" spans="1:38" x14ac:dyDescent="0.2">
      <c r="A1805" s="2">
        <v>2025</v>
      </c>
      <c r="B1805" s="2">
        <v>8</v>
      </c>
      <c r="D1805" s="2" t="s">
        <v>1116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1117</v>
      </c>
      <c r="J1805" s="2" t="s">
        <v>1118</v>
      </c>
      <c r="K1805" s="2">
        <v>914550474</v>
      </c>
      <c r="L1805" s="2" t="s">
        <v>100</v>
      </c>
      <c r="M1805" s="2" t="s">
        <v>81</v>
      </c>
      <c r="O1805" s="2" t="s">
        <v>1847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2"/>
        <v>0.52105128205128204</v>
      </c>
      <c r="Z1805" s="2" t="s">
        <v>3237</v>
      </c>
      <c r="AA1805" s="2" t="s">
        <v>46</v>
      </c>
      <c r="AB1805" s="2" t="s">
        <v>47</v>
      </c>
      <c r="AC1805" s="2" t="s">
        <v>48</v>
      </c>
      <c r="AF1805" s="2">
        <f t="shared" si="214"/>
        <v>0</v>
      </c>
      <c r="AG1805" s="2">
        <v>3.7357999999999998</v>
      </c>
      <c r="AH1805" s="2">
        <v>9</v>
      </c>
      <c r="AJ1805" s="2">
        <f t="shared" si="215"/>
        <v>0</v>
      </c>
      <c r="AK1805" s="2">
        <f t="shared" si="216"/>
        <v>24.385199999999998</v>
      </c>
      <c r="AL1805" s="5">
        <f t="shared" si="213"/>
        <v>0.52105128205128204</v>
      </c>
    </row>
    <row r="1806" spans="1:38" x14ac:dyDescent="0.2">
      <c r="A1806" s="2">
        <v>2025</v>
      </c>
      <c r="B1806" s="2">
        <v>8</v>
      </c>
      <c r="D1806" s="2" t="s">
        <v>1658</v>
      </c>
      <c r="E1806" s="2" t="s">
        <v>38</v>
      </c>
      <c r="F1806" s="2" t="s">
        <v>39</v>
      </c>
      <c r="H1806" s="2" t="s">
        <v>41</v>
      </c>
      <c r="I1806" s="2" t="s">
        <v>1659</v>
      </c>
      <c r="J1806" s="2" t="s">
        <v>1660</v>
      </c>
      <c r="L1806" s="2" t="s">
        <v>113</v>
      </c>
      <c r="M1806" s="2" t="s">
        <v>40</v>
      </c>
      <c r="O1806" s="2" t="s">
        <v>1848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4"/>
        <v>0</v>
      </c>
      <c r="AJ1806" s="2">
        <f t="shared" si="215"/>
        <v>0</v>
      </c>
      <c r="AK1806" s="2">
        <f t="shared" si="216"/>
        <v>-72.599999999999994</v>
      </c>
    </row>
    <row r="1807" spans="1:38" x14ac:dyDescent="0.2">
      <c r="A1807" s="2">
        <v>2025</v>
      </c>
      <c r="B1807" s="2">
        <v>8</v>
      </c>
      <c r="D1807" s="2" t="s">
        <v>1658</v>
      </c>
      <c r="E1807" s="2" t="s">
        <v>38</v>
      </c>
      <c r="F1807" s="2" t="s">
        <v>39</v>
      </c>
      <c r="H1807" s="2" t="s">
        <v>41</v>
      </c>
      <c r="I1807" s="2" t="s">
        <v>1659</v>
      </c>
      <c r="J1807" s="2" t="s">
        <v>1660</v>
      </c>
      <c r="L1807" s="2" t="s">
        <v>113</v>
      </c>
      <c r="M1807" s="2" t="s">
        <v>40</v>
      </c>
      <c r="O1807" s="2" t="s">
        <v>1848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4"/>
        <v>0</v>
      </c>
      <c r="AJ1807" s="2">
        <f t="shared" si="215"/>
        <v>0</v>
      </c>
      <c r="AK1807" s="2">
        <f t="shared" si="216"/>
        <v>-100</v>
      </c>
    </row>
    <row r="1808" spans="1:38" x14ac:dyDescent="0.2">
      <c r="A1808" s="2">
        <v>2025</v>
      </c>
      <c r="B1808" s="2">
        <v>8</v>
      </c>
      <c r="D1808" s="2" t="s">
        <v>1658</v>
      </c>
      <c r="E1808" s="2" t="s">
        <v>38</v>
      </c>
      <c r="F1808" s="2" t="s">
        <v>39</v>
      </c>
      <c r="H1808" s="2" t="s">
        <v>41</v>
      </c>
      <c r="I1808" s="2" t="s">
        <v>1659</v>
      </c>
      <c r="J1808" s="2" t="s">
        <v>1660</v>
      </c>
      <c r="L1808" s="2" t="s">
        <v>113</v>
      </c>
      <c r="M1808" s="2" t="s">
        <v>40</v>
      </c>
      <c r="O1808" s="2" t="s">
        <v>1848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4"/>
        <v>0</v>
      </c>
      <c r="AJ1808" s="2">
        <f t="shared" si="215"/>
        <v>0</v>
      </c>
    </row>
    <row r="1809" spans="1:38" x14ac:dyDescent="0.2">
      <c r="A1809" s="2">
        <v>2025</v>
      </c>
      <c r="B1809" s="2">
        <v>8</v>
      </c>
      <c r="D1809" s="2" t="s">
        <v>1666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2"/>
        <v>1</v>
      </c>
      <c r="AF1809" s="2">
        <f t="shared" si="214"/>
        <v>0</v>
      </c>
      <c r="AJ1809" s="2">
        <f t="shared" si="215"/>
        <v>0</v>
      </c>
      <c r="AK1809" s="2">
        <f t="shared" si="216"/>
        <v>14.29</v>
      </c>
      <c r="AL1809" s="5">
        <f t="shared" si="213"/>
        <v>1</v>
      </c>
    </row>
    <row r="1810" spans="1:38" x14ac:dyDescent="0.2">
      <c r="A1810" s="2">
        <v>2025</v>
      </c>
      <c r="B1810" s="2">
        <v>8</v>
      </c>
      <c r="D1810" s="2" t="s">
        <v>1666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2"/>
        <v>1</v>
      </c>
      <c r="Z1810" s="2" t="s">
        <v>170</v>
      </c>
      <c r="AA1810" s="2" t="s">
        <v>170</v>
      </c>
      <c r="AF1810" s="2">
        <f t="shared" si="214"/>
        <v>0</v>
      </c>
      <c r="AJ1810" s="2">
        <f t="shared" si="215"/>
        <v>0</v>
      </c>
      <c r="AK1810" s="2">
        <f t="shared" si="216"/>
        <v>8</v>
      </c>
      <c r="AL1810" s="5">
        <f t="shared" si="213"/>
        <v>1</v>
      </c>
    </row>
    <row r="1811" spans="1:38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1849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2"/>
        <v>0.53508771929824561</v>
      </c>
      <c r="Z1811" s="2" t="s">
        <v>3237</v>
      </c>
      <c r="AA1811" s="2" t="s">
        <v>46</v>
      </c>
      <c r="AB1811" s="2" t="s">
        <v>57</v>
      </c>
      <c r="AC1811" s="2" t="s">
        <v>58</v>
      </c>
      <c r="AF1811" s="2">
        <f t="shared" si="214"/>
        <v>0</v>
      </c>
      <c r="AG1811" s="2">
        <v>10.6</v>
      </c>
      <c r="AH1811" s="2">
        <v>18</v>
      </c>
      <c r="AJ1811" s="2">
        <f t="shared" si="215"/>
        <v>0</v>
      </c>
      <c r="AK1811" s="2">
        <f t="shared" si="216"/>
        <v>12.200000000000001</v>
      </c>
      <c r="AL1811" s="5">
        <f t="shared" si="213"/>
        <v>0.53508771929824561</v>
      </c>
    </row>
    <row r="1812" spans="1:38" x14ac:dyDescent="0.2">
      <c r="A1812" s="2">
        <v>2025</v>
      </c>
      <c r="B1812" s="2">
        <v>8</v>
      </c>
      <c r="D1812" s="2" t="s">
        <v>1850</v>
      </c>
      <c r="P1812" s="2" t="s">
        <v>283</v>
      </c>
      <c r="Q1812" s="2" t="s">
        <v>1851</v>
      </c>
      <c r="R1812" s="2" t="s">
        <v>1852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2"/>
        <v>1</v>
      </c>
      <c r="Z1812" s="2" t="s">
        <v>3237</v>
      </c>
      <c r="AF1812" s="2">
        <f t="shared" si="214"/>
        <v>0</v>
      </c>
      <c r="AJ1812" s="2">
        <f t="shared" si="215"/>
        <v>0</v>
      </c>
      <c r="AK1812" s="2">
        <f t="shared" si="216"/>
        <v>698</v>
      </c>
      <c r="AL1812" s="5">
        <f t="shared" si="213"/>
        <v>1</v>
      </c>
    </row>
    <row r="1813" spans="1:38" x14ac:dyDescent="0.2">
      <c r="A1813" s="2">
        <v>2025</v>
      </c>
      <c r="B1813" s="2">
        <v>8</v>
      </c>
      <c r="D1813" s="2" t="s">
        <v>1316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1317</v>
      </c>
      <c r="L1813" s="2" t="s">
        <v>178</v>
      </c>
      <c r="M1813" s="2" t="s">
        <v>41</v>
      </c>
      <c r="O1813" s="2" t="s">
        <v>1853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2"/>
        <v>0.33750000000000008</v>
      </c>
      <c r="Z1813" s="2" t="s">
        <v>3237</v>
      </c>
      <c r="AA1813" s="2" t="s">
        <v>46</v>
      </c>
      <c r="AB1813" s="2" t="s">
        <v>57</v>
      </c>
      <c r="AC1813" s="2" t="s">
        <v>58</v>
      </c>
      <c r="AF1813" s="2">
        <f t="shared" si="214"/>
        <v>0</v>
      </c>
      <c r="AG1813" s="2">
        <v>10.6</v>
      </c>
      <c r="AH1813" s="2">
        <v>18</v>
      </c>
      <c r="AJ1813" s="2">
        <f t="shared" si="215"/>
        <v>0</v>
      </c>
      <c r="AK1813" s="2">
        <f t="shared" si="216"/>
        <v>16.200000000000003</v>
      </c>
      <c r="AL1813" s="5">
        <f t="shared" si="213"/>
        <v>0.33750000000000008</v>
      </c>
    </row>
    <row r="1814" spans="1:38" x14ac:dyDescent="0.2">
      <c r="A1814" s="2">
        <v>2025</v>
      </c>
      <c r="B1814" s="2">
        <v>8</v>
      </c>
      <c r="D1814" s="2" t="s">
        <v>1316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1317</v>
      </c>
      <c r="L1814" s="2" t="s">
        <v>178</v>
      </c>
      <c r="M1814" s="2" t="s">
        <v>41</v>
      </c>
      <c r="O1814" s="2" t="s">
        <v>1853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2"/>
        <v>0.3166666666666666</v>
      </c>
      <c r="Z1814" s="2" t="s">
        <v>3237</v>
      </c>
      <c r="AA1814" s="2" t="s">
        <v>46</v>
      </c>
      <c r="AB1814" s="2" t="s">
        <v>61</v>
      </c>
      <c r="AC1814" s="2" t="s">
        <v>58</v>
      </c>
      <c r="AF1814" s="2">
        <f t="shared" si="214"/>
        <v>0</v>
      </c>
      <c r="AG1814" s="2">
        <v>8.1999999999999993</v>
      </c>
      <c r="AH1814" s="2">
        <v>13</v>
      </c>
      <c r="AJ1814" s="2">
        <f t="shared" si="215"/>
        <v>0</v>
      </c>
      <c r="AK1814" s="2">
        <f t="shared" si="216"/>
        <v>7.5999999999999979</v>
      </c>
      <c r="AL1814" s="5">
        <f t="shared" si="213"/>
        <v>0.3166666666666666</v>
      </c>
    </row>
    <row r="1815" spans="1:38" x14ac:dyDescent="0.2">
      <c r="A1815" s="2">
        <v>2025</v>
      </c>
      <c r="B1815" s="2">
        <v>8</v>
      </c>
      <c r="D1815" s="2" t="s">
        <v>1316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1317</v>
      </c>
      <c r="L1815" s="2" t="s">
        <v>178</v>
      </c>
      <c r="M1815" s="2" t="s">
        <v>41</v>
      </c>
      <c r="O1815" s="2" t="s">
        <v>1853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2"/>
        <v>0.34714285714285725</v>
      </c>
      <c r="Z1815" s="2" t="s">
        <v>3237</v>
      </c>
      <c r="AA1815" s="2" t="s">
        <v>46</v>
      </c>
      <c r="AB1815" s="2" t="s">
        <v>61</v>
      </c>
      <c r="AC1815" s="2" t="s">
        <v>58</v>
      </c>
      <c r="AF1815" s="2">
        <f t="shared" si="214"/>
        <v>0</v>
      </c>
      <c r="AJ1815" s="2">
        <f t="shared" si="215"/>
        <v>0</v>
      </c>
      <c r="AK1815" s="2">
        <f t="shared" si="216"/>
        <v>4.8600000000000012</v>
      </c>
      <c r="AL1815" s="5">
        <f t="shared" si="213"/>
        <v>0.34714285714285725</v>
      </c>
    </row>
    <row r="1816" spans="1:38" x14ac:dyDescent="0.2">
      <c r="A1816" s="2">
        <v>2025</v>
      </c>
      <c r="B1816" s="2">
        <v>10</v>
      </c>
      <c r="C1816" s="2" t="s">
        <v>3423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2"/>
        <v>0.72000000000000008</v>
      </c>
      <c r="Z1816" s="2" t="s">
        <v>3237</v>
      </c>
      <c r="AA1816" s="2" t="s">
        <v>156</v>
      </c>
      <c r="AB1816" s="2" t="s">
        <v>155</v>
      </c>
      <c r="AC1816" s="2" t="s">
        <v>153</v>
      </c>
      <c r="AF1816" s="2">
        <f t="shared" si="214"/>
        <v>0</v>
      </c>
      <c r="AJ1816" s="2">
        <f t="shared" si="215"/>
        <v>0</v>
      </c>
      <c r="AK1816" s="2">
        <f t="shared" si="216"/>
        <v>25.200000000000003</v>
      </c>
      <c r="AL1816" s="5">
        <f t="shared" si="213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1854</v>
      </c>
      <c r="R1817" s="2" t="s">
        <v>1855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2"/>
        <v>1</v>
      </c>
      <c r="Z1817" s="2" t="s">
        <v>3237</v>
      </c>
      <c r="AF1817" s="2">
        <f t="shared" si="214"/>
        <v>0</v>
      </c>
      <c r="AJ1817" s="2">
        <f t="shared" si="215"/>
        <v>0</v>
      </c>
      <c r="AK1817" s="2">
        <f t="shared" si="216"/>
        <v>36.9</v>
      </c>
      <c r="AL1817" s="5">
        <f t="shared" si="213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1595</v>
      </c>
      <c r="R1818" s="2" t="s">
        <v>1596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2"/>
        <v>0.26642857142857146</v>
      </c>
      <c r="Z1818" s="2" t="s">
        <v>3237</v>
      </c>
      <c r="AA1818" s="2" t="s">
        <v>72</v>
      </c>
      <c r="AB1818" s="2" t="s">
        <v>120</v>
      </c>
      <c r="AC1818" s="2" t="s">
        <v>120</v>
      </c>
      <c r="AF1818" s="2">
        <f t="shared" si="214"/>
        <v>0</v>
      </c>
      <c r="AJ1818" s="2">
        <f t="shared" si="215"/>
        <v>0</v>
      </c>
      <c r="AK1818" s="2">
        <f t="shared" si="216"/>
        <v>1.8650000000000002</v>
      </c>
      <c r="AL1818" s="5">
        <f t="shared" si="213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1856</v>
      </c>
      <c r="R1819" s="2" t="s">
        <v>1857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2"/>
        <v>1</v>
      </c>
      <c r="Z1819" s="2" t="s">
        <v>3237</v>
      </c>
      <c r="AF1819" s="2">
        <f t="shared" si="214"/>
        <v>0</v>
      </c>
      <c r="AJ1819" s="2">
        <f t="shared" si="215"/>
        <v>0</v>
      </c>
      <c r="AK1819" s="2">
        <f t="shared" si="216"/>
        <v>10.9</v>
      </c>
      <c r="AL1819" s="5">
        <f t="shared" si="213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1858</v>
      </c>
      <c r="R1820" s="2" t="s">
        <v>1859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2"/>
        <v>1</v>
      </c>
      <c r="Z1820" s="2" t="s">
        <v>3237</v>
      </c>
      <c r="AF1820" s="2">
        <f t="shared" si="214"/>
        <v>0</v>
      </c>
      <c r="AJ1820" s="2">
        <f t="shared" si="215"/>
        <v>0</v>
      </c>
      <c r="AK1820" s="2">
        <f t="shared" si="216"/>
        <v>56.91</v>
      </c>
      <c r="AL1820" s="5">
        <f t="shared" si="213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1448</v>
      </c>
      <c r="R1821" s="2" t="s">
        <v>1449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2"/>
        <v>1</v>
      </c>
      <c r="Z1821" s="2" t="s">
        <v>3237</v>
      </c>
      <c r="AF1821" s="2">
        <f t="shared" si="214"/>
        <v>0</v>
      </c>
      <c r="AJ1821" s="2">
        <f t="shared" si="215"/>
        <v>0</v>
      </c>
      <c r="AK1821" s="2">
        <f t="shared" si="216"/>
        <v>80</v>
      </c>
      <c r="AL1821" s="5">
        <f t="shared" si="213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2"/>
        <v>0.41111111111111115</v>
      </c>
      <c r="Z1822" s="2" t="s">
        <v>3237</v>
      </c>
      <c r="AA1822" s="2" t="s">
        <v>46</v>
      </c>
      <c r="AB1822" s="2" t="s">
        <v>57</v>
      </c>
      <c r="AC1822" s="2" t="s">
        <v>58</v>
      </c>
      <c r="AF1822" s="2">
        <f t="shared" si="214"/>
        <v>0</v>
      </c>
      <c r="AG1822" s="2">
        <v>10.6</v>
      </c>
      <c r="AH1822" s="2">
        <v>18</v>
      </c>
      <c r="AJ1822" s="2">
        <f t="shared" si="215"/>
        <v>0</v>
      </c>
      <c r="AK1822" s="2">
        <f t="shared" si="216"/>
        <v>22.200000000000003</v>
      </c>
      <c r="AL1822" s="5">
        <f t="shared" si="213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1860</v>
      </c>
      <c r="L1823" s="2" t="s">
        <v>100</v>
      </c>
      <c r="M1823" s="2" t="s">
        <v>81</v>
      </c>
      <c r="O1823" s="2" t="s">
        <v>1861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2"/>
        <v>0.58185714285714296</v>
      </c>
      <c r="Z1823" s="2" t="s">
        <v>3237</v>
      </c>
      <c r="AA1823" s="2" t="s">
        <v>46</v>
      </c>
      <c r="AB1823" s="2" t="s">
        <v>57</v>
      </c>
      <c r="AC1823" s="2" t="s">
        <v>58</v>
      </c>
      <c r="AF1823" s="2">
        <f t="shared" si="214"/>
        <v>0</v>
      </c>
      <c r="AG1823" s="2">
        <v>29.27</v>
      </c>
      <c r="AH1823" s="2">
        <v>60</v>
      </c>
      <c r="AJ1823" s="2">
        <f t="shared" si="215"/>
        <v>0</v>
      </c>
      <c r="AK1823" s="2">
        <f t="shared" si="216"/>
        <v>40.730000000000004</v>
      </c>
      <c r="AL1823" s="5">
        <f t="shared" si="213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2"/>
        <v>0.5243888888888889</v>
      </c>
      <c r="Z1824" s="2" t="s">
        <v>3237</v>
      </c>
      <c r="AA1824" s="2" t="s">
        <v>46</v>
      </c>
      <c r="AB1824" s="2" t="s">
        <v>61</v>
      </c>
      <c r="AC1824" s="2" t="s">
        <v>58</v>
      </c>
      <c r="AF1824" s="2">
        <f t="shared" si="214"/>
        <v>0</v>
      </c>
      <c r="AG1824" s="2">
        <v>0.85609999999999997</v>
      </c>
      <c r="AH1824" s="2">
        <v>1.8</v>
      </c>
      <c r="AJ1824" s="2">
        <f t="shared" si="215"/>
        <v>0</v>
      </c>
      <c r="AK1824" s="2">
        <f t="shared" si="216"/>
        <v>18.878</v>
      </c>
      <c r="AL1824" s="5">
        <f t="shared" ref="AL1824:AL1839" si="217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2"/>
        <v>0.46925333333333336</v>
      </c>
      <c r="Z1825" s="2" t="s">
        <v>3237</v>
      </c>
      <c r="AA1825" s="2" t="s">
        <v>46</v>
      </c>
      <c r="AB1825" s="2" t="s">
        <v>68</v>
      </c>
      <c r="AC1825" s="2" t="s">
        <v>58</v>
      </c>
      <c r="AF1825" s="2">
        <f t="shared" si="214"/>
        <v>0</v>
      </c>
      <c r="AG1825" s="2">
        <v>7.9611999999999998</v>
      </c>
      <c r="AH1825" s="2">
        <v>14.4</v>
      </c>
      <c r="AJ1825" s="2">
        <f t="shared" si="215"/>
        <v>0</v>
      </c>
      <c r="AK1825" s="2">
        <f t="shared" si="216"/>
        <v>7.0388000000000002</v>
      </c>
      <c r="AL1825" s="5">
        <f t="shared" si="217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2"/>
        <v>0.30712499999999993</v>
      </c>
      <c r="Z1826" s="2" t="s">
        <v>3237</v>
      </c>
      <c r="AA1826" s="2" t="s">
        <v>46</v>
      </c>
      <c r="AB1826" s="2" t="s">
        <v>68</v>
      </c>
      <c r="AC1826" s="2" t="s">
        <v>58</v>
      </c>
      <c r="AF1826" s="2">
        <f t="shared" si="214"/>
        <v>0</v>
      </c>
      <c r="AG1826" s="2">
        <v>8.3145000000000007</v>
      </c>
      <c r="AH1826" s="2">
        <v>15</v>
      </c>
      <c r="AJ1826" s="2">
        <f t="shared" si="215"/>
        <v>0</v>
      </c>
      <c r="AK1826" s="2">
        <f t="shared" si="216"/>
        <v>7.3709999999999987</v>
      </c>
      <c r="AL1826" s="5">
        <f t="shared" si="217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2"/>
        <v>0.52164705882352935</v>
      </c>
      <c r="Z1827" s="2" t="s">
        <v>3237</v>
      </c>
      <c r="AA1827" s="2" t="s">
        <v>76</v>
      </c>
      <c r="AB1827" s="2" t="s">
        <v>77</v>
      </c>
      <c r="AC1827" s="2" t="s">
        <v>78</v>
      </c>
      <c r="AF1827" s="2">
        <f t="shared" si="214"/>
        <v>0</v>
      </c>
      <c r="AJ1827" s="2">
        <f t="shared" si="215"/>
        <v>0</v>
      </c>
      <c r="AK1827" s="2">
        <f t="shared" si="216"/>
        <v>133.01999999999998</v>
      </c>
      <c r="AL1827" s="5">
        <f t="shared" si="217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1041</v>
      </c>
      <c r="Q1828" s="2" t="s">
        <v>1862</v>
      </c>
      <c r="R1828" s="2" t="s">
        <v>1863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2"/>
        <v>0.42702782711663712</v>
      </c>
      <c r="Z1828" s="2" t="s">
        <v>3237</v>
      </c>
      <c r="AA1828" s="2" t="s">
        <v>76</v>
      </c>
      <c r="AB1828" s="2" t="s">
        <v>77</v>
      </c>
      <c r="AC1828" s="2" t="s">
        <v>1041</v>
      </c>
      <c r="AF1828" s="2">
        <f t="shared" si="214"/>
        <v>0</v>
      </c>
      <c r="AJ1828" s="2">
        <f t="shared" si="215"/>
        <v>0</v>
      </c>
      <c r="AK1828" s="2">
        <f t="shared" si="216"/>
        <v>173.10000000000002</v>
      </c>
      <c r="AL1828" s="5">
        <f t="shared" si="217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1041</v>
      </c>
      <c r="Q1829" s="2" t="s">
        <v>1864</v>
      </c>
      <c r="R1829" s="2" t="s">
        <v>1865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2"/>
        <v>0.32995687783984018</v>
      </c>
      <c r="Z1829" s="2" t="s">
        <v>3237</v>
      </c>
      <c r="AA1829" s="2" t="s">
        <v>1044</v>
      </c>
      <c r="AB1829" s="2" t="s">
        <v>1322</v>
      </c>
      <c r="AC1829" s="2" t="s">
        <v>1041</v>
      </c>
      <c r="AF1829" s="2">
        <f t="shared" si="214"/>
        <v>0</v>
      </c>
      <c r="AJ1829" s="2">
        <f t="shared" si="215"/>
        <v>0</v>
      </c>
      <c r="AK1829" s="2">
        <f t="shared" si="216"/>
        <v>228.01999999999992</v>
      </c>
      <c r="AL1829" s="5">
        <f t="shared" si="217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2"/>
        <v>0</v>
      </c>
      <c r="Z1830" s="2" t="s">
        <v>3237</v>
      </c>
      <c r="AA1830" s="2" t="s">
        <v>97</v>
      </c>
      <c r="AB1830" s="2" t="s">
        <v>77</v>
      </c>
      <c r="AC1830" s="2" t="s">
        <v>94</v>
      </c>
      <c r="AF1830" s="2">
        <f t="shared" si="214"/>
        <v>0</v>
      </c>
      <c r="AJ1830" s="2">
        <f t="shared" si="215"/>
        <v>0</v>
      </c>
      <c r="AK1830" s="2">
        <f t="shared" si="216"/>
        <v>0</v>
      </c>
      <c r="AL1830" s="5">
        <f t="shared" si="217"/>
        <v>0</v>
      </c>
    </row>
    <row r="1831" spans="1:38" x14ac:dyDescent="0.2">
      <c r="A1831" s="2">
        <v>2025</v>
      </c>
      <c r="B1831" s="2">
        <v>10</v>
      </c>
      <c r="D1831" s="2" t="s">
        <v>1866</v>
      </c>
      <c r="E1831" s="2" t="s">
        <v>109</v>
      </c>
      <c r="G1831" s="2">
        <v>515549134</v>
      </c>
      <c r="H1831" s="2" t="s">
        <v>41</v>
      </c>
      <c r="I1831" s="2" t="s">
        <v>1867</v>
      </c>
      <c r="J1831" s="2" t="s">
        <v>1868</v>
      </c>
      <c r="L1831" s="2" t="s">
        <v>178</v>
      </c>
      <c r="M1831" s="2" t="s">
        <v>41</v>
      </c>
      <c r="O1831" s="2" t="s">
        <v>1869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2"/>
        <v>0.42644927536231886</v>
      </c>
      <c r="Z1831" s="2" t="s">
        <v>3237</v>
      </c>
      <c r="AA1831" s="2" t="s">
        <v>46</v>
      </c>
      <c r="AB1831" s="2" t="s">
        <v>57</v>
      </c>
      <c r="AC1831" s="2" t="s">
        <v>58</v>
      </c>
      <c r="AF1831" s="2">
        <f t="shared" si="214"/>
        <v>0</v>
      </c>
      <c r="AG1831" s="2">
        <v>7.915</v>
      </c>
      <c r="AJ1831" s="2">
        <f t="shared" si="215"/>
        <v>0</v>
      </c>
      <c r="AK1831" s="2">
        <f t="shared" si="216"/>
        <v>5.8850000000000007</v>
      </c>
      <c r="AL1831" s="5">
        <f t="shared" si="217"/>
        <v>0.42644927536231886</v>
      </c>
    </row>
    <row r="1832" spans="1:38" x14ac:dyDescent="0.2">
      <c r="A1832" s="2">
        <v>2025</v>
      </c>
      <c r="B1832" s="2">
        <v>10</v>
      </c>
      <c r="D1832" s="2" t="s">
        <v>1866</v>
      </c>
      <c r="E1832" s="2" t="s">
        <v>109</v>
      </c>
      <c r="G1832" s="2">
        <v>515549134</v>
      </c>
      <c r="H1832" s="2" t="s">
        <v>41</v>
      </c>
      <c r="I1832" s="2" t="s">
        <v>1867</v>
      </c>
      <c r="J1832" s="2" t="s">
        <v>1868</v>
      </c>
      <c r="L1832" s="2" t="s">
        <v>178</v>
      </c>
      <c r="M1832" s="2" t="s">
        <v>41</v>
      </c>
      <c r="O1832" s="2" t="s">
        <v>1869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2"/>
        <v>0.42327586206896545</v>
      </c>
      <c r="Z1832" s="2" t="s">
        <v>3237</v>
      </c>
      <c r="AA1832" s="2" t="s">
        <v>46</v>
      </c>
      <c r="AB1832" s="2" t="s">
        <v>57</v>
      </c>
      <c r="AC1832" s="2" t="s">
        <v>58</v>
      </c>
      <c r="AF1832" s="2">
        <f t="shared" si="214"/>
        <v>0</v>
      </c>
      <c r="AG1832" s="2">
        <v>10.035</v>
      </c>
      <c r="AJ1832" s="2">
        <f t="shared" si="215"/>
        <v>0</v>
      </c>
      <c r="AK1832" s="2">
        <f t="shared" si="216"/>
        <v>7.3649999999999984</v>
      </c>
      <c r="AL1832" s="5">
        <f t="shared" si="217"/>
        <v>0.42327586206896545</v>
      </c>
    </row>
    <row r="1833" spans="1:38" x14ac:dyDescent="0.2">
      <c r="A1833" s="2">
        <v>2025</v>
      </c>
      <c r="B1833" s="2">
        <v>10</v>
      </c>
      <c r="D1833" s="2" t="s">
        <v>1866</v>
      </c>
      <c r="E1833" s="2" t="s">
        <v>109</v>
      </c>
      <c r="G1833" s="2">
        <v>515549134</v>
      </c>
      <c r="H1833" s="2" t="s">
        <v>41</v>
      </c>
      <c r="I1833" s="2" t="s">
        <v>1867</v>
      </c>
      <c r="J1833" s="2" t="s">
        <v>1868</v>
      </c>
      <c r="L1833" s="2" t="s">
        <v>178</v>
      </c>
      <c r="M1833" s="2" t="s">
        <v>41</v>
      </c>
      <c r="O1833" s="2" t="s">
        <v>1869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2"/>
        <v>0.40745714285714285</v>
      </c>
      <c r="Z1833" s="2" t="s">
        <v>3237</v>
      </c>
      <c r="AA1833" s="2" t="s">
        <v>46</v>
      </c>
      <c r="AB1833" s="2" t="s">
        <v>57</v>
      </c>
      <c r="AC1833" s="2" t="s">
        <v>58</v>
      </c>
      <c r="AF1833" s="2">
        <f t="shared" si="214"/>
        <v>0</v>
      </c>
      <c r="AG1833" s="2">
        <v>12.4434</v>
      </c>
      <c r="AJ1833" s="2">
        <f t="shared" si="215"/>
        <v>0</v>
      </c>
      <c r="AK1833" s="2">
        <f t="shared" si="216"/>
        <v>8.5565999999999995</v>
      </c>
      <c r="AL1833" s="5">
        <f t="shared" si="217"/>
        <v>0.40745714285714285</v>
      </c>
    </row>
    <row r="1834" spans="1:38" x14ac:dyDescent="0.2">
      <c r="A1834" s="2">
        <v>2025</v>
      </c>
      <c r="B1834" s="2">
        <v>10</v>
      </c>
      <c r="D1834" s="2" t="s">
        <v>1866</v>
      </c>
      <c r="E1834" s="2" t="s">
        <v>109</v>
      </c>
      <c r="G1834" s="2">
        <v>515549134</v>
      </c>
      <c r="H1834" s="2" t="s">
        <v>41</v>
      </c>
      <c r="I1834" s="2" t="s">
        <v>1867</v>
      </c>
      <c r="J1834" s="2" t="s">
        <v>1868</v>
      </c>
      <c r="L1834" s="2" t="s">
        <v>178</v>
      </c>
      <c r="M1834" s="2" t="s">
        <v>41</v>
      </c>
      <c r="O1834" s="2" t="s">
        <v>1869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2"/>
        <v>0.44000000000000006</v>
      </c>
      <c r="Z1834" s="2" t="s">
        <v>3237</v>
      </c>
      <c r="AA1834" s="2" t="s">
        <v>46</v>
      </c>
      <c r="AB1834" s="2" t="s">
        <v>57</v>
      </c>
      <c r="AC1834" s="2" t="s">
        <v>58</v>
      </c>
      <c r="AF1834" s="2">
        <f t="shared" si="214"/>
        <v>0</v>
      </c>
      <c r="AG1834" s="2">
        <v>11.087999999999999</v>
      </c>
      <c r="AJ1834" s="2">
        <f t="shared" si="215"/>
        <v>0</v>
      </c>
      <c r="AK1834" s="2">
        <f t="shared" si="216"/>
        <v>8.7120000000000015</v>
      </c>
      <c r="AL1834" s="5">
        <f t="shared" si="217"/>
        <v>0.44000000000000006</v>
      </c>
    </row>
    <row r="1835" spans="1:38" x14ac:dyDescent="0.2">
      <c r="A1835" s="2">
        <v>2025</v>
      </c>
      <c r="B1835" s="2">
        <v>10</v>
      </c>
      <c r="D1835" s="2" t="s">
        <v>1866</v>
      </c>
      <c r="E1835" s="2" t="s">
        <v>109</v>
      </c>
      <c r="G1835" s="2">
        <v>515549134</v>
      </c>
      <c r="H1835" s="2" t="s">
        <v>41</v>
      </c>
      <c r="I1835" s="2" t="s">
        <v>1867</v>
      </c>
      <c r="J1835" s="2" t="s">
        <v>1868</v>
      </c>
      <c r="L1835" s="2" t="s">
        <v>178</v>
      </c>
      <c r="M1835" s="2" t="s">
        <v>41</v>
      </c>
      <c r="O1835" s="2" t="s">
        <v>1869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2"/>
        <v>0.28474761904761903</v>
      </c>
      <c r="Z1835" s="2" t="s">
        <v>3237</v>
      </c>
      <c r="AA1835" s="2" t="s">
        <v>46</v>
      </c>
      <c r="AB1835" s="2" t="s">
        <v>68</v>
      </c>
      <c r="AC1835" s="2" t="s">
        <v>58</v>
      </c>
      <c r="AF1835" s="2">
        <f t="shared" si="214"/>
        <v>0</v>
      </c>
      <c r="AG1835" s="2">
        <v>15.020300000000001</v>
      </c>
      <c r="AH1835" s="2">
        <v>27.6</v>
      </c>
      <c r="AJ1835" s="2">
        <f t="shared" si="215"/>
        <v>0</v>
      </c>
      <c r="AK1835" s="2">
        <f t="shared" si="216"/>
        <v>23.918799999999997</v>
      </c>
      <c r="AL1835" s="5">
        <f t="shared" si="217"/>
        <v>0.28474761904761903</v>
      </c>
    </row>
    <row r="1836" spans="1:38" x14ac:dyDescent="0.2">
      <c r="A1836" s="2">
        <v>2025</v>
      </c>
      <c r="B1836" s="2">
        <v>10</v>
      </c>
      <c r="D1836" s="2" t="s">
        <v>1454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2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4"/>
        <v>0</v>
      </c>
      <c r="AJ1836" s="2">
        <f t="shared" si="215"/>
        <v>0</v>
      </c>
      <c r="AK1836" s="2">
        <f t="shared" si="216"/>
        <v>3330.6000000000004</v>
      </c>
      <c r="AL1836" s="5">
        <f t="shared" si="217"/>
        <v>0.23790000000000003</v>
      </c>
    </row>
    <row r="1837" spans="1:38" x14ac:dyDescent="0.2">
      <c r="A1837" s="2">
        <v>2025</v>
      </c>
      <c r="B1837" s="2">
        <v>10</v>
      </c>
      <c r="D1837" s="2" t="s">
        <v>1870</v>
      </c>
      <c r="P1837" s="2" t="s">
        <v>73</v>
      </c>
      <c r="Q1837" s="2" t="s">
        <v>1038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2"/>
        <v>0.46033333333333332</v>
      </c>
      <c r="Z1837" s="2" t="s">
        <v>3237</v>
      </c>
      <c r="AA1837" s="2" t="s">
        <v>76</v>
      </c>
      <c r="AB1837" s="2" t="s">
        <v>77</v>
      </c>
      <c r="AC1837" s="2" t="s">
        <v>78</v>
      </c>
      <c r="AF1837" s="2">
        <f t="shared" si="214"/>
        <v>0</v>
      </c>
      <c r="AG1837" s="2">
        <v>113.33</v>
      </c>
      <c r="AH1837" s="2">
        <v>220</v>
      </c>
      <c r="AJ1837" s="2">
        <f t="shared" si="215"/>
        <v>0</v>
      </c>
      <c r="AK1837" s="2">
        <f t="shared" si="216"/>
        <v>96.67</v>
      </c>
      <c r="AL1837" s="5">
        <f t="shared" si="217"/>
        <v>0.46033333333333332</v>
      </c>
    </row>
    <row r="1838" spans="1:38" x14ac:dyDescent="0.2">
      <c r="A1838" s="2">
        <v>2025</v>
      </c>
      <c r="B1838" s="2">
        <v>10</v>
      </c>
      <c r="D1838" s="2" t="s">
        <v>1870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2"/>
        <v>0</v>
      </c>
      <c r="Z1838" s="2" t="s">
        <v>3237</v>
      </c>
      <c r="AA1838" s="2" t="s">
        <v>97</v>
      </c>
      <c r="AB1838" s="2" t="s">
        <v>77</v>
      </c>
      <c r="AC1838" s="2" t="s">
        <v>94</v>
      </c>
      <c r="AF1838" s="2">
        <f t="shared" si="214"/>
        <v>0</v>
      </c>
      <c r="AJ1838" s="2">
        <f t="shared" si="215"/>
        <v>0</v>
      </c>
      <c r="AK1838" s="2">
        <f t="shared" si="216"/>
        <v>0</v>
      </c>
      <c r="AL1838" s="5">
        <f t="shared" si="217"/>
        <v>0</v>
      </c>
    </row>
    <row r="1839" spans="1:38" x14ac:dyDescent="0.2">
      <c r="A1839" s="2">
        <v>2025</v>
      </c>
      <c r="B1839" s="2">
        <v>10</v>
      </c>
      <c r="D1839" s="2" t="s">
        <v>1462</v>
      </c>
      <c r="P1839" s="2" t="s">
        <v>283</v>
      </c>
      <c r="Q1839" s="2" t="s">
        <v>1554</v>
      </c>
      <c r="R1839" s="2" t="s">
        <v>1555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2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4"/>
        <v>0</v>
      </c>
      <c r="AJ1839" s="2">
        <f t="shared" si="215"/>
        <v>0</v>
      </c>
      <c r="AK1839" s="2">
        <f t="shared" si="216"/>
        <v>298</v>
      </c>
      <c r="AL1839" s="5">
        <f t="shared" si="217"/>
        <v>0.50084033613445378</v>
      </c>
    </row>
    <row r="1840" spans="1:38" x14ac:dyDescent="0.2">
      <c r="A1840" s="2">
        <v>2025</v>
      </c>
      <c r="B1840" s="2">
        <v>10</v>
      </c>
      <c r="D1840" s="2" t="s">
        <v>1462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3237</v>
      </c>
      <c r="AA1840" s="2" t="s">
        <v>46</v>
      </c>
      <c r="AB1840" s="2" t="s">
        <v>61</v>
      </c>
      <c r="AC1840" s="2" t="s">
        <v>3343</v>
      </c>
      <c r="AF1840" s="2">
        <f t="shared" si="214"/>
        <v>0</v>
      </c>
      <c r="AJ1840" s="2">
        <f t="shared" si="215"/>
        <v>0</v>
      </c>
      <c r="AK1840" s="2">
        <f t="shared" si="216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1462</v>
      </c>
      <c r="P1841" s="2" t="s">
        <v>43</v>
      </c>
      <c r="Q1841" s="2" t="s">
        <v>972</v>
      </c>
      <c r="R1841" s="2" t="s">
        <v>973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8">SIGN(T1841)*((ABS(T1841)-W1841)/ABS(T1841))</f>
        <v>-1</v>
      </c>
      <c r="Z1841" s="2" t="s">
        <v>3237</v>
      </c>
      <c r="AA1841" s="2" t="s">
        <v>46</v>
      </c>
      <c r="AB1841" s="2" t="s">
        <v>61</v>
      </c>
      <c r="AC1841" s="2" t="s">
        <v>58</v>
      </c>
      <c r="AF1841" s="2">
        <f t="shared" si="214"/>
        <v>0</v>
      </c>
      <c r="AJ1841" s="2">
        <f t="shared" si="215"/>
        <v>0</v>
      </c>
      <c r="AK1841" s="2">
        <f t="shared" ref="AK1841:AK1842" si="219">T1841+(W1841)</f>
        <v>-174</v>
      </c>
      <c r="AL1841" s="18">
        <f t="shared" ref="AL1841:AL1842" si="220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1462</v>
      </c>
      <c r="P1842" s="2" t="s">
        <v>43</v>
      </c>
      <c r="Q1842" s="2" t="s">
        <v>974</v>
      </c>
      <c r="R1842" s="2" t="s">
        <v>975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8"/>
        <v>-1</v>
      </c>
      <c r="Z1842" s="2" t="s">
        <v>3237</v>
      </c>
      <c r="AA1842" s="2" t="s">
        <v>46</v>
      </c>
      <c r="AB1842" s="2" t="s">
        <v>61</v>
      </c>
      <c r="AC1842" s="2" t="s">
        <v>58</v>
      </c>
      <c r="AF1842" s="2">
        <f t="shared" si="214"/>
        <v>0</v>
      </c>
      <c r="AJ1842" s="2">
        <f t="shared" si="215"/>
        <v>0</v>
      </c>
      <c r="AK1842" s="2">
        <f t="shared" si="219"/>
        <v>-174</v>
      </c>
      <c r="AL1842" s="18">
        <f t="shared" si="220"/>
        <v>-1</v>
      </c>
    </row>
    <row r="1843" spans="1:38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1">(T1843-W1843)/T1843</f>
        <v>0.52105128205128204</v>
      </c>
      <c r="Z1843" s="2" t="s">
        <v>3237</v>
      </c>
      <c r="AA1843" s="2" t="s">
        <v>46</v>
      </c>
      <c r="AB1843" s="2" t="s">
        <v>47</v>
      </c>
      <c r="AC1843" s="2" t="s">
        <v>48</v>
      </c>
      <c r="AF1843" s="2">
        <f t="shared" si="214"/>
        <v>0</v>
      </c>
      <c r="AG1843" s="2">
        <v>3.7357999999999998</v>
      </c>
      <c r="AH1843" s="2">
        <v>9</v>
      </c>
      <c r="AJ1843" s="2">
        <f t="shared" si="215"/>
        <v>0</v>
      </c>
      <c r="AK1843" s="2">
        <f t="shared" si="216"/>
        <v>4.0641999999999996</v>
      </c>
      <c r="AL1843" s="5">
        <f t="shared" ref="AL1843:AL1906" si="222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1"/>
        <v>0.45290151515151511</v>
      </c>
      <c r="Z1844" s="2" t="s">
        <v>3237</v>
      </c>
      <c r="AA1844" s="2" t="s">
        <v>46</v>
      </c>
      <c r="AB1844" s="2" t="s">
        <v>57</v>
      </c>
      <c r="AC1844" s="2" t="s">
        <v>58</v>
      </c>
      <c r="AF1844" s="2">
        <f t="shared" si="214"/>
        <v>0</v>
      </c>
      <c r="AG1844" s="2">
        <v>7.2217000000000002</v>
      </c>
      <c r="AH1844" s="2">
        <v>14.4</v>
      </c>
      <c r="AJ1844" s="2">
        <f t="shared" si="215"/>
        <v>0</v>
      </c>
      <c r="AK1844" s="2">
        <f t="shared" si="216"/>
        <v>5.9782999999999991</v>
      </c>
      <c r="AL1844" s="5">
        <f t="shared" si="222"/>
        <v>0.45290151515151511</v>
      </c>
    </row>
    <row r="1845" spans="1:38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1"/>
        <v>0.41111111111111115</v>
      </c>
      <c r="Z1845" s="2" t="s">
        <v>3237</v>
      </c>
      <c r="AA1845" s="2" t="s">
        <v>46</v>
      </c>
      <c r="AB1845" s="2" t="s">
        <v>57</v>
      </c>
      <c r="AC1845" s="2" t="s">
        <v>58</v>
      </c>
      <c r="AF1845" s="2">
        <f t="shared" si="214"/>
        <v>0</v>
      </c>
      <c r="AG1845" s="2">
        <v>10.6</v>
      </c>
      <c r="AH1845" s="2">
        <v>18</v>
      </c>
      <c r="AJ1845" s="2">
        <f t="shared" si="215"/>
        <v>0</v>
      </c>
      <c r="AK1845" s="2">
        <f t="shared" si="216"/>
        <v>7.4</v>
      </c>
      <c r="AL1845" s="5">
        <f t="shared" si="222"/>
        <v>0.41111111111111115</v>
      </c>
    </row>
    <row r="1846" spans="1:38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1"/>
        <v>0.36923076923076914</v>
      </c>
      <c r="Z1846" s="2" t="s">
        <v>3237</v>
      </c>
      <c r="AA1846" s="2" t="s">
        <v>46</v>
      </c>
      <c r="AB1846" s="2" t="s">
        <v>61</v>
      </c>
      <c r="AC1846" s="2" t="s">
        <v>58</v>
      </c>
      <c r="AF1846" s="2">
        <f t="shared" si="214"/>
        <v>0</v>
      </c>
      <c r="AG1846" s="2">
        <v>8.1999999999999993</v>
      </c>
      <c r="AH1846" s="2">
        <v>13</v>
      </c>
      <c r="AJ1846" s="2">
        <f t="shared" si="215"/>
        <v>0</v>
      </c>
      <c r="AK1846" s="2">
        <f t="shared" si="216"/>
        <v>4.7999999999999989</v>
      </c>
      <c r="AL1846" s="5">
        <f t="shared" si="222"/>
        <v>0.36923076923076914</v>
      </c>
    </row>
    <row r="1847" spans="1:38" x14ac:dyDescent="0.2">
      <c r="A1847" s="2">
        <v>2025</v>
      </c>
      <c r="B1847" s="2">
        <v>10</v>
      </c>
      <c r="D1847" s="2" t="s">
        <v>1871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1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4"/>
        <v>0</v>
      </c>
      <c r="AJ1847" s="2">
        <f t="shared" si="215"/>
        <v>0</v>
      </c>
      <c r="AK1847" s="2">
        <f t="shared" si="216"/>
        <v>352.72999999999996</v>
      </c>
      <c r="AL1847" s="5">
        <f t="shared" si="222"/>
        <v>0.50440440440440437</v>
      </c>
    </row>
    <row r="1848" spans="1:38" x14ac:dyDescent="0.2">
      <c r="A1848" s="2">
        <v>2025</v>
      </c>
      <c r="B1848" s="2">
        <v>10</v>
      </c>
      <c r="D1848" s="2" t="s">
        <v>1871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1"/>
        <v>0.59999999999999987</v>
      </c>
      <c r="Z1848" s="2" t="s">
        <v>118</v>
      </c>
      <c r="AA1848" s="2" t="s">
        <v>191</v>
      </c>
      <c r="AF1848" s="2">
        <f t="shared" si="214"/>
        <v>0</v>
      </c>
      <c r="AJ1848" s="2">
        <f t="shared" si="215"/>
        <v>0</v>
      </c>
      <c r="AK1848" s="2">
        <f t="shared" si="216"/>
        <v>64.199999999999989</v>
      </c>
      <c r="AL1848" s="5">
        <f t="shared" si="222"/>
        <v>0.59999999999999987</v>
      </c>
    </row>
    <row r="1849" spans="1:38" x14ac:dyDescent="0.2">
      <c r="A1849" s="2">
        <v>2025</v>
      </c>
      <c r="B1849" s="2">
        <v>10</v>
      </c>
      <c r="D1849" s="2" t="s">
        <v>1871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4"/>
        <v>0</v>
      </c>
      <c r="AJ1849" s="2">
        <f t="shared" si="215"/>
        <v>0</v>
      </c>
      <c r="AK1849" s="2">
        <f t="shared" si="216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1872</v>
      </c>
      <c r="P1850" s="2" t="s">
        <v>69</v>
      </c>
      <c r="Q1850" s="2" t="s">
        <v>1163</v>
      </c>
      <c r="R1850" s="2" t="s">
        <v>1164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1"/>
        <v>0.25937500000000002</v>
      </c>
      <c r="Z1850" s="2" t="s">
        <v>3237</v>
      </c>
      <c r="AA1850" s="2" t="s">
        <v>72</v>
      </c>
      <c r="AB1850" s="2" t="s">
        <v>69</v>
      </c>
      <c r="AC1850" s="2" t="s">
        <v>3242</v>
      </c>
      <c r="AF1850" s="2">
        <f t="shared" si="214"/>
        <v>0</v>
      </c>
      <c r="AJ1850" s="2">
        <f t="shared" si="215"/>
        <v>0</v>
      </c>
      <c r="AK1850" s="2">
        <f t="shared" si="216"/>
        <v>16.600000000000001</v>
      </c>
      <c r="AL1850" s="5">
        <f t="shared" si="222"/>
        <v>0.25937500000000002</v>
      </c>
    </row>
    <row r="1851" spans="1:38" x14ac:dyDescent="0.2">
      <c r="A1851" s="2">
        <v>2025</v>
      </c>
      <c r="B1851" s="2">
        <v>10</v>
      </c>
      <c r="D1851" s="2" t="s">
        <v>1872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1"/>
        <v>1</v>
      </c>
      <c r="Z1851" s="2" t="s">
        <v>170</v>
      </c>
      <c r="AA1851" s="2" t="s">
        <v>170</v>
      </c>
      <c r="AF1851" s="2">
        <f t="shared" si="214"/>
        <v>0</v>
      </c>
      <c r="AJ1851" s="2">
        <f t="shared" si="215"/>
        <v>0</v>
      </c>
      <c r="AK1851" s="2">
        <f t="shared" si="216"/>
        <v>8</v>
      </c>
      <c r="AL1851" s="5">
        <f t="shared" si="222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1873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1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4"/>
        <v>0</v>
      </c>
      <c r="AG1852" s="2">
        <v>40.357500000000002</v>
      </c>
      <c r="AJ1852" s="2">
        <f t="shared" si="215"/>
        <v>0</v>
      </c>
      <c r="AK1852" s="2">
        <f t="shared" si="216"/>
        <v>31.462499999999991</v>
      </c>
      <c r="AL1852" s="5">
        <f t="shared" si="222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1874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1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4"/>
        <v>0</v>
      </c>
      <c r="AG1853" s="2">
        <v>14.4</v>
      </c>
      <c r="AJ1853" s="2">
        <f t="shared" si="215"/>
        <v>0</v>
      </c>
      <c r="AK1853" s="2">
        <f t="shared" si="216"/>
        <v>6.4799999999999986</v>
      </c>
      <c r="AL1853" s="5">
        <f t="shared" si="222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1874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1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4"/>
        <v>0</v>
      </c>
      <c r="AG1854" s="2">
        <v>22.2</v>
      </c>
      <c r="AJ1854" s="2">
        <f t="shared" si="215"/>
        <v>0</v>
      </c>
      <c r="AK1854" s="2">
        <f t="shared" si="216"/>
        <v>18.917999999999999</v>
      </c>
      <c r="AL1854" s="5">
        <f t="shared" si="222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1873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1"/>
        <v>0.5</v>
      </c>
      <c r="Z1855" s="2" t="s">
        <v>118</v>
      </c>
      <c r="AA1855" s="2" t="s">
        <v>191</v>
      </c>
      <c r="AF1855" s="2">
        <f t="shared" si="214"/>
        <v>0</v>
      </c>
      <c r="AG1855" s="2">
        <v>11.246700000000001</v>
      </c>
      <c r="AJ1855" s="2">
        <f t="shared" si="215"/>
        <v>0</v>
      </c>
      <c r="AK1855" s="2">
        <f t="shared" si="216"/>
        <v>22.5</v>
      </c>
      <c r="AL1855" s="5">
        <f t="shared" si="222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1"/>
        <v>0.46612272727272724</v>
      </c>
      <c r="Z1856" s="2" t="s">
        <v>3237</v>
      </c>
      <c r="AA1856" s="2" t="s">
        <v>76</v>
      </c>
      <c r="AB1856" s="2" t="s">
        <v>77</v>
      </c>
      <c r="AC1856" s="2" t="s">
        <v>78</v>
      </c>
      <c r="AF1856" s="2">
        <f t="shared" si="214"/>
        <v>0</v>
      </c>
      <c r="AG1856" s="2">
        <v>117.453</v>
      </c>
      <c r="AH1856" s="2">
        <v>220</v>
      </c>
      <c r="AJ1856" s="2">
        <f t="shared" si="215"/>
        <v>0</v>
      </c>
      <c r="AK1856" s="2">
        <f t="shared" si="216"/>
        <v>102.547</v>
      </c>
      <c r="AL1856" s="5">
        <f t="shared" si="222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1"/>
        <v>0</v>
      </c>
      <c r="Z1857" s="2" t="s">
        <v>3237</v>
      </c>
      <c r="AA1857" s="2" t="s">
        <v>97</v>
      </c>
      <c r="AB1857" s="2" t="s">
        <v>77</v>
      </c>
      <c r="AC1857" s="2" t="s">
        <v>94</v>
      </c>
      <c r="AF1857" s="2">
        <f t="shared" si="214"/>
        <v>0</v>
      </c>
      <c r="AJ1857" s="2">
        <f t="shared" si="215"/>
        <v>0</v>
      </c>
      <c r="AK1857" s="2">
        <f t="shared" si="216"/>
        <v>0</v>
      </c>
      <c r="AL1857" s="5">
        <f t="shared" si="222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1"/>
        <v>0.46925333333333336</v>
      </c>
      <c r="Z1858" s="2" t="s">
        <v>3237</v>
      </c>
      <c r="AA1858" s="2" t="s">
        <v>46</v>
      </c>
      <c r="AB1858" s="2" t="s">
        <v>68</v>
      </c>
      <c r="AC1858" s="2" t="s">
        <v>58</v>
      </c>
      <c r="AF1858" s="2">
        <f t="shared" si="214"/>
        <v>0</v>
      </c>
      <c r="AG1858" s="2">
        <v>7.9611999999999998</v>
      </c>
      <c r="AH1858" s="2">
        <v>14.4</v>
      </c>
      <c r="AJ1858" s="2">
        <f t="shared" si="215"/>
        <v>0</v>
      </c>
      <c r="AK1858" s="2">
        <f t="shared" si="216"/>
        <v>7.0388000000000002</v>
      </c>
      <c r="AL1858" s="5">
        <f t="shared" si="222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1"/>
        <v>1</v>
      </c>
      <c r="Z1859" s="2" t="s">
        <v>170</v>
      </c>
      <c r="AA1859" s="2" t="s">
        <v>170</v>
      </c>
      <c r="AF1859" s="2">
        <f t="shared" ref="AF1859:AF1922" si="223">AJ1859</f>
        <v>0</v>
      </c>
      <c r="AJ1859" s="2">
        <f t="shared" ref="AJ1859:AJ1922" si="224">AI1859*T1859</f>
        <v>0</v>
      </c>
      <c r="AK1859" s="2">
        <f t="shared" ref="AK1859:AK1922" si="225">T1859-W1859</f>
        <v>8</v>
      </c>
      <c r="AL1859" s="5">
        <f t="shared" si="222"/>
        <v>1</v>
      </c>
    </row>
    <row r="1860" spans="1:38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1"/>
        <v>0.62926666666666664</v>
      </c>
      <c r="Z1860" s="2" t="s">
        <v>3237</v>
      </c>
      <c r="AA1860" s="2" t="s">
        <v>46</v>
      </c>
      <c r="AB1860" s="2" t="s">
        <v>61</v>
      </c>
      <c r="AC1860" s="2" t="s">
        <v>58</v>
      </c>
      <c r="AF1860" s="2">
        <f t="shared" si="223"/>
        <v>0</v>
      </c>
      <c r="AG1860" s="2">
        <v>1.1122000000000001</v>
      </c>
      <c r="AH1860" s="2">
        <v>3</v>
      </c>
      <c r="AJ1860" s="2">
        <f t="shared" si="224"/>
        <v>0</v>
      </c>
      <c r="AK1860" s="2">
        <f t="shared" si="225"/>
        <v>37.756</v>
      </c>
      <c r="AL1860" s="5">
        <f t="shared" si="222"/>
        <v>0.62926666666666664</v>
      </c>
    </row>
    <row r="1861" spans="1:38" x14ac:dyDescent="0.2">
      <c r="A1861" s="2">
        <v>2025</v>
      </c>
      <c r="B1861" s="2">
        <v>10</v>
      </c>
      <c r="D1861" s="2" t="s">
        <v>1490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1"/>
        <v>1</v>
      </c>
      <c r="Z1861" s="2" t="s">
        <v>120</v>
      </c>
      <c r="AA1861" s="2" t="s">
        <v>3392</v>
      </c>
      <c r="AF1861" s="2">
        <f t="shared" si="223"/>
        <v>0</v>
      </c>
      <c r="AJ1861" s="2">
        <f t="shared" si="224"/>
        <v>0</v>
      </c>
      <c r="AK1861" s="2">
        <f t="shared" si="225"/>
        <v>8000</v>
      </c>
      <c r="AL1861" s="5">
        <f t="shared" si="222"/>
        <v>1</v>
      </c>
    </row>
    <row r="1862" spans="1:38" x14ac:dyDescent="0.2">
      <c r="A1862" s="2">
        <v>2025</v>
      </c>
      <c r="B1862" s="2">
        <v>10</v>
      </c>
      <c r="D1862" s="2" t="s">
        <v>1494</v>
      </c>
      <c r="P1862" s="2" t="s">
        <v>115</v>
      </c>
      <c r="Q1862" s="2" t="s">
        <v>1585</v>
      </c>
      <c r="R1862" s="2" t="s">
        <v>1586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1"/>
        <v>1</v>
      </c>
      <c r="AF1862" s="2">
        <f t="shared" si="223"/>
        <v>0</v>
      </c>
      <c r="AJ1862" s="2">
        <f t="shared" si="224"/>
        <v>0</v>
      </c>
      <c r="AK1862" s="2">
        <f t="shared" si="225"/>
        <v>-6680</v>
      </c>
      <c r="AL1862" s="5">
        <f t="shared" si="222"/>
        <v>1</v>
      </c>
    </row>
    <row r="1863" spans="1:38" x14ac:dyDescent="0.2">
      <c r="A1863" s="2">
        <v>2025</v>
      </c>
      <c r="B1863" s="2">
        <v>10</v>
      </c>
      <c r="D1863" s="2" t="s">
        <v>1494</v>
      </c>
      <c r="M1863" s="2" t="s">
        <v>40</v>
      </c>
      <c r="P1863" s="2" t="s">
        <v>188</v>
      </c>
      <c r="Q1863" s="2" t="s">
        <v>1312</v>
      </c>
      <c r="R1863" s="2" t="s">
        <v>1313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1314</v>
      </c>
      <c r="AF1863" s="2">
        <f t="shared" si="223"/>
        <v>0</v>
      </c>
      <c r="AJ1863" s="2">
        <f t="shared" si="224"/>
        <v>0</v>
      </c>
      <c r="AK1863" s="2">
        <f t="shared" si="225"/>
        <v>0</v>
      </c>
      <c r="AL1863" s="5" t="e">
        <f t="shared" si="222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1875</v>
      </c>
      <c r="P1864" s="2" t="s">
        <v>115</v>
      </c>
      <c r="Q1864" s="2" t="s">
        <v>1876</v>
      </c>
      <c r="R1864" s="2" t="s">
        <v>1877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6">(T1864-W1864)/T1864</f>
        <v>1</v>
      </c>
      <c r="AF1864" s="2">
        <f t="shared" si="223"/>
        <v>0</v>
      </c>
      <c r="AJ1864" s="2">
        <f t="shared" si="224"/>
        <v>0</v>
      </c>
      <c r="AK1864" s="2">
        <f t="shared" si="225"/>
        <v>1495.7</v>
      </c>
      <c r="AL1864" s="5">
        <f t="shared" si="222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1875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6"/>
        <v>0.6</v>
      </c>
      <c r="Z1865" s="2" t="s">
        <v>118</v>
      </c>
      <c r="AA1865" s="2" t="s">
        <v>191</v>
      </c>
      <c r="AF1865" s="2">
        <f t="shared" si="223"/>
        <v>0</v>
      </c>
      <c r="AJ1865" s="2">
        <f t="shared" si="224"/>
        <v>0</v>
      </c>
      <c r="AK1865" s="2">
        <f t="shared" si="225"/>
        <v>94.8</v>
      </c>
      <c r="AL1865" s="5">
        <f t="shared" si="222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1875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6"/>
        <v>0.5</v>
      </c>
      <c r="Z1866" s="2" t="s">
        <v>118</v>
      </c>
      <c r="AA1866" s="2" t="s">
        <v>191</v>
      </c>
      <c r="AF1866" s="2">
        <f t="shared" si="223"/>
        <v>0</v>
      </c>
      <c r="AJ1866" s="2">
        <f t="shared" si="224"/>
        <v>0</v>
      </c>
      <c r="AK1866" s="2">
        <f t="shared" si="225"/>
        <v>100</v>
      </c>
      <c r="AL1866" s="5">
        <f t="shared" si="222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1875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3"/>
        <v>0</v>
      </c>
      <c r="AJ1867" s="2">
        <f t="shared" si="224"/>
        <v>0</v>
      </c>
      <c r="AK1867" s="2">
        <f t="shared" si="225"/>
        <v>698.32</v>
      </c>
      <c r="AL1867" s="5">
        <f t="shared" si="222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1878</v>
      </c>
      <c r="P1868" s="2" t="s">
        <v>43</v>
      </c>
      <c r="Q1868" s="2" t="s">
        <v>972</v>
      </c>
      <c r="R1868" s="2" t="s">
        <v>973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6"/>
        <v>1</v>
      </c>
      <c r="Z1868" s="2" t="s">
        <v>3237</v>
      </c>
      <c r="AA1868" s="2" t="s">
        <v>46</v>
      </c>
      <c r="AB1868" s="2" t="s">
        <v>61</v>
      </c>
      <c r="AC1868" s="2" t="s">
        <v>58</v>
      </c>
      <c r="AF1868" s="2">
        <f t="shared" si="223"/>
        <v>0</v>
      </c>
      <c r="AJ1868" s="2">
        <f t="shared" si="224"/>
        <v>0</v>
      </c>
      <c r="AK1868" s="2">
        <f t="shared" si="225"/>
        <v>498</v>
      </c>
      <c r="AL1868" s="5">
        <f t="shared" si="222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1878</v>
      </c>
      <c r="P1869" s="2" t="s">
        <v>43</v>
      </c>
      <c r="Q1869" s="2" t="s">
        <v>974</v>
      </c>
      <c r="R1869" s="2" t="s">
        <v>975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6"/>
        <v>1</v>
      </c>
      <c r="Z1869" s="2" t="s">
        <v>3237</v>
      </c>
      <c r="AA1869" s="2" t="s">
        <v>46</v>
      </c>
      <c r="AB1869" s="2" t="s">
        <v>61</v>
      </c>
      <c r="AC1869" s="2" t="s">
        <v>58</v>
      </c>
      <c r="AF1869" s="2">
        <f t="shared" si="223"/>
        <v>0</v>
      </c>
      <c r="AJ1869" s="2">
        <f t="shared" si="224"/>
        <v>0</v>
      </c>
      <c r="AK1869" s="2">
        <f t="shared" si="225"/>
        <v>498</v>
      </c>
      <c r="AL1869" s="5">
        <f t="shared" si="222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1879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6"/>
        <v>0.44554545454545452</v>
      </c>
      <c r="Z1870" s="2" t="s">
        <v>3237</v>
      </c>
      <c r="AA1870" s="2" t="s">
        <v>76</v>
      </c>
      <c r="AB1870" s="2" t="s">
        <v>77</v>
      </c>
      <c r="AC1870" s="2" t="s">
        <v>78</v>
      </c>
      <c r="AF1870" s="2">
        <f t="shared" si="223"/>
        <v>0</v>
      </c>
      <c r="AG1870" s="2">
        <v>121.0733</v>
      </c>
      <c r="AH1870" s="2">
        <v>220</v>
      </c>
      <c r="AJ1870" s="2">
        <f t="shared" si="224"/>
        <v>0</v>
      </c>
      <c r="AK1870" s="2">
        <f t="shared" si="225"/>
        <v>98.02</v>
      </c>
      <c r="AL1870" s="5">
        <f t="shared" si="222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1880</v>
      </c>
      <c r="P1871" s="2" t="s">
        <v>73</v>
      </c>
      <c r="Q1871" s="2" t="s">
        <v>1453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6"/>
        <v>0.44342727272727273</v>
      </c>
      <c r="Z1871" s="2" t="s">
        <v>3237</v>
      </c>
      <c r="AA1871" s="2" t="s">
        <v>76</v>
      </c>
      <c r="AB1871" s="2" t="s">
        <v>77</v>
      </c>
      <c r="AC1871" s="2" t="s">
        <v>78</v>
      </c>
      <c r="AF1871" s="2">
        <f t="shared" si="223"/>
        <v>0</v>
      </c>
      <c r="AG1871" s="2">
        <v>122.446</v>
      </c>
      <c r="AH1871" s="2">
        <v>230</v>
      </c>
      <c r="AJ1871" s="2">
        <f t="shared" si="224"/>
        <v>0</v>
      </c>
      <c r="AK1871" s="2">
        <f t="shared" si="225"/>
        <v>97.554000000000002</v>
      </c>
      <c r="AL1871" s="5">
        <f t="shared" si="222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1881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6"/>
        <v>0.44659999999999994</v>
      </c>
      <c r="Z1872" s="2" t="s">
        <v>3237</v>
      </c>
      <c r="AA1872" s="2" t="s">
        <v>76</v>
      </c>
      <c r="AB1872" s="2" t="s">
        <v>77</v>
      </c>
      <c r="AC1872" s="2" t="s">
        <v>78</v>
      </c>
      <c r="AF1872" s="2">
        <f t="shared" si="223"/>
        <v>0</v>
      </c>
      <c r="AG1872" s="2">
        <v>110.68</v>
      </c>
      <c r="AH1872" s="2">
        <v>210</v>
      </c>
      <c r="AJ1872" s="2">
        <f t="shared" si="224"/>
        <v>0</v>
      </c>
      <c r="AK1872" s="2">
        <f t="shared" si="225"/>
        <v>89.32</v>
      </c>
      <c r="AL1872" s="5">
        <f t="shared" si="222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1879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6"/>
        <v>0</v>
      </c>
      <c r="Z1873" s="2" t="s">
        <v>3237</v>
      </c>
      <c r="AA1873" s="2" t="s">
        <v>97</v>
      </c>
      <c r="AB1873" s="2" t="s">
        <v>77</v>
      </c>
      <c r="AC1873" s="2" t="s">
        <v>94</v>
      </c>
      <c r="AF1873" s="2">
        <f t="shared" si="223"/>
        <v>0</v>
      </c>
      <c r="AG1873" s="2">
        <v>1.1399999999999999</v>
      </c>
      <c r="AH1873" s="2">
        <v>1.1399999999999999</v>
      </c>
      <c r="AJ1873" s="2">
        <f t="shared" si="224"/>
        <v>0</v>
      </c>
      <c r="AK1873" s="2">
        <f t="shared" si="225"/>
        <v>0</v>
      </c>
      <c r="AL1873" s="5">
        <f t="shared" si="222"/>
        <v>0</v>
      </c>
    </row>
    <row r="1874" spans="1:38" x14ac:dyDescent="0.2">
      <c r="A1874" s="2">
        <v>2025</v>
      </c>
      <c r="B1874" s="2">
        <v>10</v>
      </c>
      <c r="D1874" s="2" t="s">
        <v>1882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6"/>
        <v>0.6</v>
      </c>
      <c r="Z1874" s="2" t="s">
        <v>118</v>
      </c>
      <c r="AA1874" s="2" t="s">
        <v>191</v>
      </c>
      <c r="AF1874" s="2">
        <f t="shared" si="223"/>
        <v>0</v>
      </c>
      <c r="AJ1874" s="2">
        <f t="shared" si="224"/>
        <v>0</v>
      </c>
      <c r="AK1874" s="2">
        <f t="shared" si="225"/>
        <v>32.4</v>
      </c>
      <c r="AL1874" s="5">
        <f t="shared" si="222"/>
        <v>0.6</v>
      </c>
    </row>
    <row r="1875" spans="1:38" x14ac:dyDescent="0.2">
      <c r="A1875" s="2">
        <v>2025</v>
      </c>
      <c r="B1875" s="2">
        <v>10</v>
      </c>
      <c r="D1875" s="2" t="s">
        <v>1882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6"/>
        <v>0.5</v>
      </c>
      <c r="Z1875" s="2" t="s">
        <v>118</v>
      </c>
      <c r="AA1875" s="2" t="s">
        <v>191</v>
      </c>
      <c r="AF1875" s="2">
        <f t="shared" si="223"/>
        <v>0</v>
      </c>
      <c r="AJ1875" s="2">
        <f t="shared" si="224"/>
        <v>0</v>
      </c>
      <c r="AK1875" s="2">
        <f t="shared" si="225"/>
        <v>37.5</v>
      </c>
      <c r="AL1875" s="5">
        <f t="shared" si="222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6"/>
        <v>0.41191666666666665</v>
      </c>
      <c r="Z1876" s="2" t="s">
        <v>3237</v>
      </c>
      <c r="AA1876" s="2" t="s">
        <v>46</v>
      </c>
      <c r="AB1876" s="2" t="s">
        <v>61</v>
      </c>
      <c r="AC1876" s="2" t="s">
        <v>58</v>
      </c>
      <c r="AF1876" s="2">
        <f t="shared" si="223"/>
        <v>0</v>
      </c>
      <c r="AG1876" s="2">
        <v>1.4114</v>
      </c>
      <c r="AH1876" s="2">
        <v>3</v>
      </c>
      <c r="AJ1876" s="2">
        <f t="shared" si="224"/>
        <v>0</v>
      </c>
      <c r="AK1876" s="2">
        <f t="shared" si="225"/>
        <v>3.9543999999999997</v>
      </c>
      <c r="AL1876" s="5">
        <f t="shared" si="222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6"/>
        <v>0.46722222222222221</v>
      </c>
      <c r="Z1877" s="2" t="s">
        <v>3237</v>
      </c>
      <c r="AA1877" s="2" t="s">
        <v>46</v>
      </c>
      <c r="AB1877" s="2" t="s">
        <v>61</v>
      </c>
      <c r="AC1877" s="2" t="s">
        <v>58</v>
      </c>
      <c r="AF1877" s="2">
        <f t="shared" si="223"/>
        <v>0</v>
      </c>
      <c r="AJ1877" s="2">
        <f t="shared" si="224"/>
        <v>0</v>
      </c>
      <c r="AK1877" s="2">
        <f t="shared" si="225"/>
        <v>8.41</v>
      </c>
      <c r="AL1877" s="5">
        <f t="shared" si="222"/>
        <v>0.46722222222222221</v>
      </c>
    </row>
    <row r="1878" spans="1:38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6"/>
        <v>0.46612272727272724</v>
      </c>
      <c r="Z1878" s="2" t="s">
        <v>3237</v>
      </c>
      <c r="AA1878" s="2" t="s">
        <v>76</v>
      </c>
      <c r="AB1878" s="2" t="s">
        <v>77</v>
      </c>
      <c r="AC1878" s="2" t="s">
        <v>78</v>
      </c>
      <c r="AF1878" s="2">
        <f t="shared" si="223"/>
        <v>0</v>
      </c>
      <c r="AG1878" s="2">
        <v>117.453</v>
      </c>
      <c r="AH1878" s="2">
        <v>220</v>
      </c>
      <c r="AJ1878" s="2">
        <f t="shared" si="224"/>
        <v>0</v>
      </c>
      <c r="AK1878" s="2">
        <f t="shared" si="225"/>
        <v>102.547</v>
      </c>
      <c r="AL1878" s="5">
        <f t="shared" si="222"/>
        <v>0.46612272727272724</v>
      </c>
    </row>
    <row r="1879" spans="1:38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6"/>
        <v>0</v>
      </c>
      <c r="Z1879" s="2" t="s">
        <v>3237</v>
      </c>
      <c r="AA1879" s="2" t="s">
        <v>97</v>
      </c>
      <c r="AB1879" s="2" t="s">
        <v>77</v>
      </c>
      <c r="AC1879" s="2" t="s">
        <v>94</v>
      </c>
      <c r="AF1879" s="2">
        <f t="shared" si="223"/>
        <v>0</v>
      </c>
      <c r="AG1879" s="2">
        <v>1.1399999999999999</v>
      </c>
      <c r="AH1879" s="2">
        <v>1.1399999999999999</v>
      </c>
      <c r="AJ1879" s="2">
        <f t="shared" si="224"/>
        <v>0</v>
      </c>
      <c r="AK1879" s="2">
        <f t="shared" si="225"/>
        <v>0</v>
      </c>
      <c r="AL1879" s="5">
        <f t="shared" si="222"/>
        <v>0</v>
      </c>
    </row>
    <row r="1880" spans="1:38" x14ac:dyDescent="0.2">
      <c r="A1880" s="2">
        <v>2025</v>
      </c>
      <c r="B1880" s="2">
        <v>10</v>
      </c>
      <c r="D1880" s="2" t="s">
        <v>1354</v>
      </c>
      <c r="P1880" s="2" t="s">
        <v>115</v>
      </c>
      <c r="Q1880" s="2" t="s">
        <v>1883</v>
      </c>
      <c r="R1880" s="2" t="s">
        <v>1884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6"/>
        <v>1</v>
      </c>
      <c r="AF1880" s="2">
        <f t="shared" si="223"/>
        <v>0</v>
      </c>
      <c r="AJ1880" s="2">
        <f t="shared" si="224"/>
        <v>0</v>
      </c>
      <c r="AK1880" s="2">
        <f t="shared" si="225"/>
        <v>438.9</v>
      </c>
      <c r="AL1880" s="5">
        <f t="shared" si="222"/>
        <v>1</v>
      </c>
    </row>
    <row r="1881" spans="1:38" x14ac:dyDescent="0.2">
      <c r="A1881" s="2">
        <v>2025</v>
      </c>
      <c r="B1881" s="2">
        <v>10</v>
      </c>
      <c r="D1881" s="2" t="s">
        <v>1354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6"/>
        <v>1</v>
      </c>
      <c r="AF1881" s="2">
        <f t="shared" si="223"/>
        <v>0</v>
      </c>
      <c r="AJ1881" s="2">
        <f t="shared" si="224"/>
        <v>0</v>
      </c>
      <c r="AK1881" s="2">
        <f t="shared" si="225"/>
        <v>153.34</v>
      </c>
      <c r="AL1881" s="5">
        <f t="shared" si="222"/>
        <v>1</v>
      </c>
    </row>
    <row r="1882" spans="1:38" x14ac:dyDescent="0.2">
      <c r="A1882" s="2">
        <v>2025</v>
      </c>
      <c r="B1882" s="2">
        <v>10</v>
      </c>
      <c r="D1882" s="2" t="s">
        <v>1354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6"/>
        <v>1</v>
      </c>
      <c r="AF1882" s="2">
        <f t="shared" si="223"/>
        <v>0</v>
      </c>
      <c r="AJ1882" s="2">
        <f t="shared" si="224"/>
        <v>0</v>
      </c>
      <c r="AK1882" s="2">
        <f t="shared" si="225"/>
        <v>57.15</v>
      </c>
      <c r="AL1882" s="5">
        <f t="shared" si="222"/>
        <v>1</v>
      </c>
    </row>
    <row r="1883" spans="1:38" x14ac:dyDescent="0.2">
      <c r="A1883" s="2">
        <v>2025</v>
      </c>
      <c r="B1883" s="2">
        <v>10</v>
      </c>
      <c r="D1883" s="2" t="s">
        <v>1354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3"/>
        <v>0</v>
      </c>
      <c r="AJ1883" s="2">
        <f t="shared" si="224"/>
        <v>0</v>
      </c>
      <c r="AK1883" s="2">
        <f t="shared" si="225"/>
        <v>354.09659999999997</v>
      </c>
      <c r="AL1883" s="5">
        <f t="shared" si="222"/>
        <v>0.50635864435864431</v>
      </c>
    </row>
    <row r="1884" spans="1:38" x14ac:dyDescent="0.2">
      <c r="A1884" s="2">
        <v>2025</v>
      </c>
      <c r="B1884" s="2">
        <v>10</v>
      </c>
      <c r="D1884" s="2" t="s">
        <v>1354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6"/>
        <v>0.6</v>
      </c>
      <c r="Z1884" s="2" t="s">
        <v>118</v>
      </c>
      <c r="AA1884" s="2" t="s">
        <v>191</v>
      </c>
      <c r="AF1884" s="2">
        <f t="shared" si="223"/>
        <v>0</v>
      </c>
      <c r="AJ1884" s="2">
        <f t="shared" si="224"/>
        <v>0</v>
      </c>
      <c r="AK1884" s="2">
        <f t="shared" si="225"/>
        <v>33</v>
      </c>
      <c r="AL1884" s="5">
        <f t="shared" si="222"/>
        <v>0.6</v>
      </c>
    </row>
    <row r="1885" spans="1:38" x14ac:dyDescent="0.2">
      <c r="A1885" s="2">
        <v>2025</v>
      </c>
      <c r="B1885" s="2">
        <v>10</v>
      </c>
      <c r="D1885" s="2" t="s">
        <v>1354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6"/>
        <v>0.5</v>
      </c>
      <c r="Z1885" s="2" t="s">
        <v>118</v>
      </c>
      <c r="AA1885" s="2" t="s">
        <v>191</v>
      </c>
      <c r="AF1885" s="2">
        <f t="shared" si="223"/>
        <v>0</v>
      </c>
      <c r="AJ1885" s="2">
        <f t="shared" si="224"/>
        <v>0</v>
      </c>
      <c r="AK1885" s="2">
        <f t="shared" si="225"/>
        <v>25</v>
      </c>
      <c r="AL1885" s="5">
        <f t="shared" si="222"/>
        <v>0.5</v>
      </c>
    </row>
    <row r="1886" spans="1:38" x14ac:dyDescent="0.2">
      <c r="A1886" s="2">
        <v>2025</v>
      </c>
      <c r="B1886" s="2">
        <v>10</v>
      </c>
      <c r="D1886" s="2" t="s">
        <v>1885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6"/>
        <v>1</v>
      </c>
      <c r="AF1886" s="2">
        <f t="shared" si="223"/>
        <v>0</v>
      </c>
      <c r="AJ1886" s="2">
        <f t="shared" si="224"/>
        <v>0</v>
      </c>
      <c r="AK1886" s="2">
        <f t="shared" si="225"/>
        <v>153.34</v>
      </c>
      <c r="AL1886" s="5">
        <f t="shared" si="222"/>
        <v>1</v>
      </c>
    </row>
    <row r="1887" spans="1:38" x14ac:dyDescent="0.2">
      <c r="A1887" s="2">
        <v>2025</v>
      </c>
      <c r="B1887" s="2">
        <v>10</v>
      </c>
      <c r="D1887" s="2" t="s">
        <v>1508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1509</v>
      </c>
      <c r="J1887" s="2" t="s">
        <v>1510</v>
      </c>
      <c r="K1887" s="2">
        <v>961386655</v>
      </c>
      <c r="L1887" s="2" t="s">
        <v>134</v>
      </c>
      <c r="M1887" s="2" t="s">
        <v>40</v>
      </c>
      <c r="O1887" s="2" t="s">
        <v>1886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6"/>
        <v>0.49679166666666663</v>
      </c>
      <c r="Z1887" s="2" t="s">
        <v>3237</v>
      </c>
      <c r="AA1887" s="2" t="s">
        <v>88</v>
      </c>
      <c r="AB1887" s="2" t="s">
        <v>91</v>
      </c>
      <c r="AC1887" s="2" t="s">
        <v>85</v>
      </c>
      <c r="AF1887" s="2">
        <f t="shared" si="223"/>
        <v>0</v>
      </c>
      <c r="AJ1887" s="2">
        <f t="shared" si="224"/>
        <v>0</v>
      </c>
      <c r="AK1887" s="2">
        <f t="shared" si="225"/>
        <v>2.3845999999999998</v>
      </c>
      <c r="AL1887" s="5">
        <f t="shared" si="222"/>
        <v>0.49679166666666663</v>
      </c>
    </row>
    <row r="1888" spans="1:38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1887</v>
      </c>
      <c r="R1888" s="2" t="s">
        <v>1888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6"/>
        <v>1</v>
      </c>
      <c r="Z1888" s="2" t="s">
        <v>3237</v>
      </c>
      <c r="AF1888" s="2">
        <f t="shared" si="223"/>
        <v>0</v>
      </c>
      <c r="AJ1888" s="2">
        <f t="shared" si="224"/>
        <v>0</v>
      </c>
      <c r="AK1888" s="2">
        <f t="shared" si="225"/>
        <v>913.93</v>
      </c>
      <c r="AL1888" s="5">
        <f t="shared" si="222"/>
        <v>1</v>
      </c>
    </row>
    <row r="1889" spans="1:38" x14ac:dyDescent="0.2">
      <c r="A1889" s="2">
        <v>2025</v>
      </c>
      <c r="B1889" s="2">
        <v>10</v>
      </c>
      <c r="D1889" s="2" t="s">
        <v>993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994</v>
      </c>
      <c r="J1889" s="2" t="s">
        <v>995</v>
      </c>
      <c r="K1889" s="2">
        <v>964159861</v>
      </c>
      <c r="L1889" s="2" t="s">
        <v>202</v>
      </c>
      <c r="M1889" s="2" t="s">
        <v>81</v>
      </c>
      <c r="O1889" s="2" t="s">
        <v>1889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6"/>
        <v>0.44777500000000003</v>
      </c>
      <c r="Z1889" s="2" t="s">
        <v>3237</v>
      </c>
      <c r="AA1889" s="2" t="s">
        <v>46</v>
      </c>
      <c r="AB1889" s="2" t="s">
        <v>47</v>
      </c>
      <c r="AC1889" s="2" t="s">
        <v>48</v>
      </c>
      <c r="AF1889" s="2">
        <f t="shared" si="223"/>
        <v>0</v>
      </c>
      <c r="AG1889" s="2">
        <v>6.6266999999999996</v>
      </c>
      <c r="AH1889" s="2">
        <v>12</v>
      </c>
      <c r="AJ1889" s="2">
        <f t="shared" si="224"/>
        <v>0</v>
      </c>
      <c r="AK1889" s="2">
        <f t="shared" si="225"/>
        <v>16.119900000000001</v>
      </c>
      <c r="AL1889" s="5">
        <f t="shared" si="222"/>
        <v>0.44777500000000003</v>
      </c>
    </row>
    <row r="1890" spans="1:38" x14ac:dyDescent="0.2">
      <c r="A1890" s="2">
        <v>2025</v>
      </c>
      <c r="B1890" s="2">
        <v>10</v>
      </c>
      <c r="D1890" s="2" t="s">
        <v>993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994</v>
      </c>
      <c r="J1890" s="2" t="s">
        <v>995</v>
      </c>
      <c r="K1890" s="2">
        <v>964159861</v>
      </c>
      <c r="L1890" s="2" t="s">
        <v>202</v>
      </c>
      <c r="M1890" s="2" t="s">
        <v>81</v>
      </c>
      <c r="O1890" s="2" t="s">
        <v>1889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6"/>
        <v>0.52105128205128204</v>
      </c>
      <c r="Z1890" s="2" t="s">
        <v>3237</v>
      </c>
      <c r="AA1890" s="2" t="s">
        <v>46</v>
      </c>
      <c r="AB1890" s="2" t="s">
        <v>47</v>
      </c>
      <c r="AC1890" s="2" t="s">
        <v>48</v>
      </c>
      <c r="AF1890" s="2">
        <f t="shared" si="223"/>
        <v>0</v>
      </c>
      <c r="AG1890" s="2">
        <v>3.7357999999999998</v>
      </c>
      <c r="AH1890" s="2">
        <v>9</v>
      </c>
      <c r="AJ1890" s="2">
        <f t="shared" si="224"/>
        <v>0</v>
      </c>
      <c r="AK1890" s="2">
        <f t="shared" si="225"/>
        <v>4.0641999999999996</v>
      </c>
      <c r="AL1890" s="5">
        <f t="shared" si="222"/>
        <v>0.52105128205128204</v>
      </c>
    </row>
    <row r="1891" spans="1:38" x14ac:dyDescent="0.2">
      <c r="A1891" s="2">
        <v>2025</v>
      </c>
      <c r="B1891" s="2">
        <v>10</v>
      </c>
      <c r="D1891" s="2" t="s">
        <v>993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994</v>
      </c>
      <c r="J1891" s="2" t="s">
        <v>995</v>
      </c>
      <c r="K1891" s="2">
        <v>964159861</v>
      </c>
      <c r="L1891" s="2" t="s">
        <v>202</v>
      </c>
      <c r="M1891" s="2" t="s">
        <v>81</v>
      </c>
      <c r="O1891" s="2" t="s">
        <v>1889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6"/>
        <v>0.41111111111111115</v>
      </c>
      <c r="Z1891" s="2" t="s">
        <v>3237</v>
      </c>
      <c r="AA1891" s="2" t="s">
        <v>46</v>
      </c>
      <c r="AB1891" s="2" t="s">
        <v>57</v>
      </c>
      <c r="AC1891" s="2" t="s">
        <v>58</v>
      </c>
      <c r="AF1891" s="2">
        <f t="shared" si="223"/>
        <v>0</v>
      </c>
      <c r="AG1891" s="2">
        <v>10.6</v>
      </c>
      <c r="AH1891" s="2">
        <v>18</v>
      </c>
      <c r="AJ1891" s="2">
        <f t="shared" si="224"/>
        <v>0</v>
      </c>
      <c r="AK1891" s="2">
        <f t="shared" si="225"/>
        <v>14.8</v>
      </c>
      <c r="AL1891" s="5">
        <f t="shared" si="222"/>
        <v>0.41111111111111115</v>
      </c>
    </row>
    <row r="1892" spans="1:38" x14ac:dyDescent="0.2">
      <c r="A1892" s="2">
        <v>2025</v>
      </c>
      <c r="B1892" s="2">
        <v>10</v>
      </c>
      <c r="D1892" s="2" t="s">
        <v>993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994</v>
      </c>
      <c r="J1892" s="2" t="s">
        <v>995</v>
      </c>
      <c r="K1892" s="2">
        <v>964159861</v>
      </c>
      <c r="L1892" s="2" t="s">
        <v>202</v>
      </c>
      <c r="M1892" s="2" t="s">
        <v>81</v>
      </c>
      <c r="O1892" s="2" t="s">
        <v>1889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6"/>
        <v>0.46925333333333336</v>
      </c>
      <c r="Z1892" s="2" t="s">
        <v>3237</v>
      </c>
      <c r="AA1892" s="2" t="s">
        <v>46</v>
      </c>
      <c r="AB1892" s="2" t="s">
        <v>68</v>
      </c>
      <c r="AC1892" s="2" t="s">
        <v>58</v>
      </c>
      <c r="AF1892" s="2">
        <f t="shared" si="223"/>
        <v>0</v>
      </c>
      <c r="AG1892" s="2">
        <v>7.9611999999999998</v>
      </c>
      <c r="AH1892" s="2">
        <v>14.4</v>
      </c>
      <c r="AJ1892" s="2">
        <f t="shared" si="224"/>
        <v>0</v>
      </c>
      <c r="AK1892" s="2">
        <f t="shared" si="225"/>
        <v>7.0388000000000002</v>
      </c>
      <c r="AL1892" s="5">
        <f t="shared" si="222"/>
        <v>0.46925333333333336</v>
      </c>
    </row>
    <row r="1893" spans="1:38" x14ac:dyDescent="0.2">
      <c r="A1893" s="2">
        <v>2025</v>
      </c>
      <c r="B1893" s="2">
        <v>10</v>
      </c>
      <c r="D1893" s="2" t="s">
        <v>993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994</v>
      </c>
      <c r="J1893" s="2" t="s">
        <v>995</v>
      </c>
      <c r="K1893" s="2">
        <v>964159861</v>
      </c>
      <c r="L1893" s="2" t="s">
        <v>202</v>
      </c>
      <c r="M1893" s="2" t="s">
        <v>81</v>
      </c>
      <c r="O1893" s="2" t="s">
        <v>1889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6"/>
        <v>0.67333333333333334</v>
      </c>
      <c r="Z1893" s="2" t="s">
        <v>3237</v>
      </c>
      <c r="AA1893" s="2" t="s">
        <v>88</v>
      </c>
      <c r="AB1893" s="2" t="s">
        <v>91</v>
      </c>
      <c r="AC1893" s="2" t="s">
        <v>85</v>
      </c>
      <c r="AF1893" s="2">
        <f t="shared" si="223"/>
        <v>0</v>
      </c>
      <c r="AJ1893" s="2">
        <f t="shared" si="224"/>
        <v>0</v>
      </c>
      <c r="AK1893" s="2">
        <f t="shared" si="225"/>
        <v>6.0600000000000005</v>
      </c>
      <c r="AL1893" s="5">
        <f t="shared" si="222"/>
        <v>0.67333333333333334</v>
      </c>
    </row>
    <row r="1894" spans="1:38" x14ac:dyDescent="0.2">
      <c r="A1894" s="2">
        <v>2025</v>
      </c>
      <c r="B1894" s="2">
        <v>10</v>
      </c>
      <c r="D1894" s="2" t="s">
        <v>993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994</v>
      </c>
      <c r="J1894" s="2" t="s">
        <v>995</v>
      </c>
      <c r="K1894" s="2">
        <v>964159861</v>
      </c>
      <c r="L1894" s="2" t="s">
        <v>202</v>
      </c>
      <c r="M1894" s="2" t="s">
        <v>81</v>
      </c>
      <c r="O1894" s="2" t="s">
        <v>1889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6"/>
        <v>1</v>
      </c>
      <c r="Z1894" s="2" t="s">
        <v>3237</v>
      </c>
      <c r="AA1894" s="2" t="s">
        <v>88</v>
      </c>
      <c r="AB1894" s="2" t="s">
        <v>91</v>
      </c>
      <c r="AC1894" s="2" t="s">
        <v>85</v>
      </c>
      <c r="AF1894" s="2">
        <f t="shared" si="223"/>
        <v>0</v>
      </c>
      <c r="AJ1894" s="2">
        <f t="shared" si="224"/>
        <v>0</v>
      </c>
      <c r="AK1894" s="2">
        <f t="shared" si="225"/>
        <v>9</v>
      </c>
      <c r="AL1894" s="5">
        <f t="shared" si="222"/>
        <v>1</v>
      </c>
    </row>
    <row r="1895" spans="1:38" x14ac:dyDescent="0.2">
      <c r="A1895" s="2">
        <v>2025</v>
      </c>
      <c r="B1895" s="2">
        <v>10</v>
      </c>
      <c r="C1895" s="2" t="s">
        <v>3416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6"/>
        <v>0.18588888888888891</v>
      </c>
      <c r="Z1895" s="2" t="s">
        <v>3237</v>
      </c>
      <c r="AA1895" s="2" t="s">
        <v>72</v>
      </c>
      <c r="AB1895" s="2" t="s">
        <v>120</v>
      </c>
      <c r="AC1895" s="2" t="s">
        <v>120</v>
      </c>
      <c r="AF1895" s="2">
        <f t="shared" si="223"/>
        <v>0</v>
      </c>
      <c r="AJ1895" s="2">
        <f t="shared" si="224"/>
        <v>0</v>
      </c>
      <c r="AK1895" s="2">
        <f t="shared" si="225"/>
        <v>1003.8000000000002</v>
      </c>
      <c r="AL1895" s="5">
        <f t="shared" si="222"/>
        <v>0.18588888888888891</v>
      </c>
    </row>
    <row r="1896" spans="1:38" x14ac:dyDescent="0.2">
      <c r="A1896" s="2">
        <v>2025</v>
      </c>
      <c r="B1896" s="2">
        <v>10</v>
      </c>
      <c r="D1896" s="2" t="s">
        <v>1782</v>
      </c>
      <c r="P1896" s="2" t="s">
        <v>3241</v>
      </c>
      <c r="Q1896" s="2" t="s">
        <v>1890</v>
      </c>
      <c r="R1896" s="2" t="s">
        <v>1891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7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3241</v>
      </c>
      <c r="AF1896" s="2">
        <f t="shared" si="223"/>
        <v>0</v>
      </c>
      <c r="AJ1896" s="2">
        <f t="shared" si="224"/>
        <v>0</v>
      </c>
      <c r="AK1896" s="2">
        <f t="shared" si="225"/>
        <v>1912.2773</v>
      </c>
      <c r="AL1896" s="5">
        <f t="shared" si="222"/>
        <v>0.6594059655172414</v>
      </c>
    </row>
    <row r="1897" spans="1:38" x14ac:dyDescent="0.2">
      <c r="A1897" s="2">
        <v>2025</v>
      </c>
      <c r="B1897" s="2">
        <v>10</v>
      </c>
      <c r="D1897" s="2" t="s">
        <v>999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7"/>
        <v>0.44069999999999998</v>
      </c>
      <c r="Z1897" s="2" t="s">
        <v>3237</v>
      </c>
      <c r="AA1897" s="2" t="s">
        <v>76</v>
      </c>
      <c r="AB1897" s="2" t="s">
        <v>77</v>
      </c>
      <c r="AC1897" s="2" t="s">
        <v>78</v>
      </c>
      <c r="AF1897" s="2">
        <f t="shared" si="223"/>
        <v>0</v>
      </c>
      <c r="AG1897" s="2">
        <v>117.453</v>
      </c>
      <c r="AH1897" s="2">
        <v>220</v>
      </c>
      <c r="AJ1897" s="2">
        <f t="shared" si="224"/>
        <v>0</v>
      </c>
      <c r="AK1897" s="2">
        <f t="shared" si="225"/>
        <v>92.546999999999997</v>
      </c>
      <c r="AL1897" s="5">
        <f t="shared" si="222"/>
        <v>0.44069999999999998</v>
      </c>
    </row>
    <row r="1898" spans="1:38" x14ac:dyDescent="0.2">
      <c r="A1898" s="2">
        <v>2025</v>
      </c>
      <c r="B1898" s="2">
        <v>10</v>
      </c>
      <c r="D1898" s="2" t="s">
        <v>999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7"/>
        <v>0</v>
      </c>
      <c r="Z1898" s="2" t="s">
        <v>3237</v>
      </c>
      <c r="AA1898" s="2" t="s">
        <v>97</v>
      </c>
      <c r="AB1898" s="2" t="s">
        <v>77</v>
      </c>
      <c r="AC1898" s="2" t="s">
        <v>94</v>
      </c>
      <c r="AF1898" s="2">
        <f t="shared" si="223"/>
        <v>0</v>
      </c>
      <c r="AJ1898" s="2">
        <f t="shared" si="224"/>
        <v>0</v>
      </c>
      <c r="AK1898" s="2">
        <f t="shared" si="225"/>
        <v>0</v>
      </c>
      <c r="AL1898" s="5">
        <f t="shared" si="222"/>
        <v>0</v>
      </c>
    </row>
    <row r="1899" spans="1:38" x14ac:dyDescent="0.2">
      <c r="A1899" s="2">
        <v>2025</v>
      </c>
      <c r="B1899" s="2">
        <v>10</v>
      </c>
      <c r="D1899" s="2" t="s">
        <v>1892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3"/>
        <v>0</v>
      </c>
      <c r="AJ1899" s="2">
        <f t="shared" si="224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1892</v>
      </c>
      <c r="P1900" s="2" t="s">
        <v>115</v>
      </c>
      <c r="Q1900" s="2" t="s">
        <v>1893</v>
      </c>
      <c r="R1900" s="2" t="s">
        <v>1894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7"/>
        <v>1</v>
      </c>
      <c r="Z1900" s="2" t="s">
        <v>105</v>
      </c>
      <c r="AF1900" s="2">
        <f t="shared" si="223"/>
        <v>0</v>
      </c>
      <c r="AJ1900" s="2">
        <f t="shared" si="224"/>
        <v>0</v>
      </c>
      <c r="AK1900" s="2">
        <f t="shared" si="225"/>
        <v>6770</v>
      </c>
      <c r="AL1900" s="5">
        <f t="shared" si="222"/>
        <v>1</v>
      </c>
    </row>
    <row r="1901" spans="1:38" x14ac:dyDescent="0.2">
      <c r="A1901" s="2">
        <v>2025</v>
      </c>
      <c r="B1901" s="2">
        <v>10</v>
      </c>
      <c r="D1901" s="2" t="s">
        <v>1895</v>
      </c>
      <c r="P1901" s="2" t="s">
        <v>115</v>
      </c>
      <c r="Q1901" s="2" t="s">
        <v>1896</v>
      </c>
      <c r="R1901" s="2" t="s">
        <v>1897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7"/>
        <v>1</v>
      </c>
      <c r="AF1901" s="2">
        <f t="shared" si="223"/>
        <v>0</v>
      </c>
      <c r="AJ1901" s="2">
        <f t="shared" si="224"/>
        <v>0</v>
      </c>
      <c r="AK1901" s="2">
        <f t="shared" si="225"/>
        <v>97.81</v>
      </c>
      <c r="AL1901" s="5">
        <f t="shared" si="222"/>
        <v>1</v>
      </c>
    </row>
    <row r="1902" spans="1:38" x14ac:dyDescent="0.2">
      <c r="A1902" s="2">
        <v>2025</v>
      </c>
      <c r="B1902" s="2">
        <v>10</v>
      </c>
      <c r="D1902" s="2" t="s">
        <v>1895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7"/>
        <v>0.60000000000000009</v>
      </c>
      <c r="Z1902" s="2" t="s">
        <v>118</v>
      </c>
      <c r="AA1902" s="2" t="s">
        <v>191</v>
      </c>
      <c r="AF1902" s="2">
        <f t="shared" si="223"/>
        <v>0</v>
      </c>
      <c r="AJ1902" s="2">
        <f t="shared" si="224"/>
        <v>0</v>
      </c>
      <c r="AK1902" s="2">
        <f t="shared" si="225"/>
        <v>36.450000000000003</v>
      </c>
      <c r="AL1902" s="5">
        <f t="shared" si="222"/>
        <v>0.60000000000000009</v>
      </c>
    </row>
    <row r="1903" spans="1:38" x14ac:dyDescent="0.2">
      <c r="A1903" s="2">
        <v>2025</v>
      </c>
      <c r="B1903" s="2">
        <v>10</v>
      </c>
      <c r="D1903" s="2" t="s">
        <v>1895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7"/>
        <v>0.5</v>
      </c>
      <c r="Z1903" s="2" t="s">
        <v>118</v>
      </c>
      <c r="AA1903" s="2" t="s">
        <v>191</v>
      </c>
      <c r="AF1903" s="2">
        <f t="shared" si="223"/>
        <v>0</v>
      </c>
      <c r="AJ1903" s="2">
        <f t="shared" si="224"/>
        <v>0</v>
      </c>
      <c r="AK1903" s="2">
        <f t="shared" si="225"/>
        <v>22.5</v>
      </c>
      <c r="AL1903" s="5">
        <f t="shared" si="222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1349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7"/>
        <v>0.51924999999999999</v>
      </c>
      <c r="Z1904" s="2" t="s">
        <v>3237</v>
      </c>
      <c r="AA1904" s="2" t="s">
        <v>76</v>
      </c>
      <c r="AB1904" s="2" t="s">
        <v>77</v>
      </c>
      <c r="AC1904" s="2" t="s">
        <v>78</v>
      </c>
      <c r="AF1904" s="2">
        <f t="shared" si="223"/>
        <v>0</v>
      </c>
      <c r="AJ1904" s="2">
        <f t="shared" si="224"/>
        <v>0</v>
      </c>
      <c r="AK1904" s="2">
        <f t="shared" si="225"/>
        <v>103.85</v>
      </c>
      <c r="AL1904" s="5">
        <f t="shared" si="222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7"/>
        <v>0</v>
      </c>
      <c r="Z1905" s="2" t="s">
        <v>3237</v>
      </c>
      <c r="AA1905" s="2" t="s">
        <v>97</v>
      </c>
      <c r="AB1905" s="2" t="s">
        <v>77</v>
      </c>
      <c r="AC1905" s="2" t="s">
        <v>94</v>
      </c>
      <c r="AF1905" s="2">
        <f t="shared" si="223"/>
        <v>0</v>
      </c>
      <c r="AJ1905" s="2">
        <f t="shared" si="224"/>
        <v>0</v>
      </c>
      <c r="AK1905" s="2">
        <f t="shared" si="225"/>
        <v>0</v>
      </c>
      <c r="AL1905" s="5">
        <f t="shared" si="222"/>
        <v>0</v>
      </c>
    </row>
    <row r="1906" spans="1:38" x14ac:dyDescent="0.2">
      <c r="A1906" s="2">
        <v>2025</v>
      </c>
      <c r="B1906" s="2">
        <v>10</v>
      </c>
      <c r="D1906" s="2" t="s">
        <v>1011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7"/>
        <v>0.41111111111111115</v>
      </c>
      <c r="Z1906" s="2" t="s">
        <v>3237</v>
      </c>
      <c r="AA1906" s="2" t="s">
        <v>46</v>
      </c>
      <c r="AB1906" s="2" t="s">
        <v>57</v>
      </c>
      <c r="AC1906" s="2" t="s">
        <v>58</v>
      </c>
      <c r="AF1906" s="2">
        <f t="shared" si="223"/>
        <v>0</v>
      </c>
      <c r="AG1906" s="2">
        <v>10.6</v>
      </c>
      <c r="AH1906" s="2">
        <v>18</v>
      </c>
      <c r="AJ1906" s="2">
        <f t="shared" si="224"/>
        <v>0</v>
      </c>
      <c r="AK1906" s="2">
        <f t="shared" si="225"/>
        <v>14.8</v>
      </c>
      <c r="AL1906" s="5">
        <f t="shared" si="222"/>
        <v>0.41111111111111115</v>
      </c>
    </row>
    <row r="1907" spans="1:38" x14ac:dyDescent="0.2">
      <c r="A1907" s="2">
        <v>2025</v>
      </c>
      <c r="B1907" s="2">
        <v>10</v>
      </c>
      <c r="D1907" s="2" t="s">
        <v>1011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7"/>
        <v>0.36923076923076914</v>
      </c>
      <c r="Z1907" s="2" t="s">
        <v>3237</v>
      </c>
      <c r="AA1907" s="2" t="s">
        <v>46</v>
      </c>
      <c r="AB1907" s="2" t="s">
        <v>61</v>
      </c>
      <c r="AC1907" s="2" t="s">
        <v>58</v>
      </c>
      <c r="AF1907" s="2">
        <f t="shared" si="223"/>
        <v>0</v>
      </c>
      <c r="AG1907" s="2">
        <v>8.1999999999999993</v>
      </c>
      <c r="AH1907" s="2">
        <v>13</v>
      </c>
      <c r="AJ1907" s="2">
        <f t="shared" si="224"/>
        <v>0</v>
      </c>
      <c r="AK1907" s="2">
        <f t="shared" si="225"/>
        <v>9.5999999999999979</v>
      </c>
      <c r="AL1907" s="5">
        <f t="shared" ref="AL1907:AL1970" si="228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3425</v>
      </c>
      <c r="D1908" s="2" t="s">
        <v>1011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7"/>
        <v>0.33666666666666667</v>
      </c>
      <c r="Z1908" s="2" t="s">
        <v>3237</v>
      </c>
      <c r="AA1908" s="2" t="s">
        <v>72</v>
      </c>
      <c r="AB1908" s="2" t="s">
        <v>69</v>
      </c>
      <c r="AC1908" s="2" t="s">
        <v>3242</v>
      </c>
      <c r="AF1908" s="2">
        <f t="shared" si="223"/>
        <v>0</v>
      </c>
      <c r="AJ1908" s="2">
        <f t="shared" si="224"/>
        <v>0</v>
      </c>
      <c r="AK1908" s="2">
        <f t="shared" si="225"/>
        <v>12.120000000000001</v>
      </c>
      <c r="AL1908" s="5">
        <f t="shared" si="228"/>
        <v>0.33666666666666667</v>
      </c>
    </row>
    <row r="1909" spans="1:38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1157</v>
      </c>
      <c r="R1909" s="2" t="s">
        <v>1158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7"/>
        <v>0</v>
      </c>
      <c r="Z1909" s="2" t="s">
        <v>105</v>
      </c>
      <c r="AA1909" s="2" t="s">
        <v>1581</v>
      </c>
      <c r="AB1909" s="2" t="s">
        <v>389</v>
      </c>
      <c r="AC1909" s="2" t="s">
        <v>1331</v>
      </c>
      <c r="AF1909" s="2">
        <f t="shared" si="223"/>
        <v>0</v>
      </c>
      <c r="AJ1909" s="2">
        <f t="shared" si="224"/>
        <v>0</v>
      </c>
      <c r="AK1909" s="2">
        <f t="shared" si="225"/>
        <v>0</v>
      </c>
      <c r="AL1909" s="5">
        <f t="shared" si="228"/>
        <v>0</v>
      </c>
    </row>
    <row r="1910" spans="1:38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1161</v>
      </c>
      <c r="R1910" s="2" t="s">
        <v>1162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7"/>
        <v>1</v>
      </c>
      <c r="AF1910" s="2">
        <f t="shared" si="223"/>
        <v>0</v>
      </c>
      <c r="AJ1910" s="2">
        <f t="shared" si="224"/>
        <v>0</v>
      </c>
      <c r="AK1910" s="2">
        <f t="shared" si="225"/>
        <v>330</v>
      </c>
      <c r="AL1910" s="5">
        <f t="shared" si="228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2484</v>
      </c>
      <c r="J1911" s="2" t="s">
        <v>3132</v>
      </c>
      <c r="K1911" s="2">
        <v>965864665</v>
      </c>
      <c r="L1911" s="2" t="s">
        <v>345</v>
      </c>
      <c r="M1911" s="2" t="s">
        <v>81</v>
      </c>
      <c r="O1911" s="2" t="s">
        <v>3135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7"/>
        <v>0.46612272727272724</v>
      </c>
      <c r="Z1911" s="2" t="s">
        <v>3237</v>
      </c>
      <c r="AA1911" s="2" t="s">
        <v>76</v>
      </c>
      <c r="AB1911" s="2" t="s">
        <v>77</v>
      </c>
      <c r="AC1911" s="2" t="s">
        <v>78</v>
      </c>
      <c r="AF1911" s="2">
        <f t="shared" si="223"/>
        <v>0</v>
      </c>
      <c r="AG1911" s="2">
        <v>117.453</v>
      </c>
      <c r="AH1911" s="2">
        <v>220</v>
      </c>
      <c r="AJ1911" s="2">
        <f t="shared" si="224"/>
        <v>0</v>
      </c>
      <c r="AK1911" s="2">
        <f t="shared" si="225"/>
        <v>102.547</v>
      </c>
      <c r="AL1911" s="5">
        <f t="shared" si="228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2484</v>
      </c>
      <c r="J1912" s="2" t="s">
        <v>3132</v>
      </c>
      <c r="K1912" s="2">
        <v>965864665</v>
      </c>
      <c r="L1912" s="2" t="s">
        <v>345</v>
      </c>
      <c r="M1912" s="2" t="s">
        <v>81</v>
      </c>
      <c r="O1912" s="2" t="s">
        <v>3135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7"/>
        <v>0</v>
      </c>
      <c r="Z1912" s="2" t="s">
        <v>3237</v>
      </c>
      <c r="AA1912" s="2" t="s">
        <v>97</v>
      </c>
      <c r="AB1912" s="2" t="s">
        <v>77</v>
      </c>
      <c r="AC1912" s="2" t="s">
        <v>94</v>
      </c>
      <c r="AF1912" s="2">
        <f t="shared" si="223"/>
        <v>0</v>
      </c>
      <c r="AJ1912" s="2">
        <f t="shared" si="224"/>
        <v>0</v>
      </c>
      <c r="AK1912" s="2">
        <f t="shared" si="225"/>
        <v>0</v>
      </c>
      <c r="AL1912" s="5">
        <f t="shared" si="228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7"/>
        <v>0.36923076923076914</v>
      </c>
      <c r="Z1913" s="2" t="s">
        <v>3237</v>
      </c>
      <c r="AA1913" s="2" t="s">
        <v>46</v>
      </c>
      <c r="AB1913" s="2" t="s">
        <v>61</v>
      </c>
      <c r="AC1913" s="2" t="s">
        <v>58</v>
      </c>
      <c r="AF1913" s="2">
        <f t="shared" si="223"/>
        <v>0</v>
      </c>
      <c r="AG1913" s="2">
        <v>8.1999999999999993</v>
      </c>
      <c r="AH1913" s="2">
        <v>13</v>
      </c>
      <c r="AJ1913" s="2">
        <f t="shared" si="224"/>
        <v>0</v>
      </c>
      <c r="AK1913" s="2">
        <f t="shared" si="225"/>
        <v>9.5999999999999979</v>
      </c>
      <c r="AL1913" s="5">
        <f t="shared" si="228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7"/>
        <v>0.45095172413793105</v>
      </c>
      <c r="Z1914" s="2" t="s">
        <v>3237</v>
      </c>
      <c r="AA1914" s="2" t="s">
        <v>46</v>
      </c>
      <c r="AB1914" s="2" t="s">
        <v>68</v>
      </c>
      <c r="AC1914" s="2" t="s">
        <v>58</v>
      </c>
      <c r="AF1914" s="2">
        <f t="shared" si="223"/>
        <v>0</v>
      </c>
      <c r="AG1914" s="2">
        <v>7.9611999999999998</v>
      </c>
      <c r="AH1914" s="2">
        <v>14.4</v>
      </c>
      <c r="AJ1914" s="2">
        <f t="shared" si="224"/>
        <v>0</v>
      </c>
      <c r="AK1914" s="2">
        <f t="shared" si="225"/>
        <v>6.5388000000000002</v>
      </c>
      <c r="AL1914" s="5">
        <f t="shared" si="228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7"/>
        <v>0.41111111111111115</v>
      </c>
      <c r="Z1915" s="2" t="s">
        <v>3237</v>
      </c>
      <c r="AA1915" s="2" t="s">
        <v>46</v>
      </c>
      <c r="AB1915" s="2" t="s">
        <v>57</v>
      </c>
      <c r="AC1915" s="2" t="s">
        <v>58</v>
      </c>
      <c r="AF1915" s="2">
        <f t="shared" si="223"/>
        <v>0</v>
      </c>
      <c r="AG1915" s="2">
        <v>10.6</v>
      </c>
      <c r="AH1915" s="2">
        <v>18</v>
      </c>
      <c r="AJ1915" s="2">
        <f t="shared" si="224"/>
        <v>0</v>
      </c>
      <c r="AK1915" s="2">
        <f t="shared" si="225"/>
        <v>22.200000000000003</v>
      </c>
      <c r="AL1915" s="5">
        <f t="shared" si="228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7"/>
        <v>0.36923076923076914</v>
      </c>
      <c r="Z1916" s="2" t="s">
        <v>3237</v>
      </c>
      <c r="AA1916" s="2" t="s">
        <v>46</v>
      </c>
      <c r="AB1916" s="2" t="s">
        <v>61</v>
      </c>
      <c r="AC1916" s="2" t="s">
        <v>58</v>
      </c>
      <c r="AF1916" s="2">
        <f t="shared" si="223"/>
        <v>0</v>
      </c>
      <c r="AG1916" s="2">
        <v>8.1999999999999993</v>
      </c>
      <c r="AH1916" s="2">
        <v>13</v>
      </c>
      <c r="AJ1916" s="2">
        <f t="shared" si="224"/>
        <v>0</v>
      </c>
      <c r="AK1916" s="2">
        <f t="shared" si="225"/>
        <v>4.7999999999999989</v>
      </c>
      <c r="AL1916" s="5">
        <f t="shared" si="228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7"/>
        <v>0.42875000000000008</v>
      </c>
      <c r="Z1917" s="2" t="s">
        <v>3237</v>
      </c>
      <c r="AA1917" s="2" t="s">
        <v>46</v>
      </c>
      <c r="AB1917" s="2" t="s">
        <v>61</v>
      </c>
      <c r="AC1917" s="2" t="s">
        <v>58</v>
      </c>
      <c r="AF1917" s="2">
        <f t="shared" si="223"/>
        <v>0</v>
      </c>
      <c r="AJ1917" s="2">
        <f t="shared" si="224"/>
        <v>0</v>
      </c>
      <c r="AK1917" s="2">
        <f t="shared" si="225"/>
        <v>6.8600000000000012</v>
      </c>
      <c r="AL1917" s="5">
        <f t="shared" si="228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7"/>
        <v>0.41111111111111115</v>
      </c>
      <c r="Z1918" s="2" t="s">
        <v>3237</v>
      </c>
      <c r="AA1918" s="2" t="s">
        <v>46</v>
      </c>
      <c r="AB1918" s="2" t="s">
        <v>57</v>
      </c>
      <c r="AC1918" s="2" t="s">
        <v>58</v>
      </c>
      <c r="AF1918" s="2">
        <f t="shared" si="223"/>
        <v>0</v>
      </c>
      <c r="AG1918" s="2">
        <v>10.6</v>
      </c>
      <c r="AH1918" s="2">
        <v>18</v>
      </c>
      <c r="AJ1918" s="2">
        <f t="shared" si="224"/>
        <v>0</v>
      </c>
      <c r="AK1918" s="2">
        <f t="shared" si="225"/>
        <v>7.4</v>
      </c>
      <c r="AL1918" s="5">
        <f t="shared" si="228"/>
        <v>0.41111111111111115</v>
      </c>
    </row>
    <row r="1919" spans="1:38" x14ac:dyDescent="0.2">
      <c r="A1919" s="2">
        <v>2025</v>
      </c>
      <c r="B1919" s="2">
        <v>10</v>
      </c>
      <c r="D1919" s="2" t="s">
        <v>1377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7"/>
        <v>1</v>
      </c>
      <c r="AF1919" s="2">
        <f t="shared" si="223"/>
        <v>0</v>
      </c>
      <c r="AJ1919" s="2">
        <f t="shared" si="224"/>
        <v>0</v>
      </c>
      <c r="AK1919" s="2">
        <f t="shared" si="225"/>
        <v>12.81</v>
      </c>
      <c r="AL1919" s="5">
        <f t="shared" si="228"/>
        <v>1</v>
      </c>
    </row>
    <row r="1920" spans="1:38" x14ac:dyDescent="0.2">
      <c r="A1920" s="2">
        <v>2025</v>
      </c>
      <c r="B1920" s="2">
        <v>10</v>
      </c>
      <c r="D1920" s="2" t="s">
        <v>1377</v>
      </c>
      <c r="P1920" s="2" t="s">
        <v>115</v>
      </c>
      <c r="Q1920" s="2" t="s">
        <v>981</v>
      </c>
      <c r="R1920" s="2" t="s">
        <v>982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7"/>
        <v>1</v>
      </c>
      <c r="AF1920" s="2">
        <f t="shared" si="223"/>
        <v>0</v>
      </c>
      <c r="AJ1920" s="2">
        <f t="shared" si="224"/>
        <v>0</v>
      </c>
      <c r="AK1920" s="2">
        <f t="shared" si="225"/>
        <v>68.42</v>
      </c>
      <c r="AL1920" s="5">
        <f t="shared" si="228"/>
        <v>1</v>
      </c>
    </row>
    <row r="1921" spans="1:38" x14ac:dyDescent="0.2">
      <c r="A1921" s="2">
        <v>2025</v>
      </c>
      <c r="B1921" s="2">
        <v>10</v>
      </c>
      <c r="D1921" s="2" t="s">
        <v>1898</v>
      </c>
      <c r="P1921" s="2" t="s">
        <v>73</v>
      </c>
      <c r="Q1921" s="2" t="s">
        <v>1899</v>
      </c>
      <c r="R1921" s="2" t="s">
        <v>998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7"/>
        <v>0.44304109589041096</v>
      </c>
      <c r="Z1921" s="2" t="s">
        <v>3237</v>
      </c>
      <c r="AA1921" s="2" t="s">
        <v>76</v>
      </c>
      <c r="AB1921" s="2" t="s">
        <v>77</v>
      </c>
      <c r="AC1921" s="2" t="s">
        <v>78</v>
      </c>
      <c r="AF1921" s="2">
        <f t="shared" si="223"/>
        <v>0</v>
      </c>
      <c r="AJ1921" s="2">
        <f t="shared" si="224"/>
        <v>0</v>
      </c>
      <c r="AK1921" s="2">
        <f t="shared" si="225"/>
        <v>161.71</v>
      </c>
      <c r="AL1921" s="5">
        <f t="shared" si="228"/>
        <v>0.44304109589041096</v>
      </c>
    </row>
    <row r="1922" spans="1:38" x14ac:dyDescent="0.2">
      <c r="A1922" s="2">
        <v>2025</v>
      </c>
      <c r="B1922" s="2">
        <v>10</v>
      </c>
      <c r="D1922" s="2" t="s">
        <v>1898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7"/>
        <v>0</v>
      </c>
      <c r="Z1922" s="2" t="s">
        <v>3237</v>
      </c>
      <c r="AA1922" s="2" t="s">
        <v>97</v>
      </c>
      <c r="AB1922" s="2" t="s">
        <v>77</v>
      </c>
      <c r="AC1922" s="2" t="s">
        <v>94</v>
      </c>
      <c r="AF1922" s="2">
        <f t="shared" si="223"/>
        <v>0</v>
      </c>
      <c r="AJ1922" s="2">
        <f t="shared" si="224"/>
        <v>0</v>
      </c>
      <c r="AK1922" s="2">
        <f t="shared" si="225"/>
        <v>0</v>
      </c>
      <c r="AL1922" s="5">
        <f t="shared" si="228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1900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7"/>
        <v>0.40798308220988633</v>
      </c>
      <c r="Z1923" s="2" t="s">
        <v>3237</v>
      </c>
      <c r="AA1923" s="2" t="s">
        <v>76</v>
      </c>
      <c r="AB1923" s="2" t="s">
        <v>77</v>
      </c>
      <c r="AC1923" s="2" t="s">
        <v>78</v>
      </c>
      <c r="AF1923" s="2">
        <f t="shared" ref="AF1923:AF1986" si="229">AJ1923</f>
        <v>0</v>
      </c>
      <c r="AG1923" s="2">
        <v>111.98</v>
      </c>
      <c r="AH1923" s="2">
        <v>210</v>
      </c>
      <c r="AJ1923" s="2">
        <f t="shared" ref="AJ1923:AJ1986" si="230">AI1923*T1923</f>
        <v>0</v>
      </c>
      <c r="AK1923" s="2">
        <f t="shared" ref="AK1923:AK1986" si="231">T1923-W1923</f>
        <v>154.34</v>
      </c>
      <c r="AL1923" s="5">
        <f t="shared" si="228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1901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7"/>
        <v>0.55119661266568498</v>
      </c>
      <c r="Z1924" s="2" t="s">
        <v>3237</v>
      </c>
      <c r="AA1924" s="2" t="s">
        <v>76</v>
      </c>
      <c r="AB1924" s="2" t="s">
        <v>77</v>
      </c>
      <c r="AC1924" s="2" t="s">
        <v>78</v>
      </c>
      <c r="AF1924" s="2">
        <f t="shared" si="229"/>
        <v>0</v>
      </c>
      <c r="AG1924" s="2">
        <f>110.125+11.77</f>
        <v>121.895</v>
      </c>
      <c r="AJ1924" s="2">
        <f t="shared" si="230"/>
        <v>0</v>
      </c>
      <c r="AK1924" s="2">
        <f t="shared" si="231"/>
        <v>149.70500000000004</v>
      </c>
      <c r="AL1924" s="5">
        <f t="shared" si="228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1901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7"/>
        <v>1</v>
      </c>
      <c r="Z1925" s="2" t="s">
        <v>170</v>
      </c>
      <c r="AA1925" s="2" t="s">
        <v>170</v>
      </c>
      <c r="AF1925" s="2">
        <f t="shared" si="229"/>
        <v>0</v>
      </c>
      <c r="AJ1925" s="2">
        <f t="shared" si="230"/>
        <v>0</v>
      </c>
      <c r="AK1925" s="2">
        <f t="shared" si="231"/>
        <v>120</v>
      </c>
      <c r="AL1925" s="5">
        <f t="shared" si="228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1902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7"/>
        <v>0</v>
      </c>
      <c r="Z1926" s="2" t="s">
        <v>3237</v>
      </c>
      <c r="AA1926" s="2" t="s">
        <v>97</v>
      </c>
      <c r="AB1926" s="2" t="s">
        <v>77</v>
      </c>
      <c r="AC1926" s="2" t="s">
        <v>94</v>
      </c>
      <c r="AF1926" s="2">
        <f t="shared" si="229"/>
        <v>0</v>
      </c>
      <c r="AJ1926" s="2">
        <f t="shared" si="230"/>
        <v>0</v>
      </c>
      <c r="AK1926" s="2">
        <f t="shared" si="231"/>
        <v>0</v>
      </c>
      <c r="AL1926" s="5">
        <f t="shared" si="228"/>
        <v>0</v>
      </c>
    </row>
    <row r="1927" spans="1:38" x14ac:dyDescent="0.2">
      <c r="A1927" s="2">
        <v>2025</v>
      </c>
      <c r="B1927" s="2">
        <v>10</v>
      </c>
      <c r="D1927" s="2" t="s">
        <v>1560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1561</v>
      </c>
      <c r="J1927" s="2" t="s">
        <v>1562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2">17.4*S1927</f>
        <v>348</v>
      </c>
      <c r="X1927" s="5">
        <f t="shared" si="227"/>
        <v>0.13</v>
      </c>
      <c r="Z1927" s="2" t="s">
        <v>3237</v>
      </c>
      <c r="AA1927" s="2" t="s">
        <v>46</v>
      </c>
      <c r="AB1927" s="2" t="s">
        <v>61</v>
      </c>
      <c r="AC1927" s="2" t="s">
        <v>3343</v>
      </c>
      <c r="AF1927" s="2">
        <f t="shared" si="229"/>
        <v>0</v>
      </c>
      <c r="AJ1927" s="2">
        <f t="shared" si="230"/>
        <v>0</v>
      </c>
      <c r="AK1927" s="2">
        <f t="shared" si="231"/>
        <v>52</v>
      </c>
      <c r="AL1927" s="5">
        <f t="shared" si="228"/>
        <v>0.13</v>
      </c>
    </row>
    <row r="1928" spans="1:38" x14ac:dyDescent="0.2">
      <c r="A1928" s="2">
        <v>2025</v>
      </c>
      <c r="B1928" s="2">
        <v>10</v>
      </c>
      <c r="D1928" s="2" t="s">
        <v>1560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1561</v>
      </c>
      <c r="J1928" s="2" t="s">
        <v>1562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2"/>
        <v>348</v>
      </c>
      <c r="X1928" s="5">
        <f t="shared" ref="X1928:X1959" si="233">(T1928-W1928)/T1928</f>
        <v>0.13</v>
      </c>
      <c r="Z1928" s="2" t="s">
        <v>3237</v>
      </c>
      <c r="AA1928" s="2" t="s">
        <v>46</v>
      </c>
      <c r="AB1928" s="2" t="s">
        <v>61</v>
      </c>
      <c r="AC1928" s="2" t="s">
        <v>3343</v>
      </c>
      <c r="AF1928" s="2">
        <f t="shared" si="229"/>
        <v>0</v>
      </c>
      <c r="AJ1928" s="2">
        <f t="shared" si="230"/>
        <v>0</v>
      </c>
      <c r="AK1928" s="2">
        <f t="shared" si="231"/>
        <v>52</v>
      </c>
      <c r="AL1928" s="5">
        <f t="shared" si="228"/>
        <v>0.13</v>
      </c>
    </row>
    <row r="1929" spans="1:38" x14ac:dyDescent="0.2">
      <c r="A1929" s="2">
        <v>2025</v>
      </c>
      <c r="B1929" s="2">
        <v>10</v>
      </c>
      <c r="D1929" s="2" t="s">
        <v>1903</v>
      </c>
      <c r="P1929" s="2" t="s">
        <v>3241</v>
      </c>
      <c r="Q1929" s="2" t="s">
        <v>1904</v>
      </c>
      <c r="R1929" s="2" t="s">
        <v>1905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3"/>
        <v>0.32085821428571432</v>
      </c>
      <c r="Z1929" s="2" t="s">
        <v>105</v>
      </c>
      <c r="AA1929" s="2" t="s">
        <v>265</v>
      </c>
      <c r="AB1929" s="2" t="s">
        <v>1906</v>
      </c>
      <c r="AC1929" s="2" t="s">
        <v>3241</v>
      </c>
      <c r="AF1929" s="2">
        <f t="shared" si="229"/>
        <v>0</v>
      </c>
      <c r="AJ1929" s="2">
        <f t="shared" si="230"/>
        <v>0</v>
      </c>
      <c r="AK1929" s="2">
        <f t="shared" si="231"/>
        <v>898.40300000000002</v>
      </c>
      <c r="AL1929" s="5">
        <f t="shared" si="228"/>
        <v>0.32085821428571432</v>
      </c>
    </row>
    <row r="1930" spans="1:38" x14ac:dyDescent="0.2">
      <c r="A1930" s="2">
        <v>2025</v>
      </c>
      <c r="B1930" s="2">
        <v>10</v>
      </c>
      <c r="D1930" s="2" t="s">
        <v>1903</v>
      </c>
      <c r="P1930" s="2" t="s">
        <v>69</v>
      </c>
      <c r="Q1930" s="2" t="s">
        <v>1907</v>
      </c>
      <c r="R1930" s="2" t="s">
        <v>1908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3"/>
        <v>1</v>
      </c>
      <c r="Z1930" s="2" t="s">
        <v>105</v>
      </c>
      <c r="AC1930" s="2" t="s">
        <v>3242</v>
      </c>
      <c r="AF1930" s="2">
        <f t="shared" si="229"/>
        <v>0</v>
      </c>
      <c r="AJ1930" s="2">
        <f t="shared" si="230"/>
        <v>0</v>
      </c>
      <c r="AK1930" s="2">
        <f t="shared" si="231"/>
        <v>3800</v>
      </c>
      <c r="AL1930" s="5">
        <f t="shared" si="228"/>
        <v>1</v>
      </c>
    </row>
    <row r="1931" spans="1:38" x14ac:dyDescent="0.2">
      <c r="A1931" s="2">
        <v>2025</v>
      </c>
      <c r="B1931" s="2">
        <v>10</v>
      </c>
      <c r="D1931" s="2" t="s">
        <v>1909</v>
      </c>
      <c r="P1931" s="2" t="s">
        <v>115</v>
      </c>
      <c r="Q1931" s="2" t="s">
        <v>1910</v>
      </c>
      <c r="R1931" s="2" t="s">
        <v>1911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3"/>
        <v>1</v>
      </c>
      <c r="AF1931" s="2">
        <f t="shared" si="229"/>
        <v>0</v>
      </c>
      <c r="AJ1931" s="2">
        <f t="shared" si="230"/>
        <v>0</v>
      </c>
      <c r="AK1931" s="2">
        <f t="shared" si="231"/>
        <v>1031.94</v>
      </c>
      <c r="AL1931" s="5">
        <f t="shared" si="228"/>
        <v>1</v>
      </c>
    </row>
    <row r="1932" spans="1:38" x14ac:dyDescent="0.2">
      <c r="A1932" s="2">
        <v>2025</v>
      </c>
      <c r="B1932" s="2">
        <v>10</v>
      </c>
      <c r="D1932" s="2" t="s">
        <v>1909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3"/>
        <v>0.6</v>
      </c>
      <c r="Z1932" s="2" t="s">
        <v>118</v>
      </c>
      <c r="AA1932" s="2" t="s">
        <v>191</v>
      </c>
      <c r="AF1932" s="2">
        <f t="shared" si="229"/>
        <v>0</v>
      </c>
      <c r="AJ1932" s="2">
        <f t="shared" si="230"/>
        <v>0</v>
      </c>
      <c r="AK1932" s="2">
        <f t="shared" si="231"/>
        <v>39</v>
      </c>
      <c r="AL1932" s="5">
        <f t="shared" si="228"/>
        <v>0.6</v>
      </c>
    </row>
    <row r="1933" spans="1:38" x14ac:dyDescent="0.2">
      <c r="A1933" s="2">
        <v>2025</v>
      </c>
      <c r="B1933" s="2">
        <v>10</v>
      </c>
      <c r="D1933" s="2" t="s">
        <v>1909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9"/>
        <v>0</v>
      </c>
      <c r="AJ1933" s="2">
        <f t="shared" si="230"/>
        <v>0</v>
      </c>
      <c r="AK1933" s="2">
        <f t="shared" si="231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711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33"/>
        <v>1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9"/>
        <v>0</v>
      </c>
      <c r="AJ1934" s="2">
        <f t="shared" si="230"/>
        <v>0</v>
      </c>
      <c r="AK1934" s="2">
        <f t="shared" si="231"/>
        <v>1452</v>
      </c>
      <c r="AL1934" s="5">
        <f t="shared" si="228"/>
        <v>1</v>
      </c>
    </row>
    <row r="1935" spans="1:38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1912</v>
      </c>
      <c r="R1935" s="2" t="s">
        <v>1913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3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9"/>
        <v>0</v>
      </c>
      <c r="AJ1935" s="2">
        <f t="shared" si="230"/>
        <v>0</v>
      </c>
      <c r="AK1935" s="2">
        <f t="shared" si="231"/>
        <v>2862.0299999999988</v>
      </c>
      <c r="AL1935" s="5">
        <f t="shared" si="228"/>
        <v>0.14408850626793529</v>
      </c>
    </row>
    <row r="1936" spans="1:38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3"/>
        <v>1</v>
      </c>
      <c r="Z1936" s="2" t="s">
        <v>105</v>
      </c>
      <c r="AF1936" s="2">
        <f t="shared" si="229"/>
        <v>0</v>
      </c>
      <c r="AJ1936" s="2">
        <f t="shared" si="230"/>
        <v>0</v>
      </c>
      <c r="AK1936" s="2">
        <f t="shared" si="231"/>
        <v>3685</v>
      </c>
      <c r="AL1936" s="5">
        <f t="shared" si="228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3"/>
        <v>0.46612272727272724</v>
      </c>
      <c r="Z1937" s="2" t="s">
        <v>3237</v>
      </c>
      <c r="AA1937" s="2" t="s">
        <v>76</v>
      </c>
      <c r="AB1937" s="2" t="s">
        <v>77</v>
      </c>
      <c r="AC1937" s="2" t="s">
        <v>78</v>
      </c>
      <c r="AF1937" s="2">
        <f t="shared" si="229"/>
        <v>0</v>
      </c>
      <c r="AG1937" s="2">
        <v>117.453</v>
      </c>
      <c r="AH1937" s="2">
        <v>220</v>
      </c>
      <c r="AJ1937" s="2">
        <f t="shared" si="230"/>
        <v>0</v>
      </c>
      <c r="AK1937" s="2">
        <f t="shared" si="231"/>
        <v>102.547</v>
      </c>
      <c r="AL1937" s="5">
        <f t="shared" si="228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3"/>
        <v>0</v>
      </c>
      <c r="Z1938" s="2" t="s">
        <v>3237</v>
      </c>
      <c r="AA1938" s="2" t="s">
        <v>97</v>
      </c>
      <c r="AB1938" s="2" t="s">
        <v>77</v>
      </c>
      <c r="AC1938" s="2" t="s">
        <v>94</v>
      </c>
      <c r="AF1938" s="2">
        <f t="shared" si="229"/>
        <v>0</v>
      </c>
      <c r="AJ1938" s="2">
        <f t="shared" si="230"/>
        <v>0</v>
      </c>
      <c r="AK1938" s="2">
        <f t="shared" si="231"/>
        <v>0</v>
      </c>
      <c r="AL1938" s="5">
        <f t="shared" si="228"/>
        <v>0</v>
      </c>
    </row>
    <row r="1939" spans="1:38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1914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3"/>
        <v>0.44777500000000003</v>
      </c>
      <c r="Z1939" s="2" t="s">
        <v>3237</v>
      </c>
      <c r="AA1939" s="2" t="s">
        <v>46</v>
      </c>
      <c r="AB1939" s="2" t="s">
        <v>47</v>
      </c>
      <c r="AC1939" s="2" t="s">
        <v>48</v>
      </c>
      <c r="AF1939" s="2">
        <f t="shared" si="229"/>
        <v>0</v>
      </c>
      <c r="AG1939" s="2">
        <v>6.6266999999999996</v>
      </c>
      <c r="AH1939" s="2">
        <v>12</v>
      </c>
      <c r="AJ1939" s="2">
        <f t="shared" si="230"/>
        <v>0</v>
      </c>
      <c r="AK1939" s="2">
        <f t="shared" si="231"/>
        <v>5.3733000000000004</v>
      </c>
      <c r="AL1939" s="5">
        <f t="shared" si="228"/>
        <v>0.44777500000000003</v>
      </c>
    </row>
    <row r="1940" spans="1:38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1914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3"/>
        <v>0.41111111111111115</v>
      </c>
      <c r="Z1940" s="2" t="s">
        <v>3237</v>
      </c>
      <c r="AA1940" s="2" t="s">
        <v>46</v>
      </c>
      <c r="AB1940" s="2" t="s">
        <v>57</v>
      </c>
      <c r="AC1940" s="2" t="s">
        <v>58</v>
      </c>
      <c r="AF1940" s="2">
        <f t="shared" si="229"/>
        <v>0</v>
      </c>
      <c r="AG1940" s="2">
        <v>10.6</v>
      </c>
      <c r="AH1940" s="2">
        <v>18</v>
      </c>
      <c r="AJ1940" s="2">
        <f t="shared" si="230"/>
        <v>0</v>
      </c>
      <c r="AK1940" s="2">
        <f t="shared" si="231"/>
        <v>14.8</v>
      </c>
      <c r="AL1940" s="5">
        <f t="shared" si="228"/>
        <v>0.41111111111111115</v>
      </c>
    </row>
    <row r="1941" spans="1:38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1914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3"/>
        <v>1</v>
      </c>
      <c r="Z1941" s="2" t="s">
        <v>170</v>
      </c>
      <c r="AA1941" s="2" t="s">
        <v>170</v>
      </c>
      <c r="AF1941" s="2">
        <f t="shared" si="229"/>
        <v>0</v>
      </c>
      <c r="AJ1941" s="2">
        <f t="shared" si="230"/>
        <v>0</v>
      </c>
      <c r="AK1941" s="2">
        <f t="shared" si="231"/>
        <v>8</v>
      </c>
      <c r="AL1941" s="5">
        <f t="shared" si="228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3"/>
        <v>0.21904761904761905</v>
      </c>
      <c r="Z1942" s="2" t="s">
        <v>3237</v>
      </c>
      <c r="AA1942" s="2" t="s">
        <v>46</v>
      </c>
      <c r="AB1942" s="2" t="s">
        <v>61</v>
      </c>
      <c r="AC1942" s="2" t="s">
        <v>58</v>
      </c>
      <c r="AF1942" s="2">
        <f t="shared" si="229"/>
        <v>0</v>
      </c>
      <c r="AG1942" s="2">
        <v>8.1999999999999993</v>
      </c>
      <c r="AH1942" s="2">
        <v>13</v>
      </c>
      <c r="AJ1942" s="2">
        <f t="shared" si="230"/>
        <v>0</v>
      </c>
      <c r="AK1942" s="2">
        <f t="shared" si="231"/>
        <v>46</v>
      </c>
      <c r="AL1942" s="5">
        <f t="shared" si="228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3"/>
        <v>0.31725909090909088</v>
      </c>
      <c r="Z1943" s="2" t="s">
        <v>3237</v>
      </c>
      <c r="AA1943" s="2" t="s">
        <v>46</v>
      </c>
      <c r="AB1943" s="2" t="s">
        <v>68</v>
      </c>
      <c r="AC1943" s="2" t="s">
        <v>58</v>
      </c>
      <c r="AF1943" s="2">
        <f t="shared" si="229"/>
        <v>0</v>
      </c>
      <c r="AG1943" s="2">
        <v>15.020300000000001</v>
      </c>
      <c r="AH1943" s="2">
        <v>27.6</v>
      </c>
      <c r="AJ1943" s="2">
        <f t="shared" si="230"/>
        <v>0</v>
      </c>
      <c r="AK1943" s="2">
        <f t="shared" si="231"/>
        <v>27.918799999999997</v>
      </c>
      <c r="AL1943" s="5">
        <f t="shared" si="228"/>
        <v>0.31725909090909088</v>
      </c>
    </row>
    <row r="1944" spans="1:38" x14ac:dyDescent="0.2">
      <c r="A1944" s="2">
        <v>2025</v>
      </c>
      <c r="B1944" s="2">
        <v>10</v>
      </c>
      <c r="D1944" s="2" t="s">
        <v>1915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3"/>
        <v>#DIV/0!</v>
      </c>
      <c r="AF1944" s="2">
        <f t="shared" si="229"/>
        <v>0</v>
      </c>
      <c r="AJ1944" s="2">
        <f t="shared" si="230"/>
        <v>0</v>
      </c>
      <c r="AK1944" s="2">
        <f t="shared" si="231"/>
        <v>0</v>
      </c>
      <c r="AL1944" s="5" t="e">
        <f t="shared" si="228"/>
        <v>#DIV/0!</v>
      </c>
    </row>
    <row r="1945" spans="1:38" x14ac:dyDescent="0.2">
      <c r="A1945" s="2">
        <v>2025</v>
      </c>
      <c r="B1945" s="2">
        <v>10</v>
      </c>
      <c r="D1945" s="2" t="s">
        <v>1915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3"/>
        <v>1</v>
      </c>
      <c r="Z1945" s="2" t="s">
        <v>105</v>
      </c>
      <c r="AF1945" s="2">
        <f t="shared" si="229"/>
        <v>0</v>
      </c>
      <c r="AJ1945" s="2">
        <f t="shared" si="230"/>
        <v>0</v>
      </c>
      <c r="AK1945" s="2">
        <f t="shared" si="231"/>
        <v>13990</v>
      </c>
      <c r="AL1945" s="5">
        <f t="shared" si="228"/>
        <v>1</v>
      </c>
    </row>
    <row r="1946" spans="1:38" x14ac:dyDescent="0.2">
      <c r="A1946" s="2">
        <v>2025</v>
      </c>
      <c r="B1946" s="2">
        <v>10</v>
      </c>
      <c r="D1946" s="2" t="s">
        <v>1915</v>
      </c>
      <c r="P1946" s="2" t="s">
        <v>69</v>
      </c>
      <c r="Q1946" s="2" t="s">
        <v>1916</v>
      </c>
      <c r="R1946" s="2" t="s">
        <v>1917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3"/>
        <v>1</v>
      </c>
      <c r="Z1946" s="2" t="s">
        <v>3237</v>
      </c>
      <c r="AC1946" s="2" t="s">
        <v>3242</v>
      </c>
      <c r="AF1946" s="2">
        <f t="shared" si="229"/>
        <v>0</v>
      </c>
      <c r="AJ1946" s="2">
        <f t="shared" si="230"/>
        <v>0</v>
      </c>
      <c r="AK1946" s="2">
        <f t="shared" si="231"/>
        <v>1450</v>
      </c>
      <c r="AL1946" s="5">
        <f t="shared" si="228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3"/>
        <v>1</v>
      </c>
      <c r="Z1947" s="2" t="s">
        <v>120</v>
      </c>
      <c r="AA1947" s="2" t="s">
        <v>493</v>
      </c>
      <c r="AF1947" s="2">
        <f t="shared" si="229"/>
        <v>0</v>
      </c>
      <c r="AJ1947" s="2">
        <f t="shared" si="230"/>
        <v>0</v>
      </c>
      <c r="AK1947" s="2">
        <f t="shared" si="231"/>
        <v>664.04</v>
      </c>
      <c r="AL1947" s="5">
        <f t="shared" si="228"/>
        <v>1</v>
      </c>
    </row>
    <row r="1948" spans="1:38" x14ac:dyDescent="0.2">
      <c r="A1948" s="2">
        <v>2025</v>
      </c>
      <c r="B1948" s="2">
        <v>10</v>
      </c>
      <c r="D1948" s="2" t="s">
        <v>1056</v>
      </c>
      <c r="E1948" s="2" t="s">
        <v>184</v>
      </c>
      <c r="F1948" s="2" t="s">
        <v>1057</v>
      </c>
      <c r="G1948" s="2">
        <v>500199523</v>
      </c>
      <c r="H1948" s="2" t="s">
        <v>291</v>
      </c>
      <c r="I1948" s="2" t="s">
        <v>294</v>
      </c>
      <c r="J1948" s="2" t="s">
        <v>1058</v>
      </c>
      <c r="L1948" s="2" t="s">
        <v>294</v>
      </c>
      <c r="M1948" s="2" t="s">
        <v>81</v>
      </c>
      <c r="O1948" s="2" t="s">
        <v>1918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3"/>
        <v>0.46950000000000003</v>
      </c>
      <c r="Z1948" s="2" t="s">
        <v>3237</v>
      </c>
      <c r="AA1948" s="2" t="s">
        <v>76</v>
      </c>
      <c r="AB1948" s="2" t="s">
        <v>77</v>
      </c>
      <c r="AC1948" s="2" t="s">
        <v>78</v>
      </c>
      <c r="AF1948" s="2">
        <f t="shared" si="229"/>
        <v>0</v>
      </c>
      <c r="AG1948" s="2">
        <f>98.28+7.82</f>
        <v>106.1</v>
      </c>
      <c r="AJ1948" s="2">
        <f t="shared" si="230"/>
        <v>0</v>
      </c>
      <c r="AK1948" s="2">
        <f t="shared" si="231"/>
        <v>93.9</v>
      </c>
      <c r="AL1948" s="5">
        <f t="shared" si="228"/>
        <v>0.46950000000000003</v>
      </c>
    </row>
    <row r="1949" spans="1:38" x14ac:dyDescent="0.2">
      <c r="A1949" s="2">
        <v>2025</v>
      </c>
      <c r="B1949" s="2">
        <v>10</v>
      </c>
      <c r="D1949" s="2" t="s">
        <v>1056</v>
      </c>
      <c r="E1949" s="2" t="s">
        <v>184</v>
      </c>
      <c r="F1949" s="2" t="s">
        <v>1057</v>
      </c>
      <c r="G1949" s="2">
        <v>500199523</v>
      </c>
      <c r="H1949" s="2" t="s">
        <v>291</v>
      </c>
      <c r="I1949" s="2" t="s">
        <v>294</v>
      </c>
      <c r="J1949" s="2" t="s">
        <v>1058</v>
      </c>
      <c r="L1949" s="2" t="s">
        <v>294</v>
      </c>
      <c r="M1949" s="2" t="s">
        <v>81</v>
      </c>
      <c r="O1949" s="2" t="s">
        <v>1919</v>
      </c>
      <c r="P1949" s="2" t="s">
        <v>73</v>
      </c>
      <c r="Q1949" s="2" t="s">
        <v>1453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3"/>
        <v>0.46762608695652175</v>
      </c>
      <c r="Z1949" s="2" t="s">
        <v>3237</v>
      </c>
      <c r="AA1949" s="2" t="s">
        <v>76</v>
      </c>
      <c r="AB1949" s="2" t="s">
        <v>77</v>
      </c>
      <c r="AC1949" s="2" t="s">
        <v>78</v>
      </c>
      <c r="AF1949" s="2">
        <f t="shared" si="229"/>
        <v>0</v>
      </c>
      <c r="AG1949" s="2">
        <v>122.446</v>
      </c>
      <c r="AH1949" s="2">
        <v>230</v>
      </c>
      <c r="AJ1949" s="2">
        <f t="shared" si="230"/>
        <v>0</v>
      </c>
      <c r="AK1949" s="2">
        <f t="shared" si="231"/>
        <v>107.554</v>
      </c>
      <c r="AL1949" s="5">
        <f t="shared" si="228"/>
        <v>0.46762608695652175</v>
      </c>
    </row>
    <row r="1950" spans="1:38" x14ac:dyDescent="0.2">
      <c r="A1950" s="2">
        <v>2025</v>
      </c>
      <c r="B1950" s="2">
        <v>10</v>
      </c>
      <c r="D1950" s="2" t="s">
        <v>1056</v>
      </c>
      <c r="E1950" s="2" t="s">
        <v>184</v>
      </c>
      <c r="F1950" s="2" t="s">
        <v>1057</v>
      </c>
      <c r="G1950" s="2">
        <v>500199523</v>
      </c>
      <c r="H1950" s="2" t="s">
        <v>291</v>
      </c>
      <c r="I1950" s="2" t="s">
        <v>294</v>
      </c>
      <c r="J1950" s="2" t="s">
        <v>1058</v>
      </c>
      <c r="L1950" s="2" t="s">
        <v>294</v>
      </c>
      <c r="M1950" s="2" t="s">
        <v>81</v>
      </c>
      <c r="O1950" s="2" t="s">
        <v>1919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3"/>
        <v>0.23333333333333334</v>
      </c>
      <c r="Z1950" s="2" t="s">
        <v>170</v>
      </c>
      <c r="AA1950" s="2" t="s">
        <v>170</v>
      </c>
      <c r="AF1950" s="2">
        <f t="shared" si="229"/>
        <v>0</v>
      </c>
      <c r="AJ1950" s="2">
        <f t="shared" si="230"/>
        <v>0</v>
      </c>
      <c r="AK1950" s="2">
        <f t="shared" si="231"/>
        <v>7</v>
      </c>
      <c r="AL1950" s="5">
        <f t="shared" si="228"/>
        <v>0.23333333333333334</v>
      </c>
    </row>
    <row r="1951" spans="1:38" x14ac:dyDescent="0.2">
      <c r="A1951" s="2">
        <v>2025</v>
      </c>
      <c r="B1951" s="2">
        <v>10</v>
      </c>
      <c r="D1951" s="2" t="s">
        <v>1056</v>
      </c>
      <c r="E1951" s="2" t="s">
        <v>184</v>
      </c>
      <c r="F1951" s="2" t="s">
        <v>1057</v>
      </c>
      <c r="G1951" s="2">
        <v>500199523</v>
      </c>
      <c r="H1951" s="2" t="s">
        <v>291</v>
      </c>
      <c r="I1951" s="2" t="s">
        <v>294</v>
      </c>
      <c r="J1951" s="2" t="s">
        <v>1058</v>
      </c>
      <c r="L1951" s="2" t="s">
        <v>294</v>
      </c>
      <c r="M1951" s="2" t="s">
        <v>81</v>
      </c>
      <c r="O1951" s="2" t="s">
        <v>1920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3"/>
        <v>0</v>
      </c>
      <c r="Z1951" s="2" t="s">
        <v>3237</v>
      </c>
      <c r="AA1951" s="2" t="s">
        <v>97</v>
      </c>
      <c r="AB1951" s="2" t="s">
        <v>77</v>
      </c>
      <c r="AC1951" s="2" t="s">
        <v>94</v>
      </c>
      <c r="AF1951" s="2">
        <f t="shared" si="229"/>
        <v>0</v>
      </c>
      <c r="AJ1951" s="2">
        <f t="shared" si="230"/>
        <v>0</v>
      </c>
      <c r="AK1951" s="2">
        <f t="shared" si="231"/>
        <v>0</v>
      </c>
      <c r="AL1951" s="5">
        <f t="shared" si="228"/>
        <v>0</v>
      </c>
    </row>
    <row r="1952" spans="1:38" x14ac:dyDescent="0.2">
      <c r="A1952" s="2">
        <v>2025</v>
      </c>
      <c r="B1952" s="2">
        <v>10</v>
      </c>
      <c r="D1952" s="2" t="s">
        <v>1068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3"/>
        <v>0.31725909090909088</v>
      </c>
      <c r="Z1952" s="2" t="s">
        <v>3237</v>
      </c>
      <c r="AA1952" s="2" t="s">
        <v>46</v>
      </c>
      <c r="AB1952" s="2" t="s">
        <v>68</v>
      </c>
      <c r="AC1952" s="2" t="s">
        <v>58</v>
      </c>
      <c r="AF1952" s="2">
        <f t="shared" si="229"/>
        <v>0</v>
      </c>
      <c r="AG1952" s="2">
        <v>15.020300000000001</v>
      </c>
      <c r="AH1952" s="2">
        <v>27.6</v>
      </c>
      <c r="AJ1952" s="2">
        <f t="shared" si="230"/>
        <v>0</v>
      </c>
      <c r="AK1952" s="2">
        <f t="shared" si="231"/>
        <v>13.959399999999999</v>
      </c>
      <c r="AL1952" s="5">
        <f t="shared" si="228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3143</v>
      </c>
      <c r="L1953" s="2" t="s">
        <v>178</v>
      </c>
      <c r="M1953" s="2" t="s">
        <v>41</v>
      </c>
      <c r="O1953" s="2" t="s">
        <v>3149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3"/>
        <v>0.44777500000000003</v>
      </c>
      <c r="Z1953" s="2" t="s">
        <v>3237</v>
      </c>
      <c r="AA1953" s="2" t="s">
        <v>46</v>
      </c>
      <c r="AB1953" s="2" t="s">
        <v>47</v>
      </c>
      <c r="AC1953" s="2" t="s">
        <v>48</v>
      </c>
      <c r="AF1953" s="2">
        <f t="shared" si="229"/>
        <v>0</v>
      </c>
      <c r="AG1953" s="2">
        <v>6.6266999999999996</v>
      </c>
      <c r="AH1953" s="2">
        <v>12</v>
      </c>
      <c r="AJ1953" s="2">
        <f t="shared" si="230"/>
        <v>0</v>
      </c>
      <c r="AK1953" s="2">
        <f t="shared" si="231"/>
        <v>5.3733000000000004</v>
      </c>
      <c r="AL1953" s="5">
        <f t="shared" si="228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3143</v>
      </c>
      <c r="L1954" s="2" t="s">
        <v>178</v>
      </c>
      <c r="M1954" s="2" t="s">
        <v>41</v>
      </c>
      <c r="O1954" s="2" t="s">
        <v>3149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3"/>
        <v>0.44819791666666664</v>
      </c>
      <c r="Z1954" s="2" t="s">
        <v>3237</v>
      </c>
      <c r="AA1954" s="2" t="s">
        <v>46</v>
      </c>
      <c r="AB1954" s="2" t="s">
        <v>47</v>
      </c>
      <c r="AC1954" s="2" t="s">
        <v>48</v>
      </c>
      <c r="AF1954" s="2">
        <f t="shared" si="229"/>
        <v>0</v>
      </c>
      <c r="AG1954" s="2">
        <v>5.2972999999999999</v>
      </c>
      <c r="AH1954" s="2">
        <v>10.8</v>
      </c>
      <c r="AJ1954" s="2">
        <f t="shared" si="230"/>
        <v>0</v>
      </c>
      <c r="AK1954" s="2">
        <f t="shared" si="231"/>
        <v>8.6053999999999995</v>
      </c>
      <c r="AL1954" s="5">
        <f t="shared" si="228"/>
        <v>0.44819791666666664</v>
      </c>
    </row>
    <row r="1955" spans="1:38" x14ac:dyDescent="0.2">
      <c r="A1955" s="2">
        <v>2025</v>
      </c>
      <c r="B1955" s="2">
        <v>10</v>
      </c>
      <c r="D1955" s="2" t="s">
        <v>1921</v>
      </c>
      <c r="P1955" s="2" t="s">
        <v>115</v>
      </c>
      <c r="Q1955" s="16" t="s">
        <v>711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33"/>
        <v>1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9"/>
        <v>0</v>
      </c>
      <c r="AJ1955" s="2">
        <f t="shared" si="230"/>
        <v>0</v>
      </c>
      <c r="AK1955" s="2">
        <f t="shared" si="231"/>
        <v>1870</v>
      </c>
      <c r="AL1955" s="5">
        <f t="shared" si="228"/>
        <v>1</v>
      </c>
    </row>
    <row r="1956" spans="1:38" x14ac:dyDescent="0.2">
      <c r="A1956" s="2">
        <v>2025</v>
      </c>
      <c r="B1956" s="2">
        <v>10</v>
      </c>
      <c r="D1956" s="2" t="s">
        <v>1922</v>
      </c>
      <c r="P1956" s="2" t="s">
        <v>115</v>
      </c>
      <c r="Q1956" s="2" t="s">
        <v>1923</v>
      </c>
      <c r="R1956" s="2" t="s">
        <v>1924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3"/>
        <v>1</v>
      </c>
      <c r="AF1956" s="2">
        <f t="shared" si="229"/>
        <v>0</v>
      </c>
      <c r="AJ1956" s="2">
        <f t="shared" si="230"/>
        <v>0</v>
      </c>
      <c r="AK1956" s="2">
        <f t="shared" si="231"/>
        <v>523.41999999999996</v>
      </c>
      <c r="AL1956" s="5">
        <f t="shared" si="228"/>
        <v>1</v>
      </c>
    </row>
    <row r="1957" spans="1:38" x14ac:dyDescent="0.2">
      <c r="A1957" s="2">
        <v>2025</v>
      </c>
      <c r="B1957" s="2">
        <v>10</v>
      </c>
      <c r="D1957" s="2" t="s">
        <v>1600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1601</v>
      </c>
      <c r="J1957" s="2" t="s">
        <v>1602</v>
      </c>
      <c r="L1957" s="2" t="s">
        <v>202</v>
      </c>
      <c r="M1957" s="2" t="s">
        <v>41</v>
      </c>
      <c r="O1957" s="2" t="s">
        <v>1925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4">17.4*S1957</f>
        <v>208.79999999999998</v>
      </c>
      <c r="X1957" s="5">
        <f t="shared" si="233"/>
        <v>0.13000000000000006</v>
      </c>
      <c r="Z1957" s="2" t="s">
        <v>3237</v>
      </c>
      <c r="AA1957" s="2" t="s">
        <v>46</v>
      </c>
      <c r="AB1957" s="2" t="s">
        <v>61</v>
      </c>
      <c r="AC1957" s="2" t="s">
        <v>3343</v>
      </c>
      <c r="AF1957" s="2">
        <f t="shared" si="229"/>
        <v>0</v>
      </c>
      <c r="AJ1957" s="2">
        <f t="shared" si="230"/>
        <v>0</v>
      </c>
      <c r="AK1957" s="2">
        <f t="shared" si="231"/>
        <v>31.200000000000017</v>
      </c>
      <c r="AL1957" s="5">
        <f t="shared" si="228"/>
        <v>0.13000000000000006</v>
      </c>
    </row>
    <row r="1958" spans="1:38" x14ac:dyDescent="0.2">
      <c r="A1958" s="2">
        <v>2025</v>
      </c>
      <c r="B1958" s="2">
        <v>10</v>
      </c>
      <c r="D1958" s="2" t="s">
        <v>1600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1601</v>
      </c>
      <c r="J1958" s="2" t="s">
        <v>1602</v>
      </c>
      <c r="L1958" s="2" t="s">
        <v>202</v>
      </c>
      <c r="M1958" s="2" t="s">
        <v>41</v>
      </c>
      <c r="O1958" s="2" t="s">
        <v>1925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4"/>
        <v>139.19999999999999</v>
      </c>
      <c r="X1958" s="5">
        <f t="shared" si="233"/>
        <v>0.13000000000000006</v>
      </c>
      <c r="Z1958" s="2" t="s">
        <v>3237</v>
      </c>
      <c r="AA1958" s="2" t="s">
        <v>46</v>
      </c>
      <c r="AB1958" s="2" t="s">
        <v>61</v>
      </c>
      <c r="AC1958" s="2" t="s">
        <v>3343</v>
      </c>
      <c r="AF1958" s="2">
        <f t="shared" si="229"/>
        <v>0</v>
      </c>
      <c r="AJ1958" s="2">
        <f t="shared" si="230"/>
        <v>0</v>
      </c>
      <c r="AK1958" s="2">
        <f t="shared" si="231"/>
        <v>20.800000000000011</v>
      </c>
      <c r="AL1958" s="5">
        <f t="shared" si="228"/>
        <v>0.13000000000000006</v>
      </c>
    </row>
    <row r="1959" spans="1:38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3"/>
        <v>0.21904761904761905</v>
      </c>
      <c r="Z1959" s="2" t="s">
        <v>3237</v>
      </c>
      <c r="AA1959" s="2" t="s">
        <v>46</v>
      </c>
      <c r="AB1959" s="2" t="s">
        <v>61</v>
      </c>
      <c r="AC1959" s="2" t="s">
        <v>58</v>
      </c>
      <c r="AF1959" s="2">
        <f t="shared" si="229"/>
        <v>0</v>
      </c>
      <c r="AG1959" s="2">
        <v>8.1999999999999993</v>
      </c>
      <c r="AH1959" s="2">
        <v>13</v>
      </c>
      <c r="AJ1959" s="2">
        <f t="shared" si="230"/>
        <v>0</v>
      </c>
      <c r="AK1959" s="2">
        <f t="shared" si="231"/>
        <v>23</v>
      </c>
      <c r="AL1959" s="5">
        <f t="shared" si="228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5">(T1960-W1960)/T1960</f>
        <v>0.45135528470074587</v>
      </c>
      <c r="Z1960" s="2" t="s">
        <v>3237</v>
      </c>
      <c r="AA1960" s="2" t="s">
        <v>76</v>
      </c>
      <c r="AB1960" s="2" t="s">
        <v>77</v>
      </c>
      <c r="AC1960" s="2" t="s">
        <v>78</v>
      </c>
      <c r="AF1960" s="2">
        <f t="shared" si="229"/>
        <v>0</v>
      </c>
      <c r="AG1960" s="2">
        <v>120.636</v>
      </c>
      <c r="AH1960" s="2">
        <v>220</v>
      </c>
      <c r="AJ1960" s="2">
        <f t="shared" si="230"/>
        <v>0</v>
      </c>
      <c r="AK1960" s="2">
        <f t="shared" si="231"/>
        <v>99.244</v>
      </c>
      <c r="AL1960" s="5">
        <f t="shared" si="228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9"/>
        <v>0</v>
      </c>
      <c r="AJ1961" s="2">
        <f t="shared" si="230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5"/>
        <v>0</v>
      </c>
      <c r="Z1962" s="2" t="s">
        <v>3237</v>
      </c>
      <c r="AA1962" s="2" t="s">
        <v>97</v>
      </c>
      <c r="AB1962" s="2" t="s">
        <v>77</v>
      </c>
      <c r="AC1962" s="2" t="s">
        <v>94</v>
      </c>
      <c r="AF1962" s="2">
        <f t="shared" si="229"/>
        <v>0</v>
      </c>
      <c r="AJ1962" s="2">
        <f t="shared" si="230"/>
        <v>0</v>
      </c>
      <c r="AK1962" s="2">
        <f t="shared" si="231"/>
        <v>0</v>
      </c>
      <c r="AL1962" s="5">
        <f t="shared" si="228"/>
        <v>0</v>
      </c>
    </row>
    <row r="1963" spans="1:38" x14ac:dyDescent="0.2">
      <c r="A1963" s="2">
        <v>2025</v>
      </c>
      <c r="B1963" s="2">
        <v>10</v>
      </c>
      <c r="D1963" s="2" t="s">
        <v>1422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2419</v>
      </c>
      <c r="J1963" s="2" t="s">
        <v>2420</v>
      </c>
      <c r="L1963" s="2" t="s">
        <v>202</v>
      </c>
      <c r="M1963" s="2" t="s">
        <v>81</v>
      </c>
      <c r="P1963" s="2" t="s">
        <v>1041</v>
      </c>
      <c r="Q1963" s="2" t="s">
        <v>1926</v>
      </c>
      <c r="R1963" s="2" t="s">
        <v>1927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5"/>
        <v>0.37140045726854398</v>
      </c>
      <c r="Z1963" s="2" t="s">
        <v>3237</v>
      </c>
      <c r="AA1963" s="2" t="s">
        <v>1044</v>
      </c>
      <c r="AB1963" s="2" t="s">
        <v>1322</v>
      </c>
      <c r="AC1963" s="2" t="s">
        <v>1041</v>
      </c>
      <c r="AF1963" s="2">
        <f t="shared" si="229"/>
        <v>0</v>
      </c>
      <c r="AJ1963" s="2">
        <f t="shared" si="230"/>
        <v>0</v>
      </c>
      <c r="AK1963" s="2">
        <f t="shared" si="231"/>
        <v>256.65999999999997</v>
      </c>
      <c r="AL1963" s="5">
        <f t="shared" si="228"/>
        <v>0.37140045726854398</v>
      </c>
    </row>
    <row r="1964" spans="1:38" x14ac:dyDescent="0.2">
      <c r="A1964" s="2">
        <v>2025</v>
      </c>
      <c r="B1964" s="2">
        <v>10</v>
      </c>
      <c r="D1964" s="2" t="s">
        <v>1422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2419</v>
      </c>
      <c r="J1964" s="2" t="s">
        <v>2420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5"/>
        <v>0.08</v>
      </c>
      <c r="Z1964" s="2" t="s">
        <v>170</v>
      </c>
      <c r="AA1964" s="2" t="s">
        <v>170</v>
      </c>
      <c r="AF1964" s="2">
        <f t="shared" si="229"/>
        <v>0</v>
      </c>
      <c r="AJ1964" s="2">
        <f t="shared" si="230"/>
        <v>0</v>
      </c>
      <c r="AK1964" s="2">
        <f t="shared" si="231"/>
        <v>2</v>
      </c>
      <c r="AL1964" s="5">
        <f t="shared" si="228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1912</v>
      </c>
      <c r="R1965" s="2" t="s">
        <v>1913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5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9"/>
        <v>0</v>
      </c>
      <c r="AJ1965" s="2">
        <f t="shared" si="230"/>
        <v>0</v>
      </c>
      <c r="AK1965" s="2">
        <f t="shared" si="231"/>
        <v>2649.0299999999988</v>
      </c>
      <c r="AL1965" s="5">
        <f t="shared" si="228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1928</v>
      </c>
      <c r="R1966" s="2" t="s">
        <v>1929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5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9"/>
        <v>0</v>
      </c>
      <c r="AG1966" s="2">
        <f>19501.14+492.45</f>
        <v>19993.59</v>
      </c>
      <c r="AJ1966" s="2">
        <f t="shared" si="230"/>
        <v>0</v>
      </c>
      <c r="AK1966" s="2">
        <f t="shared" si="231"/>
        <v>1006.8199999999997</v>
      </c>
      <c r="AL1966" s="5">
        <f t="shared" si="228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3234</v>
      </c>
      <c r="P1967" s="2" t="s">
        <v>283</v>
      </c>
      <c r="Q1967" s="2" t="s">
        <v>1395</v>
      </c>
      <c r="R1967" s="2" t="s">
        <v>1396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5"/>
        <v>0.20368147258903563</v>
      </c>
      <c r="Z1967" s="2" t="s">
        <v>3237</v>
      </c>
      <c r="AA1967" s="2" t="s">
        <v>72</v>
      </c>
      <c r="AB1967" s="2" t="s">
        <v>1607</v>
      </c>
      <c r="AC1967" s="2" t="s">
        <v>1607</v>
      </c>
      <c r="AF1967" s="2">
        <f t="shared" si="229"/>
        <v>0</v>
      </c>
      <c r="AG1967" s="2">
        <v>1990</v>
      </c>
      <c r="AJ1967" s="2">
        <f t="shared" si="230"/>
        <v>0</v>
      </c>
      <c r="AK1967" s="2">
        <f t="shared" si="231"/>
        <v>509</v>
      </c>
      <c r="AL1967" s="5">
        <f t="shared" si="228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3235</v>
      </c>
      <c r="P1968" s="2" t="s">
        <v>283</v>
      </c>
      <c r="Q1968" s="2" t="s">
        <v>1448</v>
      </c>
      <c r="R1968" s="2" t="s">
        <v>1449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5"/>
        <v>0.28060000000000002</v>
      </c>
      <c r="Z1968" s="2" t="s">
        <v>3237</v>
      </c>
      <c r="AA1968" s="2" t="s">
        <v>72</v>
      </c>
      <c r="AB1968" s="2" t="s">
        <v>1607</v>
      </c>
      <c r="AC1968" s="2" t="s">
        <v>1607</v>
      </c>
      <c r="AF1968" s="2">
        <f t="shared" si="229"/>
        <v>0</v>
      </c>
      <c r="AG1968" s="2">
        <v>71.94</v>
      </c>
      <c r="AJ1968" s="2">
        <f t="shared" si="230"/>
        <v>0</v>
      </c>
      <c r="AK1968" s="2">
        <f t="shared" si="231"/>
        <v>28.060000000000002</v>
      </c>
      <c r="AL1968" s="5">
        <f t="shared" si="228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1041</v>
      </c>
      <c r="Q1969" s="2" t="s">
        <v>1930</v>
      </c>
      <c r="R1969" s="2" t="s">
        <v>1931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5"/>
        <v>0.21153308672420881</v>
      </c>
      <c r="Z1969" s="2" t="s">
        <v>3237</v>
      </c>
      <c r="AA1969" s="2" t="s">
        <v>1044</v>
      </c>
      <c r="AB1969" s="2" t="s">
        <v>1274</v>
      </c>
      <c r="AC1969" s="2" t="s">
        <v>1041</v>
      </c>
      <c r="AF1969" s="2">
        <f t="shared" si="229"/>
        <v>0</v>
      </c>
      <c r="AJ1969" s="2">
        <f t="shared" si="230"/>
        <v>0</v>
      </c>
      <c r="AK1969" s="2">
        <f t="shared" si="231"/>
        <v>102.93200000000002</v>
      </c>
      <c r="AL1969" s="5">
        <f t="shared" si="228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1041</v>
      </c>
      <c r="Q1970" s="2" t="s">
        <v>1932</v>
      </c>
      <c r="R1970" s="2" t="s">
        <v>1933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5"/>
        <v>0.22005754212905884</v>
      </c>
      <c r="Z1970" s="2" t="s">
        <v>3237</v>
      </c>
      <c r="AA1970" s="2" t="s">
        <v>1044</v>
      </c>
      <c r="AB1970" s="2" t="s">
        <v>1274</v>
      </c>
      <c r="AC1970" s="2" t="s">
        <v>1041</v>
      </c>
      <c r="AF1970" s="2">
        <f t="shared" si="229"/>
        <v>0</v>
      </c>
      <c r="AJ1970" s="2">
        <f t="shared" si="230"/>
        <v>0</v>
      </c>
      <c r="AK1970" s="2">
        <f t="shared" si="231"/>
        <v>107.08000000000004</v>
      </c>
      <c r="AL1970" s="5">
        <f t="shared" si="228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1041</v>
      </c>
      <c r="Q1971" s="2" t="s">
        <v>1934</v>
      </c>
      <c r="R1971" s="2" t="s">
        <v>1935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5"/>
        <v>0.16134797687861271</v>
      </c>
      <c r="Z1971" s="2" t="s">
        <v>3237</v>
      </c>
      <c r="AA1971" s="2" t="s">
        <v>1044</v>
      </c>
      <c r="AB1971" s="2" t="s">
        <v>1322</v>
      </c>
      <c r="AC1971" s="2" t="s">
        <v>1041</v>
      </c>
      <c r="AF1971" s="2">
        <f t="shared" si="229"/>
        <v>0</v>
      </c>
      <c r="AJ1971" s="2">
        <f t="shared" si="230"/>
        <v>0</v>
      </c>
      <c r="AK1971" s="2">
        <f t="shared" si="231"/>
        <v>83.739599999999996</v>
      </c>
      <c r="AL1971" s="5">
        <f t="shared" ref="AL1971:AL2034" si="236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1041</v>
      </c>
      <c r="Q1972" s="2" t="s">
        <v>1936</v>
      </c>
      <c r="R1972" s="2" t="s">
        <v>1937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5"/>
        <v>0.10782273603082848</v>
      </c>
      <c r="Z1972" s="2" t="s">
        <v>3237</v>
      </c>
      <c r="AA1972" s="2" t="s">
        <v>1044</v>
      </c>
      <c r="AB1972" s="2" t="s">
        <v>1322</v>
      </c>
      <c r="AC1972" s="2" t="s">
        <v>1041</v>
      </c>
      <c r="AF1972" s="2">
        <f t="shared" si="229"/>
        <v>0</v>
      </c>
      <c r="AJ1972" s="2">
        <f t="shared" si="230"/>
        <v>0</v>
      </c>
      <c r="AK1972" s="2">
        <f t="shared" si="231"/>
        <v>55.95999999999998</v>
      </c>
      <c r="AL1972" s="5">
        <f t="shared" si="236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1041</v>
      </c>
      <c r="Q1973" s="2" t="s">
        <v>1938</v>
      </c>
      <c r="R1973" s="2" t="s">
        <v>1939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5"/>
        <v>0.10782273603082848</v>
      </c>
      <c r="Z1973" s="2" t="s">
        <v>3237</v>
      </c>
      <c r="AA1973" s="2" t="s">
        <v>1044</v>
      </c>
      <c r="AB1973" s="2" t="s">
        <v>1322</v>
      </c>
      <c r="AC1973" s="2" t="s">
        <v>1041</v>
      </c>
      <c r="AF1973" s="2">
        <f t="shared" si="229"/>
        <v>0</v>
      </c>
      <c r="AJ1973" s="2">
        <f t="shared" si="230"/>
        <v>0</v>
      </c>
      <c r="AK1973" s="2">
        <f t="shared" si="231"/>
        <v>55.95999999999998</v>
      </c>
      <c r="AL1973" s="5">
        <f t="shared" si="236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1041</v>
      </c>
      <c r="Q1974" s="2" t="s">
        <v>1940</v>
      </c>
      <c r="R1974" s="2" t="s">
        <v>1941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5"/>
        <v>0.10782273603082848</v>
      </c>
      <c r="Z1974" s="2" t="s">
        <v>3237</v>
      </c>
      <c r="AA1974" s="2" t="s">
        <v>1044</v>
      </c>
      <c r="AB1974" s="2" t="s">
        <v>1322</v>
      </c>
      <c r="AC1974" s="2" t="s">
        <v>1041</v>
      </c>
      <c r="AF1974" s="2">
        <f t="shared" si="229"/>
        <v>0</v>
      </c>
      <c r="AJ1974" s="2">
        <f t="shared" si="230"/>
        <v>0</v>
      </c>
      <c r="AK1974" s="2">
        <f t="shared" si="231"/>
        <v>55.95999999999998</v>
      </c>
      <c r="AL1974" s="5">
        <f t="shared" si="236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5"/>
        <v>1</v>
      </c>
      <c r="Z1975" s="2" t="s">
        <v>170</v>
      </c>
      <c r="AA1975" s="2" t="s">
        <v>170</v>
      </c>
      <c r="AF1975" s="2">
        <f t="shared" si="229"/>
        <v>0</v>
      </c>
      <c r="AJ1975" s="2">
        <f t="shared" si="230"/>
        <v>0</v>
      </c>
      <c r="AK1975" s="2">
        <f t="shared" si="231"/>
        <v>115</v>
      </c>
      <c r="AL1975" s="5">
        <f t="shared" si="236"/>
        <v>1</v>
      </c>
    </row>
    <row r="1976" spans="1:38" x14ac:dyDescent="0.2">
      <c r="A1976" s="2">
        <v>2025</v>
      </c>
      <c r="B1976" s="2">
        <v>10</v>
      </c>
      <c r="D1976" s="2" t="s">
        <v>1091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1092</v>
      </c>
      <c r="J1976" s="2" t="s">
        <v>1093</v>
      </c>
      <c r="K1976" s="2">
        <v>917523997</v>
      </c>
      <c r="L1976" s="2" t="s">
        <v>113</v>
      </c>
      <c r="M1976" s="2" t="s">
        <v>40</v>
      </c>
      <c r="O1976" s="2" t="s">
        <v>1942</v>
      </c>
      <c r="P1976" s="2" t="s">
        <v>115</v>
      </c>
      <c r="Q1976" s="2" t="s">
        <v>1387</v>
      </c>
      <c r="R1976" s="2" t="s">
        <v>1388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5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9"/>
        <v>0</v>
      </c>
      <c r="AJ1976" s="2">
        <f t="shared" si="230"/>
        <v>0</v>
      </c>
      <c r="AK1976" s="2">
        <f t="shared" si="231"/>
        <v>152.41</v>
      </c>
      <c r="AL1976" s="5">
        <f t="shared" si="236"/>
        <v>1</v>
      </c>
    </row>
    <row r="1977" spans="1:38" x14ac:dyDescent="0.2">
      <c r="A1977" s="2">
        <v>2025</v>
      </c>
      <c r="B1977" s="2">
        <v>10</v>
      </c>
      <c r="D1977" s="2" t="s">
        <v>1943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3176</v>
      </c>
      <c r="L1977" s="2" t="s">
        <v>481</v>
      </c>
      <c r="O1977" s="2" t="s">
        <v>3177</v>
      </c>
      <c r="P1977" s="2" t="s">
        <v>1041</v>
      </c>
      <c r="Q1977" s="2" t="s">
        <v>1944</v>
      </c>
      <c r="R1977" s="2" t="s">
        <v>1945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5"/>
        <v>0.41819482959119775</v>
      </c>
      <c r="Z1977" s="2" t="s">
        <v>3237</v>
      </c>
      <c r="AA1977" s="2" t="s">
        <v>1044</v>
      </c>
      <c r="AB1977" s="2" t="s">
        <v>1045</v>
      </c>
      <c r="AC1977" s="2" t="s">
        <v>1041</v>
      </c>
      <c r="AF1977" s="2">
        <f t="shared" si="229"/>
        <v>0</v>
      </c>
      <c r="AG1977" s="2">
        <v>130.08000000000001</v>
      </c>
      <c r="AJ1977" s="2">
        <f t="shared" si="230"/>
        <v>0</v>
      </c>
      <c r="AK1977" s="2">
        <f t="shared" si="231"/>
        <v>187</v>
      </c>
      <c r="AL1977" s="5">
        <f t="shared" si="236"/>
        <v>0.41819482959119775</v>
      </c>
    </row>
    <row r="1978" spans="1:38" x14ac:dyDescent="0.2">
      <c r="A1978" s="2">
        <v>2025</v>
      </c>
      <c r="B1978" s="2">
        <v>10</v>
      </c>
      <c r="D1978" s="2" t="s">
        <v>1943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3176</v>
      </c>
      <c r="L1978" s="2" t="s">
        <v>481</v>
      </c>
      <c r="O1978" s="2" t="s">
        <v>3177</v>
      </c>
      <c r="P1978" s="2" t="s">
        <v>1041</v>
      </c>
      <c r="Q1978" s="2" t="s">
        <v>1946</v>
      </c>
      <c r="R1978" s="2" t="s">
        <v>1947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5"/>
        <v>0.39684669573968467</v>
      </c>
      <c r="Z1978" s="2" t="s">
        <v>3237</v>
      </c>
      <c r="AA1978" s="2" t="s">
        <v>1044</v>
      </c>
      <c r="AB1978" s="2" t="s">
        <v>1045</v>
      </c>
      <c r="AC1978" s="2" t="s">
        <v>1041</v>
      </c>
      <c r="AF1978" s="2">
        <f t="shared" si="229"/>
        <v>0</v>
      </c>
      <c r="AG1978" s="2">
        <v>134.85</v>
      </c>
      <c r="AJ1978" s="2">
        <f t="shared" si="230"/>
        <v>0</v>
      </c>
      <c r="AK1978" s="2">
        <f t="shared" si="231"/>
        <v>177.45</v>
      </c>
      <c r="AL1978" s="5">
        <f t="shared" si="236"/>
        <v>0.39684669573968467</v>
      </c>
    </row>
    <row r="1979" spans="1:38" x14ac:dyDescent="0.2">
      <c r="A1979" s="2">
        <v>2025</v>
      </c>
      <c r="B1979" s="2">
        <v>10</v>
      </c>
      <c r="D1979" s="2" t="s">
        <v>1279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5"/>
        <v>1</v>
      </c>
      <c r="AF1979" s="2">
        <f t="shared" si="229"/>
        <v>0</v>
      </c>
      <c r="AJ1979" s="2">
        <f t="shared" si="230"/>
        <v>0</v>
      </c>
      <c r="AK1979" s="2">
        <f t="shared" si="231"/>
        <v>91.11</v>
      </c>
      <c r="AL1979" s="5">
        <f t="shared" si="236"/>
        <v>1</v>
      </c>
    </row>
    <row r="1980" spans="1:38" x14ac:dyDescent="0.2">
      <c r="A1980" s="2">
        <v>2025</v>
      </c>
      <c r="B1980" s="2">
        <v>10</v>
      </c>
      <c r="C1980" s="2" t="s">
        <v>3425</v>
      </c>
      <c r="D1980" s="2" t="s">
        <v>1745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1948</v>
      </c>
      <c r="R1980" s="2" t="s">
        <v>1949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5"/>
        <v>-0.15999999999999998</v>
      </c>
      <c r="Z1980" s="2" t="s">
        <v>3237</v>
      </c>
      <c r="AA1980" s="2" t="s">
        <v>156</v>
      </c>
      <c r="AB1980" s="2" t="s">
        <v>1949</v>
      </c>
      <c r="AC1980" s="2" t="s">
        <v>153</v>
      </c>
      <c r="AF1980" s="2">
        <f t="shared" si="229"/>
        <v>0</v>
      </c>
      <c r="AJ1980" s="2">
        <f t="shared" si="230"/>
        <v>0</v>
      </c>
      <c r="AK1980" s="2">
        <f t="shared" si="231"/>
        <v>-3.1999999999999993</v>
      </c>
      <c r="AL1980" s="5">
        <f t="shared" si="236"/>
        <v>-0.15999999999999998</v>
      </c>
    </row>
    <row r="1981" spans="1:38" x14ac:dyDescent="0.2">
      <c r="A1981" s="2">
        <v>2025</v>
      </c>
      <c r="B1981" s="2">
        <v>10</v>
      </c>
      <c r="D1981" s="2" t="s">
        <v>1745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5"/>
        <v>1</v>
      </c>
      <c r="Z1981" s="2" t="s">
        <v>170</v>
      </c>
      <c r="AA1981" s="2" t="s">
        <v>170</v>
      </c>
      <c r="AF1981" s="2">
        <f t="shared" si="229"/>
        <v>0</v>
      </c>
      <c r="AJ1981" s="2">
        <f t="shared" si="230"/>
        <v>0</v>
      </c>
      <c r="AK1981" s="2">
        <f t="shared" si="231"/>
        <v>8.5</v>
      </c>
      <c r="AL1981" s="5">
        <f t="shared" si="236"/>
        <v>1</v>
      </c>
    </row>
    <row r="1982" spans="1:38" x14ac:dyDescent="0.2">
      <c r="A1982" s="2">
        <v>2025</v>
      </c>
      <c r="B1982" s="2">
        <v>10</v>
      </c>
      <c r="D1982" s="2" t="s">
        <v>1950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5"/>
        <v>0.46612272727272724</v>
      </c>
      <c r="Z1982" s="2" t="s">
        <v>3237</v>
      </c>
      <c r="AA1982" s="2" t="s">
        <v>76</v>
      </c>
      <c r="AB1982" s="2" t="s">
        <v>77</v>
      </c>
      <c r="AC1982" s="2" t="s">
        <v>78</v>
      </c>
      <c r="AF1982" s="2">
        <f t="shared" si="229"/>
        <v>0</v>
      </c>
      <c r="AG1982" s="2">
        <v>117.453</v>
      </c>
      <c r="AH1982" s="2">
        <v>220</v>
      </c>
      <c r="AJ1982" s="2">
        <f t="shared" si="230"/>
        <v>0</v>
      </c>
      <c r="AK1982" s="2">
        <f t="shared" si="231"/>
        <v>102.547</v>
      </c>
      <c r="AL1982" s="5">
        <f t="shared" si="236"/>
        <v>0.46612272727272724</v>
      </c>
    </row>
    <row r="1983" spans="1:38" x14ac:dyDescent="0.2">
      <c r="A1983" s="2">
        <v>2025</v>
      </c>
      <c r="B1983" s="2">
        <v>10</v>
      </c>
      <c r="D1983" s="2" t="s">
        <v>1950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5"/>
        <v>0</v>
      </c>
      <c r="Z1983" s="2" t="s">
        <v>3237</v>
      </c>
      <c r="AA1983" s="2" t="s">
        <v>97</v>
      </c>
      <c r="AB1983" s="2" t="s">
        <v>77</v>
      </c>
      <c r="AC1983" s="2" t="s">
        <v>94</v>
      </c>
      <c r="AF1983" s="2">
        <f t="shared" si="229"/>
        <v>0</v>
      </c>
      <c r="AJ1983" s="2">
        <f t="shared" si="230"/>
        <v>0</v>
      </c>
      <c r="AK1983" s="2">
        <f t="shared" si="231"/>
        <v>0</v>
      </c>
      <c r="AL1983" s="5">
        <f t="shared" si="236"/>
        <v>0</v>
      </c>
    </row>
    <row r="1984" spans="1:38" x14ac:dyDescent="0.2">
      <c r="A1984" s="2">
        <v>2025</v>
      </c>
      <c r="B1984" s="2">
        <v>10</v>
      </c>
      <c r="D1984" s="2" t="s">
        <v>1951</v>
      </c>
      <c r="P1984" s="2" t="s">
        <v>69</v>
      </c>
      <c r="Q1984" s="2" t="s">
        <v>1163</v>
      </c>
      <c r="R1984" s="2" t="s">
        <v>1164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5"/>
        <v>0.36799999999999999</v>
      </c>
      <c r="Z1984" s="2" t="s">
        <v>3237</v>
      </c>
      <c r="AA1984" s="2" t="s">
        <v>72</v>
      </c>
      <c r="AB1984" s="2" t="s">
        <v>69</v>
      </c>
      <c r="AC1984" s="2" t="s">
        <v>3242</v>
      </c>
      <c r="AF1984" s="2">
        <f t="shared" si="229"/>
        <v>0</v>
      </c>
      <c r="AJ1984" s="2">
        <f t="shared" si="230"/>
        <v>0</v>
      </c>
      <c r="AK1984" s="2">
        <f t="shared" si="231"/>
        <v>27.6</v>
      </c>
      <c r="AL1984" s="5">
        <f t="shared" si="236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5"/>
        <v>0.430969696969697</v>
      </c>
      <c r="Z1985" s="2" t="s">
        <v>3237</v>
      </c>
      <c r="AA1985" s="2" t="s">
        <v>46</v>
      </c>
      <c r="AB1985" s="2" t="s">
        <v>61</v>
      </c>
      <c r="AC1985" s="2" t="s">
        <v>58</v>
      </c>
      <c r="AF1985" s="2">
        <f t="shared" si="229"/>
        <v>0</v>
      </c>
      <c r="AG1985" s="2">
        <v>3.7555999999999998</v>
      </c>
      <c r="AH1985" s="2">
        <v>7.2</v>
      </c>
      <c r="AJ1985" s="2">
        <f t="shared" si="230"/>
        <v>0</v>
      </c>
      <c r="AK1985" s="2">
        <f t="shared" si="231"/>
        <v>56.888000000000005</v>
      </c>
      <c r="AL1985" s="5">
        <f t="shared" si="236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5"/>
        <v>0.5243888888888889</v>
      </c>
      <c r="Z1986" s="2" t="s">
        <v>3237</v>
      </c>
      <c r="AA1986" s="2" t="s">
        <v>46</v>
      </c>
      <c r="AB1986" s="2" t="s">
        <v>61</v>
      </c>
      <c r="AC1986" s="2" t="s">
        <v>58</v>
      </c>
      <c r="AF1986" s="2">
        <f t="shared" si="229"/>
        <v>0</v>
      </c>
      <c r="AG1986" s="2">
        <v>0.85609999999999997</v>
      </c>
      <c r="AH1986" s="2">
        <v>1.8</v>
      </c>
      <c r="AJ1986" s="2">
        <f t="shared" si="230"/>
        <v>0</v>
      </c>
      <c r="AK1986" s="2">
        <f t="shared" si="231"/>
        <v>37.756</v>
      </c>
      <c r="AL1986" s="5">
        <f t="shared" si="236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5"/>
        <v>0.62926666666666664</v>
      </c>
      <c r="Z1987" s="2" t="s">
        <v>3237</v>
      </c>
      <c r="AA1987" s="2" t="s">
        <v>46</v>
      </c>
      <c r="AB1987" s="2" t="s">
        <v>61</v>
      </c>
      <c r="AC1987" s="2" t="s">
        <v>58</v>
      </c>
      <c r="AF1987" s="2">
        <f t="shared" ref="AF1987:AF2050" si="237">AJ1987</f>
        <v>0</v>
      </c>
      <c r="AG1987" s="2">
        <v>1.1122000000000001</v>
      </c>
      <c r="AH1987" s="2">
        <v>3</v>
      </c>
      <c r="AJ1987" s="2">
        <f t="shared" ref="AJ1987:AJ2050" si="238">AI1987*T1987</f>
        <v>0</v>
      </c>
      <c r="AK1987" s="2">
        <f t="shared" ref="AK1987:AK2050" si="239">T1987-W1987</f>
        <v>37.756</v>
      </c>
      <c r="AL1987" s="5">
        <f t="shared" si="236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5"/>
        <v>0.41191666666666665</v>
      </c>
      <c r="Z1988" s="2" t="s">
        <v>3237</v>
      </c>
      <c r="AA1988" s="2" t="s">
        <v>46</v>
      </c>
      <c r="AB1988" s="2" t="s">
        <v>61</v>
      </c>
      <c r="AC1988" s="2" t="s">
        <v>58</v>
      </c>
      <c r="AF1988" s="2">
        <f t="shared" si="237"/>
        <v>0</v>
      </c>
      <c r="AG1988" s="2">
        <v>1.4114</v>
      </c>
      <c r="AH1988" s="2">
        <v>3</v>
      </c>
      <c r="AJ1988" s="2">
        <f t="shared" si="238"/>
        <v>0</v>
      </c>
      <c r="AK1988" s="2">
        <f t="shared" si="239"/>
        <v>39.543999999999997</v>
      </c>
      <c r="AL1988" s="5">
        <f t="shared" si="236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5"/>
        <v>0.31725909090909088</v>
      </c>
      <c r="Z1989" s="2" t="s">
        <v>3237</v>
      </c>
      <c r="AA1989" s="2" t="s">
        <v>46</v>
      </c>
      <c r="AB1989" s="2" t="s">
        <v>68</v>
      </c>
      <c r="AC1989" s="2" t="s">
        <v>58</v>
      </c>
      <c r="AF1989" s="2">
        <f t="shared" si="237"/>
        <v>0</v>
      </c>
      <c r="AG1989" s="2">
        <v>15.020300000000001</v>
      </c>
      <c r="AH1989" s="2">
        <v>27.6</v>
      </c>
      <c r="AJ1989" s="2">
        <f t="shared" si="238"/>
        <v>0</v>
      </c>
      <c r="AK1989" s="2">
        <f t="shared" si="239"/>
        <v>13.959399999999999</v>
      </c>
      <c r="AL1989" s="5">
        <f t="shared" si="236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5"/>
        <v>0.62349999999999994</v>
      </c>
      <c r="Z1990" s="2" t="s">
        <v>3237</v>
      </c>
      <c r="AA1990" s="2" t="s">
        <v>46</v>
      </c>
      <c r="AB1990" s="2" t="s">
        <v>47</v>
      </c>
      <c r="AC1990" s="2" t="s">
        <v>48</v>
      </c>
      <c r="AF1990" s="2">
        <f t="shared" si="237"/>
        <v>0</v>
      </c>
      <c r="AJ1990" s="2">
        <f t="shared" si="238"/>
        <v>0</v>
      </c>
      <c r="AK1990" s="2">
        <f t="shared" si="239"/>
        <v>18.704999999999998</v>
      </c>
      <c r="AL1990" s="5">
        <f t="shared" si="236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5"/>
        <v>0.24999999999999994</v>
      </c>
      <c r="Z1991" s="2" t="s">
        <v>3237</v>
      </c>
      <c r="AA1991" s="2" t="s">
        <v>46</v>
      </c>
      <c r="AB1991" s="2" t="s">
        <v>47</v>
      </c>
      <c r="AC1991" s="2" t="s">
        <v>48</v>
      </c>
      <c r="AF1991" s="2">
        <f t="shared" si="237"/>
        <v>0</v>
      </c>
      <c r="AG1991" s="2">
        <v>10.2346</v>
      </c>
      <c r="AH1991" s="2">
        <v>18</v>
      </c>
      <c r="AJ1991" s="2">
        <f t="shared" si="238"/>
        <v>0</v>
      </c>
      <c r="AK1991" s="2">
        <f t="shared" si="239"/>
        <v>4.7999999999999989</v>
      </c>
      <c r="AL1991" s="5">
        <f t="shared" si="236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0">(T1992-W1992)/T1992</f>
        <v>0.34714285714285725</v>
      </c>
      <c r="Z1992" s="2" t="s">
        <v>3237</v>
      </c>
      <c r="AA1992" s="2" t="s">
        <v>46</v>
      </c>
      <c r="AB1992" s="2" t="s">
        <v>61</v>
      </c>
      <c r="AC1992" s="2" t="s">
        <v>58</v>
      </c>
      <c r="AF1992" s="2">
        <f t="shared" si="237"/>
        <v>0</v>
      </c>
      <c r="AG1992" s="2">
        <v>9.14</v>
      </c>
      <c r="AH1992" s="2">
        <v>16</v>
      </c>
      <c r="AJ1992" s="2">
        <f t="shared" si="238"/>
        <v>0</v>
      </c>
      <c r="AK1992" s="2">
        <f t="shared" si="239"/>
        <v>4.8600000000000012</v>
      </c>
      <c r="AL1992" s="5">
        <f t="shared" si="236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0"/>
        <v>0.21904761904761899</v>
      </c>
      <c r="Z1993" s="2" t="s">
        <v>3237</v>
      </c>
      <c r="AA1993" s="2" t="s">
        <v>46</v>
      </c>
      <c r="AB1993" s="2" t="s">
        <v>61</v>
      </c>
      <c r="AC1993" s="2" t="s">
        <v>58</v>
      </c>
      <c r="AF1993" s="2">
        <f t="shared" si="237"/>
        <v>0</v>
      </c>
      <c r="AG1993" s="2">
        <v>8.1999999999999993</v>
      </c>
      <c r="AH1993" s="2">
        <v>13</v>
      </c>
      <c r="AJ1993" s="2">
        <f t="shared" si="238"/>
        <v>0</v>
      </c>
      <c r="AK1993" s="2">
        <f t="shared" si="239"/>
        <v>27.599999999999994</v>
      </c>
      <c r="AL1993" s="5">
        <f t="shared" si="236"/>
        <v>0.21904761904761899</v>
      </c>
    </row>
    <row r="1994" spans="1:38" x14ac:dyDescent="0.2">
      <c r="A1994" s="2">
        <v>2025</v>
      </c>
      <c r="B1994" s="2">
        <v>10</v>
      </c>
      <c r="D1994" s="2" t="s">
        <v>1952</v>
      </c>
      <c r="P1994" s="2" t="s">
        <v>3241</v>
      </c>
      <c r="Q1994" s="2" t="s">
        <v>1953</v>
      </c>
      <c r="R1994" s="2" t="s">
        <v>1954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0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3241</v>
      </c>
      <c r="AF1994" s="2">
        <f t="shared" si="237"/>
        <v>0</v>
      </c>
      <c r="AJ1994" s="2">
        <f t="shared" si="238"/>
        <v>0</v>
      </c>
      <c r="AK1994" s="2">
        <f t="shared" si="239"/>
        <v>3847.6899999999996</v>
      </c>
      <c r="AL1994" s="5">
        <f t="shared" si="236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0"/>
        <v>0.31725909090909088</v>
      </c>
      <c r="Z1995" s="2" t="s">
        <v>3237</v>
      </c>
      <c r="AA1995" s="2" t="s">
        <v>46</v>
      </c>
      <c r="AB1995" s="2" t="s">
        <v>68</v>
      </c>
      <c r="AC1995" s="2" t="s">
        <v>58</v>
      </c>
      <c r="AF1995" s="2">
        <f t="shared" si="237"/>
        <v>0</v>
      </c>
      <c r="AG1995" s="2">
        <v>15.020300000000001</v>
      </c>
      <c r="AH1995" s="2">
        <v>27.6</v>
      </c>
      <c r="AJ1995" s="2">
        <f t="shared" si="238"/>
        <v>0</v>
      </c>
      <c r="AK1995" s="2">
        <f t="shared" si="239"/>
        <v>55.837599999999995</v>
      </c>
      <c r="AL1995" s="5">
        <f t="shared" si="236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1955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0"/>
        <v>0.45290151515151511</v>
      </c>
      <c r="Z1996" s="2" t="s">
        <v>3237</v>
      </c>
      <c r="AA1996" s="2" t="s">
        <v>46</v>
      </c>
      <c r="AB1996" s="2" t="s">
        <v>57</v>
      </c>
      <c r="AC1996" s="2" t="s">
        <v>58</v>
      </c>
      <c r="AF1996" s="2">
        <f t="shared" si="237"/>
        <v>0</v>
      </c>
      <c r="AG1996" s="2">
        <v>7.2217000000000002</v>
      </c>
      <c r="AH1996" s="2">
        <v>14.4</v>
      </c>
      <c r="AJ1996" s="2">
        <f t="shared" si="238"/>
        <v>0</v>
      </c>
      <c r="AK1996" s="2">
        <f t="shared" si="239"/>
        <v>5.9782999999999991</v>
      </c>
      <c r="AL1996" s="5">
        <f t="shared" si="236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1955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0"/>
        <v>1</v>
      </c>
      <c r="Z1997" s="2" t="s">
        <v>3237</v>
      </c>
      <c r="AA1997" s="2" t="s">
        <v>46</v>
      </c>
      <c r="AB1997" s="2" t="s">
        <v>57</v>
      </c>
      <c r="AC1997" s="2" t="s">
        <v>58</v>
      </c>
      <c r="AF1997" s="2">
        <f t="shared" si="237"/>
        <v>0</v>
      </c>
      <c r="AJ1997" s="2">
        <f t="shared" si="238"/>
        <v>0</v>
      </c>
      <c r="AK1997" s="2">
        <f t="shared" si="239"/>
        <v>28.8</v>
      </c>
      <c r="AL1997" s="5">
        <f t="shared" si="236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1955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0"/>
        <v>0.41111111111111115</v>
      </c>
      <c r="Z1998" s="2" t="s">
        <v>3237</v>
      </c>
      <c r="AA1998" s="2" t="s">
        <v>46</v>
      </c>
      <c r="AB1998" s="2" t="s">
        <v>57</v>
      </c>
      <c r="AC1998" s="2" t="s">
        <v>58</v>
      </c>
      <c r="AF1998" s="2">
        <f t="shared" si="237"/>
        <v>0</v>
      </c>
      <c r="AG1998" s="2">
        <v>10.6</v>
      </c>
      <c r="AH1998" s="2">
        <v>18</v>
      </c>
      <c r="AJ1998" s="2">
        <f t="shared" si="238"/>
        <v>0</v>
      </c>
      <c r="AK1998" s="2">
        <f t="shared" si="239"/>
        <v>7.4</v>
      </c>
      <c r="AL1998" s="5">
        <f t="shared" si="236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1955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0"/>
        <v>0.36923076923076914</v>
      </c>
      <c r="Z1999" s="2" t="s">
        <v>3237</v>
      </c>
      <c r="AA1999" s="2" t="s">
        <v>46</v>
      </c>
      <c r="AB1999" s="2" t="s">
        <v>61</v>
      </c>
      <c r="AC1999" s="2" t="s">
        <v>58</v>
      </c>
      <c r="AF1999" s="2">
        <f t="shared" si="237"/>
        <v>0</v>
      </c>
      <c r="AG1999" s="2">
        <v>8.1999999999999993</v>
      </c>
      <c r="AH1999" s="2">
        <v>13</v>
      </c>
      <c r="AJ1999" s="2">
        <f t="shared" si="238"/>
        <v>0</v>
      </c>
      <c r="AK1999" s="2">
        <f t="shared" si="239"/>
        <v>4.7999999999999989</v>
      </c>
      <c r="AL1999" s="5">
        <f t="shared" si="236"/>
        <v>0.36923076923076914</v>
      </c>
    </row>
    <row r="2000" spans="1:38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1956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0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7"/>
        <v>0</v>
      </c>
      <c r="AJ2000" s="2">
        <f t="shared" si="238"/>
        <v>0</v>
      </c>
      <c r="AK2000" s="2">
        <f t="shared" si="239"/>
        <v>273.13</v>
      </c>
      <c r="AL2000" s="5">
        <f t="shared" si="236"/>
        <v>1</v>
      </c>
    </row>
    <row r="2001" spans="1:38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3312</v>
      </c>
      <c r="O2001" s="2" t="s">
        <v>1957</v>
      </c>
      <c r="P2001" s="2" t="s">
        <v>283</v>
      </c>
      <c r="Q2001" s="2" t="s">
        <v>1958</v>
      </c>
      <c r="R2001" s="2" t="s">
        <v>1959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0"/>
        <v>0.46562962962962962</v>
      </c>
      <c r="Z2001" s="2" t="s">
        <v>3237</v>
      </c>
      <c r="AA2001" s="2" t="s">
        <v>72</v>
      </c>
      <c r="AB2001" s="2" t="s">
        <v>120</v>
      </c>
      <c r="AC2001" s="2" t="s">
        <v>120</v>
      </c>
      <c r="AF2001" s="2">
        <f t="shared" si="237"/>
        <v>0</v>
      </c>
      <c r="AJ2001" s="2">
        <f t="shared" si="238"/>
        <v>0</v>
      </c>
      <c r="AK2001" s="2">
        <f t="shared" si="239"/>
        <v>125.72</v>
      </c>
      <c r="AL2001" s="5">
        <f t="shared" si="236"/>
        <v>0.46562962962962962</v>
      </c>
    </row>
    <row r="2002" spans="1:38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3312</v>
      </c>
      <c r="O2002" s="2" t="s">
        <v>1960</v>
      </c>
      <c r="P2002" s="2" t="s">
        <v>283</v>
      </c>
      <c r="Q2002" s="2" t="s">
        <v>1647</v>
      </c>
      <c r="R2002" s="2" t="s">
        <v>1648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3237</v>
      </c>
      <c r="AA2002" s="2" t="s">
        <v>72</v>
      </c>
      <c r="AB2002" s="2" t="s">
        <v>120</v>
      </c>
      <c r="AC2002" s="2" t="s">
        <v>120</v>
      </c>
      <c r="AF2002" s="2">
        <f t="shared" si="237"/>
        <v>0</v>
      </c>
      <c r="AJ2002" s="2">
        <f t="shared" si="238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1299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1300</v>
      </c>
      <c r="L2003" s="2" t="s">
        <v>340</v>
      </c>
      <c r="M2003" s="2" t="s">
        <v>81</v>
      </c>
      <c r="O2003" s="2" t="s">
        <v>3212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1">(T2003-W2003)/T2003</f>
        <v>0.45027000490918012</v>
      </c>
      <c r="Z2003" s="2" t="s">
        <v>3237</v>
      </c>
      <c r="AA2003" s="2" t="s">
        <v>76</v>
      </c>
      <c r="AB2003" s="2" t="s">
        <v>77</v>
      </c>
      <c r="AC2003" s="2" t="s">
        <v>78</v>
      </c>
      <c r="AF2003" s="2">
        <f t="shared" si="237"/>
        <v>0</v>
      </c>
      <c r="AG2003" s="2">
        <v>111.98</v>
      </c>
      <c r="AH2003" s="2">
        <v>210</v>
      </c>
      <c r="AJ2003" s="2">
        <f t="shared" si="238"/>
        <v>0</v>
      </c>
      <c r="AK2003" s="2">
        <f t="shared" si="239"/>
        <v>91.719999999999985</v>
      </c>
      <c r="AL2003" s="5">
        <f t="shared" si="236"/>
        <v>0.45027000490918012</v>
      </c>
    </row>
    <row r="2004" spans="1:38" x14ac:dyDescent="0.2">
      <c r="A2004" s="2">
        <v>2025</v>
      </c>
      <c r="B2004" s="2">
        <v>10</v>
      </c>
      <c r="D2004" s="2" t="s">
        <v>1299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1300</v>
      </c>
      <c r="L2004" s="2" t="s">
        <v>340</v>
      </c>
      <c r="M2004" s="2" t="s">
        <v>81</v>
      </c>
      <c r="P2004" s="2" t="s">
        <v>1041</v>
      </c>
      <c r="Q2004" s="2" t="s">
        <v>1961</v>
      </c>
      <c r="R2004" s="2" t="s">
        <v>1962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1"/>
        <v>0.43582474226804124</v>
      </c>
      <c r="Z2004" s="2" t="s">
        <v>3237</v>
      </c>
      <c r="AA2004" s="2" t="s">
        <v>76</v>
      </c>
      <c r="AB2004" s="2" t="s">
        <v>77</v>
      </c>
      <c r="AC2004" s="2" t="s">
        <v>1041</v>
      </c>
      <c r="AF2004" s="2">
        <f t="shared" si="237"/>
        <v>0</v>
      </c>
      <c r="AJ2004" s="2">
        <f t="shared" si="238"/>
        <v>0</v>
      </c>
      <c r="AK2004" s="2">
        <f t="shared" si="239"/>
        <v>93.00500000000001</v>
      </c>
      <c r="AL2004" s="5">
        <f t="shared" si="236"/>
        <v>0.43582474226804124</v>
      </c>
    </row>
    <row r="2005" spans="1:38" x14ac:dyDescent="0.2">
      <c r="A2005" s="2">
        <v>2025</v>
      </c>
      <c r="B2005" s="2">
        <v>10</v>
      </c>
      <c r="D2005" s="2" t="s">
        <v>1299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1300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1"/>
        <v>0.23333333333333334</v>
      </c>
      <c r="Z2005" s="2" t="s">
        <v>170</v>
      </c>
      <c r="AA2005" s="2" t="s">
        <v>170</v>
      </c>
      <c r="AF2005" s="2">
        <f t="shared" si="237"/>
        <v>0</v>
      </c>
      <c r="AJ2005" s="2">
        <f t="shared" si="238"/>
        <v>0</v>
      </c>
      <c r="AK2005" s="2">
        <f t="shared" si="239"/>
        <v>7</v>
      </c>
      <c r="AL2005" s="5">
        <f t="shared" si="236"/>
        <v>0.23333333333333334</v>
      </c>
    </row>
    <row r="2006" spans="1:38" x14ac:dyDescent="0.2">
      <c r="A2006" s="2">
        <v>2025</v>
      </c>
      <c r="B2006" s="2">
        <v>10</v>
      </c>
      <c r="D2006" s="2" t="s">
        <v>1299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1300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1"/>
        <v>0</v>
      </c>
      <c r="Z2006" s="2" t="s">
        <v>3237</v>
      </c>
      <c r="AA2006" s="2" t="s">
        <v>97</v>
      </c>
      <c r="AB2006" s="2" t="s">
        <v>77</v>
      </c>
      <c r="AC2006" s="2" t="s">
        <v>94</v>
      </c>
      <c r="AF2006" s="2">
        <f t="shared" si="237"/>
        <v>0</v>
      </c>
      <c r="AJ2006" s="2">
        <f t="shared" si="238"/>
        <v>0</v>
      </c>
      <c r="AK2006" s="2">
        <f t="shared" si="239"/>
        <v>0</v>
      </c>
      <c r="AL2006" s="5">
        <f t="shared" si="236"/>
        <v>0</v>
      </c>
    </row>
    <row r="2007" spans="1:38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1"/>
        <v>0.13</v>
      </c>
      <c r="Z2007" s="2" t="s">
        <v>3237</v>
      </c>
      <c r="AA2007" s="2" t="s">
        <v>46</v>
      </c>
      <c r="AB2007" s="2" t="s">
        <v>61</v>
      </c>
      <c r="AC2007" s="2" t="s">
        <v>3343</v>
      </c>
      <c r="AF2007" s="2">
        <f t="shared" si="237"/>
        <v>0</v>
      </c>
      <c r="AJ2007" s="2">
        <f t="shared" si="238"/>
        <v>0</v>
      </c>
      <c r="AK2007" s="2">
        <f t="shared" si="239"/>
        <v>26</v>
      </c>
      <c r="AL2007" s="5">
        <f t="shared" si="236"/>
        <v>0.13</v>
      </c>
    </row>
    <row r="2008" spans="1:38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1"/>
        <v>0.13</v>
      </c>
      <c r="Z2008" s="2" t="s">
        <v>3237</v>
      </c>
      <c r="AA2008" s="2" t="s">
        <v>46</v>
      </c>
      <c r="AB2008" s="2" t="s">
        <v>61</v>
      </c>
      <c r="AC2008" s="2" t="s">
        <v>3343</v>
      </c>
      <c r="AF2008" s="2">
        <f t="shared" si="237"/>
        <v>0</v>
      </c>
      <c r="AJ2008" s="2">
        <f t="shared" si="238"/>
        <v>0</v>
      </c>
      <c r="AK2008" s="2">
        <f t="shared" si="239"/>
        <v>26</v>
      </c>
      <c r="AL2008" s="5">
        <f t="shared" si="236"/>
        <v>0.13</v>
      </c>
    </row>
    <row r="2009" spans="1:38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1304</v>
      </c>
      <c r="R2009" s="2" t="s">
        <v>1305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1"/>
        <v>1</v>
      </c>
      <c r="AF2009" s="2">
        <f t="shared" si="237"/>
        <v>0</v>
      </c>
      <c r="AJ2009" s="2">
        <f t="shared" si="238"/>
        <v>0</v>
      </c>
      <c r="AK2009" s="2">
        <f t="shared" si="239"/>
        <v>13.28</v>
      </c>
      <c r="AL2009" s="5">
        <f t="shared" si="236"/>
        <v>1</v>
      </c>
    </row>
    <row r="2010" spans="1:38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1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7"/>
        <v>0</v>
      </c>
      <c r="AJ2010" s="2">
        <f t="shared" si="238"/>
        <v>0</v>
      </c>
      <c r="AK2010" s="2">
        <f t="shared" si="239"/>
        <v>120.4966</v>
      </c>
      <c r="AL2010" s="5">
        <f t="shared" si="236"/>
        <v>0.25874296757569254</v>
      </c>
    </row>
    <row r="2011" spans="1:38" x14ac:dyDescent="0.2">
      <c r="A2011" s="2">
        <v>2025</v>
      </c>
      <c r="B2011" s="2">
        <v>10</v>
      </c>
      <c r="D2011" s="2" t="s">
        <v>1963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1"/>
        <v>0.46612272727272724</v>
      </c>
      <c r="Z2011" s="2" t="s">
        <v>3237</v>
      </c>
      <c r="AA2011" s="2" t="s">
        <v>76</v>
      </c>
      <c r="AB2011" s="2" t="s">
        <v>77</v>
      </c>
      <c r="AC2011" s="2" t="s">
        <v>78</v>
      </c>
      <c r="AF2011" s="2">
        <f t="shared" si="237"/>
        <v>0</v>
      </c>
      <c r="AG2011" s="2">
        <v>117.453</v>
      </c>
      <c r="AH2011" s="2">
        <v>220</v>
      </c>
      <c r="AJ2011" s="2">
        <f t="shared" si="238"/>
        <v>0</v>
      </c>
      <c r="AK2011" s="2">
        <f t="shared" si="239"/>
        <v>102.547</v>
      </c>
      <c r="AL2011" s="5">
        <f t="shared" si="236"/>
        <v>0.46612272727272724</v>
      </c>
    </row>
    <row r="2012" spans="1:38" x14ac:dyDescent="0.2">
      <c r="A2012" s="2">
        <v>2025</v>
      </c>
      <c r="B2012" s="2">
        <v>10</v>
      </c>
      <c r="D2012" s="2" t="s">
        <v>1963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1"/>
        <v>0</v>
      </c>
      <c r="Z2012" s="2" t="s">
        <v>3237</v>
      </c>
      <c r="AA2012" s="2" t="s">
        <v>97</v>
      </c>
      <c r="AB2012" s="2" t="s">
        <v>77</v>
      </c>
      <c r="AC2012" s="2" t="s">
        <v>94</v>
      </c>
      <c r="AF2012" s="2">
        <f t="shared" si="237"/>
        <v>0</v>
      </c>
      <c r="AJ2012" s="2">
        <f t="shared" si="238"/>
        <v>0</v>
      </c>
      <c r="AK2012" s="2">
        <f t="shared" si="239"/>
        <v>0</v>
      </c>
      <c r="AL2012" s="5">
        <f t="shared" si="236"/>
        <v>0</v>
      </c>
    </row>
    <row r="2013" spans="1:38" x14ac:dyDescent="0.2">
      <c r="A2013" s="2">
        <v>2025</v>
      </c>
      <c r="B2013" s="2">
        <v>10</v>
      </c>
      <c r="D2013" s="2" t="s">
        <v>1303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1"/>
        <v>1</v>
      </c>
      <c r="AF2013" s="2">
        <f t="shared" si="237"/>
        <v>0</v>
      </c>
      <c r="AJ2013" s="2">
        <f t="shared" si="238"/>
        <v>0</v>
      </c>
      <c r="AK2013" s="2">
        <f t="shared" si="239"/>
        <v>76.67</v>
      </c>
      <c r="AL2013" s="5">
        <f t="shared" si="236"/>
        <v>1</v>
      </c>
    </row>
    <row r="2014" spans="1:38" x14ac:dyDescent="0.2">
      <c r="A2014" s="2">
        <v>2025</v>
      </c>
      <c r="B2014" s="2">
        <v>10</v>
      </c>
      <c r="D2014" s="2" t="s">
        <v>1122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1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7"/>
        <v>0</v>
      </c>
      <c r="AJ2014" s="2">
        <f t="shared" si="238"/>
        <v>0</v>
      </c>
      <c r="AK2014" s="2">
        <f t="shared" si="239"/>
        <v>505.65999999999997</v>
      </c>
      <c r="AL2014" s="5">
        <f t="shared" si="236"/>
        <v>0.42180513847180512</v>
      </c>
    </row>
    <row r="2015" spans="1:38" x14ac:dyDescent="0.2">
      <c r="A2015" s="2">
        <v>2025</v>
      </c>
      <c r="B2015" s="2">
        <v>10</v>
      </c>
      <c r="D2015" s="2" t="s">
        <v>1122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7"/>
        <v>0</v>
      </c>
      <c r="AJ2015" s="2">
        <f t="shared" si="238"/>
        <v>0</v>
      </c>
      <c r="AK2015" s="2">
        <f t="shared" si="239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1122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1"/>
        <v>0.5</v>
      </c>
      <c r="Z2016" s="2" t="s">
        <v>118</v>
      </c>
      <c r="AA2016" s="2" t="s">
        <v>191</v>
      </c>
      <c r="AF2016" s="2">
        <f t="shared" si="237"/>
        <v>0</v>
      </c>
      <c r="AJ2016" s="2">
        <f t="shared" si="238"/>
        <v>0</v>
      </c>
      <c r="AK2016" s="2">
        <f t="shared" si="239"/>
        <v>25</v>
      </c>
      <c r="AL2016" s="5">
        <f t="shared" si="236"/>
        <v>0.5</v>
      </c>
    </row>
    <row r="2017" spans="1:38" x14ac:dyDescent="0.2">
      <c r="A2017" s="2">
        <v>2025</v>
      </c>
      <c r="B2017" s="2">
        <v>10</v>
      </c>
      <c r="D2017" s="2" t="s">
        <v>1964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1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7"/>
        <v>0</v>
      </c>
      <c r="AJ2017" s="2">
        <f t="shared" si="238"/>
        <v>0</v>
      </c>
      <c r="AK2017" s="2">
        <f t="shared" si="239"/>
        <v>354.09659999999997</v>
      </c>
      <c r="AL2017" s="5">
        <f t="shared" si="236"/>
        <v>0.50635864435864431</v>
      </c>
    </row>
    <row r="2018" spans="1:38" x14ac:dyDescent="0.2">
      <c r="A2018" s="2">
        <v>2025</v>
      </c>
      <c r="B2018" s="2">
        <v>10</v>
      </c>
      <c r="D2018" s="2" t="s">
        <v>1964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1"/>
        <v>0.6</v>
      </c>
      <c r="Z2018" s="2" t="s">
        <v>118</v>
      </c>
      <c r="AA2018" s="2" t="s">
        <v>191</v>
      </c>
      <c r="AF2018" s="2">
        <f t="shared" si="237"/>
        <v>0</v>
      </c>
      <c r="AJ2018" s="2">
        <f t="shared" si="238"/>
        <v>0</v>
      </c>
      <c r="AK2018" s="2">
        <f t="shared" si="239"/>
        <v>96.6</v>
      </c>
      <c r="AL2018" s="5">
        <f t="shared" si="236"/>
        <v>0.6</v>
      </c>
    </row>
    <row r="2019" spans="1:38" x14ac:dyDescent="0.2">
      <c r="A2019" s="2">
        <v>2025</v>
      </c>
      <c r="B2019" s="2">
        <v>10</v>
      </c>
      <c r="D2019" s="2" t="s">
        <v>1964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1"/>
        <v>0.5</v>
      </c>
      <c r="Z2019" s="2" t="s">
        <v>118</v>
      </c>
      <c r="AA2019" s="2" t="s">
        <v>191</v>
      </c>
      <c r="AF2019" s="2">
        <f t="shared" si="237"/>
        <v>0</v>
      </c>
      <c r="AJ2019" s="2">
        <f t="shared" si="238"/>
        <v>0</v>
      </c>
      <c r="AK2019" s="2">
        <f t="shared" si="239"/>
        <v>18.75</v>
      </c>
      <c r="AL2019" s="5">
        <f t="shared" si="236"/>
        <v>0.5</v>
      </c>
    </row>
    <row r="2020" spans="1:38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1965</v>
      </c>
      <c r="P2020" s="2" t="s">
        <v>115</v>
      </c>
      <c r="Q2020" s="2" t="s">
        <v>1387</v>
      </c>
      <c r="R2020" s="2" t="s">
        <v>1388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1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7"/>
        <v>0</v>
      </c>
      <c r="AJ2020" s="2">
        <f t="shared" si="238"/>
        <v>0</v>
      </c>
      <c r="AK2020" s="2">
        <f t="shared" si="239"/>
        <v>130.63999999999999</v>
      </c>
      <c r="AL2020" s="5">
        <f t="shared" si="236"/>
        <v>1</v>
      </c>
    </row>
    <row r="2021" spans="1:38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1"/>
        <v>1</v>
      </c>
      <c r="AF2021" s="2">
        <f t="shared" si="237"/>
        <v>0</v>
      </c>
      <c r="AJ2021" s="2">
        <f t="shared" si="238"/>
        <v>0</v>
      </c>
      <c r="AK2021" s="2">
        <f t="shared" si="239"/>
        <v>62.6</v>
      </c>
      <c r="AL2021" s="5">
        <f t="shared" si="236"/>
        <v>1</v>
      </c>
    </row>
    <row r="2022" spans="1:38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1"/>
        <v>0.24285714285714294</v>
      </c>
      <c r="Z2022" s="2" t="s">
        <v>3237</v>
      </c>
      <c r="AA2022" s="2" t="s">
        <v>46</v>
      </c>
      <c r="AB2022" s="2" t="s">
        <v>57</v>
      </c>
      <c r="AC2022" s="2" t="s">
        <v>58</v>
      </c>
      <c r="AF2022" s="2">
        <f t="shared" si="237"/>
        <v>0</v>
      </c>
      <c r="AG2022" s="2">
        <v>10.6</v>
      </c>
      <c r="AH2022" s="2">
        <v>18</v>
      </c>
      <c r="AJ2022" s="2">
        <f t="shared" si="238"/>
        <v>0</v>
      </c>
      <c r="AK2022" s="2">
        <f t="shared" si="239"/>
        <v>40.800000000000011</v>
      </c>
      <c r="AL2022" s="5">
        <f t="shared" si="236"/>
        <v>0.24285714285714294</v>
      </c>
    </row>
    <row r="2023" spans="1:38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1"/>
        <v>0.36923076923076914</v>
      </c>
      <c r="Z2023" s="2" t="s">
        <v>3237</v>
      </c>
      <c r="AA2023" s="2" t="s">
        <v>46</v>
      </c>
      <c r="AB2023" s="2" t="s">
        <v>61</v>
      </c>
      <c r="AC2023" s="2" t="s">
        <v>58</v>
      </c>
      <c r="AF2023" s="2">
        <f t="shared" si="237"/>
        <v>0</v>
      </c>
      <c r="AG2023" s="2">
        <v>8.1999999999999993</v>
      </c>
      <c r="AH2023" s="2">
        <v>13</v>
      </c>
      <c r="AJ2023" s="2">
        <f t="shared" si="238"/>
        <v>0</v>
      </c>
      <c r="AK2023" s="2">
        <f t="shared" si="239"/>
        <v>4.7999999999999989</v>
      </c>
      <c r="AL2023" s="5">
        <f t="shared" si="236"/>
        <v>0.36923076923076914</v>
      </c>
    </row>
    <row r="2024" spans="1:38" x14ac:dyDescent="0.2">
      <c r="A2024" s="2">
        <v>2025</v>
      </c>
      <c r="B2024" s="2">
        <v>10</v>
      </c>
      <c r="D2024" s="2" t="s">
        <v>1966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1967</v>
      </c>
      <c r="J2024" s="2" t="s">
        <v>1968</v>
      </c>
      <c r="L2024" s="2" t="s">
        <v>294</v>
      </c>
      <c r="M2024" s="2" t="s">
        <v>40</v>
      </c>
      <c r="O2024" s="2" t="s">
        <v>1969</v>
      </c>
      <c r="P2024" s="2" t="s">
        <v>115</v>
      </c>
      <c r="Q2024" s="2" t="s">
        <v>1970</v>
      </c>
      <c r="R2024" s="2" t="s">
        <v>1971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1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7"/>
        <v>0</v>
      </c>
      <c r="AG2024" s="2">
        <f>318.86+13.52</f>
        <v>332.38</v>
      </c>
      <c r="AJ2024" s="2">
        <f t="shared" si="238"/>
        <v>0</v>
      </c>
      <c r="AK2024" s="2">
        <f t="shared" si="239"/>
        <v>335.13</v>
      </c>
      <c r="AL2024" s="5">
        <f t="shared" si="236"/>
        <v>0.50205989423379427</v>
      </c>
    </row>
    <row r="2025" spans="1:38" x14ac:dyDescent="0.2">
      <c r="A2025" s="2">
        <v>2025</v>
      </c>
      <c r="B2025" s="2">
        <v>10</v>
      </c>
      <c r="D2025" s="2" t="s">
        <v>1966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1967</v>
      </c>
      <c r="J2025" s="2" t="s">
        <v>1968</v>
      </c>
      <c r="L2025" s="2" t="s">
        <v>294</v>
      </c>
      <c r="M2025" s="2" t="s">
        <v>40</v>
      </c>
      <c r="P2025" s="2" t="s">
        <v>115</v>
      </c>
      <c r="Q2025" s="2" t="s">
        <v>1972</v>
      </c>
      <c r="R2025" s="2" t="s">
        <v>1973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1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7"/>
        <v>0</v>
      </c>
      <c r="AG2025" s="2">
        <f>182.2+7.72</f>
        <v>189.92</v>
      </c>
      <c r="AJ2025" s="2">
        <f t="shared" si="238"/>
        <v>0</v>
      </c>
      <c r="AK2025" s="2">
        <f t="shared" si="239"/>
        <v>192.70000000000002</v>
      </c>
      <c r="AL2025" s="5">
        <f t="shared" si="236"/>
        <v>0.50363284721133239</v>
      </c>
    </row>
    <row r="2026" spans="1:38" x14ac:dyDescent="0.2">
      <c r="A2026" s="2">
        <v>2025</v>
      </c>
      <c r="B2026" s="2">
        <v>10</v>
      </c>
      <c r="D2026" s="2" t="s">
        <v>1966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1967</v>
      </c>
      <c r="J2026" s="2" t="s">
        <v>1968</v>
      </c>
      <c r="L2026" s="2" t="s">
        <v>294</v>
      </c>
      <c r="M2026" s="2" t="s">
        <v>40</v>
      </c>
      <c r="P2026" s="2" t="s">
        <v>115</v>
      </c>
      <c r="Q2026" s="2" t="s">
        <v>1974</v>
      </c>
      <c r="R2026" s="2" t="s">
        <v>1975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1"/>
        <v>1</v>
      </c>
      <c r="AF2026" s="2">
        <f t="shared" si="237"/>
        <v>0</v>
      </c>
      <c r="AJ2026" s="2">
        <f t="shared" si="238"/>
        <v>0</v>
      </c>
      <c r="AK2026" s="2">
        <f t="shared" si="239"/>
        <v>190</v>
      </c>
      <c r="AL2026" s="5">
        <f t="shared" si="236"/>
        <v>1</v>
      </c>
    </row>
    <row r="2027" spans="1:38" x14ac:dyDescent="0.2">
      <c r="A2027" s="2">
        <v>2025</v>
      </c>
      <c r="B2027" s="2">
        <v>10</v>
      </c>
      <c r="D2027" s="2" t="s">
        <v>1976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1"/>
        <v>0.46612272727272724</v>
      </c>
      <c r="Z2027" s="2" t="s">
        <v>3237</v>
      </c>
      <c r="AA2027" s="2" t="s">
        <v>76</v>
      </c>
      <c r="AB2027" s="2" t="s">
        <v>77</v>
      </c>
      <c r="AC2027" s="2" t="s">
        <v>78</v>
      </c>
      <c r="AF2027" s="2">
        <f t="shared" si="237"/>
        <v>0</v>
      </c>
      <c r="AG2027" s="2">
        <v>117.453</v>
      </c>
      <c r="AH2027" s="2">
        <v>220</v>
      </c>
      <c r="AJ2027" s="2">
        <f t="shared" si="238"/>
        <v>0</v>
      </c>
      <c r="AK2027" s="2">
        <f t="shared" si="239"/>
        <v>102.547</v>
      </c>
      <c r="AL2027" s="5">
        <f t="shared" si="236"/>
        <v>0.46612272727272724</v>
      </c>
    </row>
    <row r="2028" spans="1:38" x14ac:dyDescent="0.2">
      <c r="A2028" s="2">
        <v>2025</v>
      </c>
      <c r="B2028" s="2">
        <v>10</v>
      </c>
      <c r="D2028" s="2" t="s">
        <v>1976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1"/>
        <v>0</v>
      </c>
      <c r="Z2028" s="2" t="s">
        <v>3237</v>
      </c>
      <c r="AA2028" s="2" t="s">
        <v>97</v>
      </c>
      <c r="AB2028" s="2" t="s">
        <v>77</v>
      </c>
      <c r="AC2028" s="2" t="s">
        <v>94</v>
      </c>
      <c r="AF2028" s="2">
        <f t="shared" si="237"/>
        <v>0</v>
      </c>
      <c r="AJ2028" s="2">
        <f t="shared" si="238"/>
        <v>0</v>
      </c>
      <c r="AK2028" s="2">
        <f t="shared" si="239"/>
        <v>0</v>
      </c>
      <c r="AL2028" s="5">
        <f t="shared" si="236"/>
        <v>0</v>
      </c>
    </row>
    <row r="2029" spans="1:38" x14ac:dyDescent="0.2">
      <c r="A2029" s="2">
        <v>2025</v>
      </c>
      <c r="B2029" s="2">
        <v>10</v>
      </c>
      <c r="D2029" s="2" t="s">
        <v>924</v>
      </c>
      <c r="P2029" s="2" t="s">
        <v>3241</v>
      </c>
      <c r="Q2029" s="2" t="s">
        <v>1794</v>
      </c>
      <c r="R2029" s="2" t="s">
        <v>1795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1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3241</v>
      </c>
      <c r="AF2029" s="2">
        <f t="shared" si="237"/>
        <v>0</v>
      </c>
      <c r="AJ2029" s="2">
        <f t="shared" si="238"/>
        <v>0</v>
      </c>
      <c r="AK2029" s="2">
        <f t="shared" si="239"/>
        <v>748.04</v>
      </c>
      <c r="AL2029" s="5">
        <f t="shared" si="236"/>
        <v>0.41907002801120447</v>
      </c>
    </row>
    <row r="2030" spans="1:38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1312</v>
      </c>
      <c r="R2030" s="2" t="s">
        <v>1313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1"/>
        <v>#DIV/0!</v>
      </c>
      <c r="Z2030" s="2" t="s">
        <v>118</v>
      </c>
      <c r="AA2030" s="2" t="s">
        <v>1314</v>
      </c>
      <c r="AF2030" s="2">
        <f t="shared" si="237"/>
        <v>0</v>
      </c>
      <c r="AJ2030" s="2">
        <f t="shared" si="238"/>
        <v>0</v>
      </c>
      <c r="AK2030" s="2">
        <f t="shared" si="239"/>
        <v>0</v>
      </c>
      <c r="AL2030" s="5" t="e">
        <f t="shared" si="236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1440</v>
      </c>
      <c r="R2031" s="2" t="s">
        <v>1441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1"/>
        <v>0.20015576323987541</v>
      </c>
      <c r="Z2031" s="2" t="s">
        <v>3237</v>
      </c>
      <c r="AA2031" s="2" t="s">
        <v>72</v>
      </c>
      <c r="AB2031" s="2" t="s">
        <v>120</v>
      </c>
      <c r="AC2031" s="2" t="s">
        <v>120</v>
      </c>
      <c r="AF2031" s="2">
        <f t="shared" si="237"/>
        <v>0</v>
      </c>
      <c r="AJ2031" s="2">
        <f t="shared" si="238"/>
        <v>0</v>
      </c>
      <c r="AK2031" s="2">
        <f t="shared" si="239"/>
        <v>1.2850000000000001</v>
      </c>
      <c r="AL2031" s="5">
        <f t="shared" si="236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1"/>
        <v>0.13000000000000006</v>
      </c>
      <c r="Z2032" s="2" t="s">
        <v>3237</v>
      </c>
      <c r="AA2032" s="2" t="s">
        <v>46</v>
      </c>
      <c r="AB2032" s="2" t="s">
        <v>61</v>
      </c>
      <c r="AC2032" s="2" t="s">
        <v>3343</v>
      </c>
      <c r="AF2032" s="2">
        <f t="shared" si="237"/>
        <v>0</v>
      </c>
      <c r="AJ2032" s="2">
        <f t="shared" si="238"/>
        <v>0</v>
      </c>
      <c r="AK2032" s="2">
        <f t="shared" si="239"/>
        <v>5.2000000000000028</v>
      </c>
      <c r="AL2032" s="5">
        <f t="shared" si="236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1"/>
        <v>0.29333333333333333</v>
      </c>
      <c r="Z2033" s="2" t="s">
        <v>3237</v>
      </c>
      <c r="AA2033" s="2" t="s">
        <v>46</v>
      </c>
      <c r="AB2033" s="2" t="s">
        <v>57</v>
      </c>
      <c r="AC2033" s="2" t="s">
        <v>58</v>
      </c>
      <c r="AF2033" s="2">
        <f t="shared" si="237"/>
        <v>0</v>
      </c>
      <c r="AG2033" s="2">
        <v>10.6</v>
      </c>
      <c r="AH2033" s="2">
        <v>18</v>
      </c>
      <c r="AJ2033" s="2">
        <f t="shared" si="238"/>
        <v>0</v>
      </c>
      <c r="AK2033" s="2">
        <f t="shared" si="239"/>
        <v>8.8000000000000007</v>
      </c>
      <c r="AL2033" s="5">
        <f t="shared" si="236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1"/>
        <v>0.21904761904761902</v>
      </c>
      <c r="Z2034" s="2" t="s">
        <v>3237</v>
      </c>
      <c r="AA2034" s="2" t="s">
        <v>46</v>
      </c>
      <c r="AB2034" s="2" t="s">
        <v>61</v>
      </c>
      <c r="AC2034" s="2" t="s">
        <v>58</v>
      </c>
      <c r="AF2034" s="2">
        <f t="shared" si="237"/>
        <v>0</v>
      </c>
      <c r="AG2034" s="2">
        <v>8.1999999999999993</v>
      </c>
      <c r="AH2034" s="2">
        <v>13</v>
      </c>
      <c r="AJ2034" s="2">
        <f t="shared" si="238"/>
        <v>0</v>
      </c>
      <c r="AK2034" s="2">
        <f t="shared" si="239"/>
        <v>25.299999999999997</v>
      </c>
      <c r="AL2034" s="5">
        <f t="shared" si="236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1"/>
        <v>0.63360000000000005</v>
      </c>
      <c r="Z2035" s="2" t="s">
        <v>3237</v>
      </c>
      <c r="AA2035" s="2" t="s">
        <v>46</v>
      </c>
      <c r="AB2035" s="2" t="s">
        <v>61</v>
      </c>
      <c r="AC2035" s="2" t="s">
        <v>58</v>
      </c>
      <c r="AF2035" s="2">
        <f t="shared" si="237"/>
        <v>0</v>
      </c>
      <c r="AG2035" s="2">
        <v>1.8320000000000001</v>
      </c>
      <c r="AH2035" s="2">
        <v>2.4</v>
      </c>
      <c r="AJ2035" s="2">
        <f t="shared" si="238"/>
        <v>0</v>
      </c>
      <c r="AK2035" s="2">
        <f t="shared" si="239"/>
        <v>3.1680000000000001</v>
      </c>
      <c r="AL2035" s="5">
        <f t="shared" ref="AL2035:AL2098" si="242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974</v>
      </c>
      <c r="R2036" s="2" t="s">
        <v>975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1"/>
        <v>1</v>
      </c>
      <c r="Z2036" s="2" t="s">
        <v>3237</v>
      </c>
      <c r="AA2036" s="2" t="s">
        <v>46</v>
      </c>
      <c r="AB2036" s="2" t="s">
        <v>61</v>
      </c>
      <c r="AC2036" s="2" t="s">
        <v>58</v>
      </c>
      <c r="AF2036" s="2">
        <f t="shared" si="237"/>
        <v>0</v>
      </c>
      <c r="AJ2036" s="2">
        <f t="shared" si="238"/>
        <v>0</v>
      </c>
      <c r="AK2036" s="2">
        <f t="shared" si="239"/>
        <v>29</v>
      </c>
      <c r="AL2036" s="5">
        <f t="shared" si="242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1"/>
        <v>0.43771043771043766</v>
      </c>
      <c r="Z2037" s="2" t="s">
        <v>3237</v>
      </c>
      <c r="AA2037" s="2" t="s">
        <v>76</v>
      </c>
      <c r="AB2037" s="2" t="s">
        <v>77</v>
      </c>
      <c r="AC2037" s="2" t="s">
        <v>78</v>
      </c>
      <c r="AF2037" s="2">
        <f t="shared" si="237"/>
        <v>0</v>
      </c>
      <c r="AG2037" s="2">
        <v>131.93</v>
      </c>
      <c r="AH2037" s="2">
        <v>220</v>
      </c>
      <c r="AJ2037" s="2">
        <f t="shared" si="238"/>
        <v>0</v>
      </c>
      <c r="AK2037" s="2">
        <f t="shared" si="239"/>
        <v>102.69999999999999</v>
      </c>
      <c r="AL2037" s="5">
        <f t="shared" si="242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3214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1"/>
        <v>0.32775026264445439</v>
      </c>
      <c r="Z2038" s="2" t="s">
        <v>3237</v>
      </c>
      <c r="AA2038" s="2" t="s">
        <v>76</v>
      </c>
      <c r="AB2038" s="2" t="s">
        <v>77</v>
      </c>
      <c r="AC2038" s="2" t="s">
        <v>78</v>
      </c>
      <c r="AF2038" s="2">
        <f t="shared" si="237"/>
        <v>0</v>
      </c>
      <c r="AG2038" s="2">
        <v>111.98</v>
      </c>
      <c r="AH2038" s="2">
        <v>210</v>
      </c>
      <c r="AJ2038" s="2">
        <f t="shared" si="238"/>
        <v>0</v>
      </c>
      <c r="AK2038" s="2">
        <f t="shared" si="239"/>
        <v>109.18999999999997</v>
      </c>
      <c r="AL2038" s="5">
        <f t="shared" si="242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1041</v>
      </c>
      <c r="Q2039" s="2" t="s">
        <v>1977</v>
      </c>
      <c r="R2039" s="2" t="s">
        <v>1978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1"/>
        <v>0.45881818181818179</v>
      </c>
      <c r="Z2039" s="2" t="s">
        <v>3237</v>
      </c>
      <c r="AA2039" s="2" t="s">
        <v>76</v>
      </c>
      <c r="AB2039" s="2" t="s">
        <v>77</v>
      </c>
      <c r="AC2039" s="2" t="s">
        <v>1041</v>
      </c>
      <c r="AF2039" s="2">
        <f t="shared" si="237"/>
        <v>0</v>
      </c>
      <c r="AJ2039" s="2">
        <f t="shared" si="238"/>
        <v>0</v>
      </c>
      <c r="AK2039" s="2">
        <f t="shared" si="239"/>
        <v>100.94</v>
      </c>
      <c r="AL2039" s="5">
        <f t="shared" si="242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1979</v>
      </c>
      <c r="R2040" s="2" t="s">
        <v>1980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1"/>
        <v>1</v>
      </c>
      <c r="Z2040" s="2" t="s">
        <v>3237</v>
      </c>
      <c r="AA2040" s="2" t="s">
        <v>88</v>
      </c>
      <c r="AB2040" s="2" t="s">
        <v>91</v>
      </c>
      <c r="AC2040" s="2" t="s">
        <v>85</v>
      </c>
      <c r="AF2040" s="2">
        <f t="shared" si="237"/>
        <v>0</v>
      </c>
      <c r="AJ2040" s="2">
        <f t="shared" si="238"/>
        <v>0</v>
      </c>
      <c r="AK2040" s="2">
        <f t="shared" si="239"/>
        <v>15</v>
      </c>
      <c r="AL2040" s="5">
        <f t="shared" si="242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1312</v>
      </c>
      <c r="R2041" s="2" t="s">
        <v>1313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1"/>
        <v>1</v>
      </c>
      <c r="Z2041" s="2" t="s">
        <v>118</v>
      </c>
      <c r="AA2041" s="2" t="s">
        <v>1314</v>
      </c>
      <c r="AF2041" s="2">
        <f t="shared" si="237"/>
        <v>0</v>
      </c>
      <c r="AJ2041" s="2">
        <f t="shared" si="238"/>
        <v>0</v>
      </c>
      <c r="AK2041" s="2">
        <f t="shared" si="239"/>
        <v>10.5</v>
      </c>
      <c r="AL2041" s="5">
        <f t="shared" si="242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1"/>
        <v>0</v>
      </c>
      <c r="Z2042" s="2" t="s">
        <v>3237</v>
      </c>
      <c r="AA2042" s="2" t="s">
        <v>97</v>
      </c>
      <c r="AB2042" s="2" t="s">
        <v>77</v>
      </c>
      <c r="AC2042" s="2" t="s">
        <v>94</v>
      </c>
      <c r="AF2042" s="2">
        <f t="shared" si="237"/>
        <v>0</v>
      </c>
      <c r="AJ2042" s="2">
        <f t="shared" si="238"/>
        <v>0</v>
      </c>
      <c r="AK2042" s="2">
        <f t="shared" si="239"/>
        <v>0</v>
      </c>
      <c r="AL2042" s="5">
        <f t="shared" si="242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1"/>
        <v>1</v>
      </c>
      <c r="Z2043" s="2" t="s">
        <v>120</v>
      </c>
      <c r="AA2043" s="2" t="s">
        <v>3392</v>
      </c>
      <c r="AF2043" s="2">
        <f t="shared" si="237"/>
        <v>0</v>
      </c>
      <c r="AJ2043" s="2">
        <f t="shared" si="238"/>
        <v>0</v>
      </c>
      <c r="AK2043" s="2">
        <f t="shared" si="239"/>
        <v>939.5</v>
      </c>
      <c r="AL2043" s="5">
        <f t="shared" si="242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1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7"/>
        <v>0</v>
      </c>
      <c r="AJ2044" s="2">
        <f t="shared" si="238"/>
        <v>0</v>
      </c>
      <c r="AK2044" s="2">
        <f t="shared" si="239"/>
        <v>254.19659999999999</v>
      </c>
      <c r="AL2044" s="5">
        <f t="shared" si="242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1"/>
        <v>0.59999999999999987</v>
      </c>
      <c r="Z2045" s="2" t="s">
        <v>118</v>
      </c>
      <c r="AA2045" s="2" t="s">
        <v>191</v>
      </c>
      <c r="AF2045" s="2">
        <f t="shared" si="237"/>
        <v>0</v>
      </c>
      <c r="AJ2045" s="2">
        <f t="shared" si="238"/>
        <v>0</v>
      </c>
      <c r="AK2045" s="2">
        <f t="shared" si="239"/>
        <v>36.599999999999994</v>
      </c>
      <c r="AL2045" s="5">
        <f t="shared" si="242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1"/>
        <v>0.5</v>
      </c>
      <c r="Z2046" s="2" t="s">
        <v>118</v>
      </c>
      <c r="AA2046" s="2" t="s">
        <v>191</v>
      </c>
      <c r="AF2046" s="2">
        <f t="shared" si="237"/>
        <v>0</v>
      </c>
      <c r="AJ2046" s="2">
        <f t="shared" si="238"/>
        <v>0</v>
      </c>
      <c r="AK2046" s="2">
        <f t="shared" si="239"/>
        <v>25</v>
      </c>
      <c r="AL2046" s="5">
        <f t="shared" si="242"/>
        <v>0.5</v>
      </c>
    </row>
    <row r="2047" spans="1:38" x14ac:dyDescent="0.2">
      <c r="A2047" s="2">
        <v>2025</v>
      </c>
      <c r="B2047" s="2">
        <v>11</v>
      </c>
      <c r="D2047" s="2" t="s">
        <v>1680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1"/>
        <v>0.44777500000000003</v>
      </c>
      <c r="Z2047" s="2" t="s">
        <v>3237</v>
      </c>
      <c r="AA2047" s="2" t="s">
        <v>46</v>
      </c>
      <c r="AB2047" s="2" t="s">
        <v>47</v>
      </c>
      <c r="AC2047" s="2" t="s">
        <v>48</v>
      </c>
      <c r="AF2047" s="2">
        <f t="shared" si="237"/>
        <v>0</v>
      </c>
      <c r="AG2047" s="2">
        <v>6.6266999999999996</v>
      </c>
      <c r="AH2047" s="2">
        <v>12</v>
      </c>
      <c r="AJ2047" s="2">
        <f t="shared" si="238"/>
        <v>0</v>
      </c>
      <c r="AK2047" s="2">
        <f t="shared" si="239"/>
        <v>10.746600000000001</v>
      </c>
      <c r="AL2047" s="5">
        <f t="shared" si="242"/>
        <v>0.44777500000000003</v>
      </c>
    </row>
    <row r="2048" spans="1:38" x14ac:dyDescent="0.2">
      <c r="A2048" s="2">
        <v>2025</v>
      </c>
      <c r="B2048" s="2">
        <v>11</v>
      </c>
      <c r="D2048" s="2" t="s">
        <v>1680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1"/>
        <v>0.34399999999999997</v>
      </c>
      <c r="Z2048" s="2" t="s">
        <v>3237</v>
      </c>
      <c r="AA2048" s="2" t="s">
        <v>46</v>
      </c>
      <c r="AB2048" s="2" t="s">
        <v>61</v>
      </c>
      <c r="AC2048" s="2" t="s">
        <v>58</v>
      </c>
      <c r="AF2048" s="2">
        <f t="shared" si="237"/>
        <v>0</v>
      </c>
      <c r="AG2048" s="2">
        <v>8.1999999999999993</v>
      </c>
      <c r="AH2048" s="2">
        <v>13</v>
      </c>
      <c r="AJ2048" s="2">
        <f t="shared" si="238"/>
        <v>0</v>
      </c>
      <c r="AK2048" s="2">
        <f t="shared" si="239"/>
        <v>12.899999999999999</v>
      </c>
      <c r="AL2048" s="5">
        <f t="shared" si="242"/>
        <v>0.34399999999999997</v>
      </c>
    </row>
    <row r="2049" spans="1:38" x14ac:dyDescent="0.2">
      <c r="A2049" s="2">
        <v>2025</v>
      </c>
      <c r="B2049" s="2">
        <v>11</v>
      </c>
      <c r="D2049" s="2" t="s">
        <v>1680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1"/>
        <v>0.39066666666666677</v>
      </c>
      <c r="Z2049" s="2" t="s">
        <v>3237</v>
      </c>
      <c r="AA2049" s="2" t="s">
        <v>46</v>
      </c>
      <c r="AB2049" s="2" t="s">
        <v>61</v>
      </c>
      <c r="AC2049" s="2" t="s">
        <v>58</v>
      </c>
      <c r="AF2049" s="2">
        <f t="shared" si="237"/>
        <v>0</v>
      </c>
      <c r="AJ2049" s="2">
        <f t="shared" si="238"/>
        <v>0</v>
      </c>
      <c r="AK2049" s="2">
        <f t="shared" si="239"/>
        <v>5.8600000000000012</v>
      </c>
      <c r="AL2049" s="5">
        <f t="shared" si="242"/>
        <v>0.39066666666666677</v>
      </c>
    </row>
    <row r="2050" spans="1:38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1"/>
        <v>1</v>
      </c>
      <c r="Z2050" s="2" t="s">
        <v>118</v>
      </c>
      <c r="AF2050" s="2">
        <f t="shared" si="237"/>
        <v>0</v>
      </c>
      <c r="AJ2050" s="2">
        <f t="shared" si="238"/>
        <v>0</v>
      </c>
      <c r="AK2050" s="2">
        <f t="shared" si="239"/>
        <v>153.34</v>
      </c>
      <c r="AL2050" s="5">
        <f t="shared" si="242"/>
        <v>1</v>
      </c>
    </row>
    <row r="2051" spans="1:38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1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3">AJ2051</f>
        <v>0</v>
      </c>
      <c r="AJ2051" s="2">
        <f t="shared" ref="AJ2051:AJ2114" si="244">AI2051*T2051</f>
        <v>0</v>
      </c>
      <c r="AK2051" s="2">
        <f t="shared" ref="AK2051:AK2114" si="245">T2051-W2051</f>
        <v>352.72999999999996</v>
      </c>
      <c r="AL2051" s="5">
        <f t="shared" si="242"/>
        <v>0.50440440440440437</v>
      </c>
    </row>
    <row r="2052" spans="1:38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1"/>
        <v>0.60000000000000009</v>
      </c>
      <c r="Z2052" s="2" t="s">
        <v>118</v>
      </c>
      <c r="AA2052" s="2" t="s">
        <v>191</v>
      </c>
      <c r="AF2052" s="2">
        <f t="shared" si="243"/>
        <v>0</v>
      </c>
      <c r="AJ2052" s="2">
        <f t="shared" si="244"/>
        <v>0</v>
      </c>
      <c r="AK2052" s="2">
        <f t="shared" si="245"/>
        <v>86.4</v>
      </c>
      <c r="AL2052" s="5">
        <f t="shared" si="242"/>
        <v>0.60000000000000009</v>
      </c>
    </row>
    <row r="2053" spans="1:38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3"/>
        <v>0</v>
      </c>
      <c r="AJ2053" s="2">
        <f t="shared" si="244"/>
        <v>0</v>
      </c>
      <c r="AK2053" s="2">
        <f t="shared" si="245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1"/>
        <v>1</v>
      </c>
      <c r="Z2054" s="2" t="s">
        <v>118</v>
      </c>
      <c r="AF2054" s="2">
        <f t="shared" si="243"/>
        <v>0</v>
      </c>
      <c r="AJ2054" s="2">
        <f t="shared" si="244"/>
        <v>0</v>
      </c>
      <c r="AK2054" s="2">
        <f t="shared" si="245"/>
        <v>153.34</v>
      </c>
      <c r="AL2054" s="5">
        <f t="shared" si="242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1981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1"/>
        <v>0.44852380952380949</v>
      </c>
      <c r="Z2055" s="2" t="s">
        <v>3237</v>
      </c>
      <c r="AA2055" s="2" t="s">
        <v>76</v>
      </c>
      <c r="AB2055" s="2" t="s">
        <v>77</v>
      </c>
      <c r="AC2055" s="2" t="s">
        <v>78</v>
      </c>
      <c r="AF2055" s="2">
        <f t="shared" si="243"/>
        <v>0</v>
      </c>
      <c r="AJ2055" s="2">
        <f t="shared" si="244"/>
        <v>0</v>
      </c>
      <c r="AK2055" s="2">
        <f t="shared" si="245"/>
        <v>94.19</v>
      </c>
      <c r="AL2055" s="5">
        <f t="shared" si="242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1041</v>
      </c>
      <c r="Q2056" s="2" t="s">
        <v>1982</v>
      </c>
      <c r="R2056" s="2" t="s">
        <v>1983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1"/>
        <v>0.26666666666666666</v>
      </c>
      <c r="Z2056" s="2" t="s">
        <v>3237</v>
      </c>
      <c r="AA2056" s="2" t="s">
        <v>76</v>
      </c>
      <c r="AB2056" s="2" t="s">
        <v>77</v>
      </c>
      <c r="AC2056" s="2" t="s">
        <v>1041</v>
      </c>
      <c r="AF2056" s="2">
        <f t="shared" si="243"/>
        <v>0</v>
      </c>
      <c r="AJ2056" s="2">
        <f t="shared" si="244"/>
        <v>0</v>
      </c>
      <c r="AK2056" s="2">
        <f t="shared" si="245"/>
        <v>120</v>
      </c>
      <c r="AL2056" s="5">
        <f t="shared" si="242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1"/>
        <v>0.60000000000000009</v>
      </c>
      <c r="Z2057" s="2" t="s">
        <v>118</v>
      </c>
      <c r="AA2057" s="2" t="s">
        <v>191</v>
      </c>
      <c r="AF2057" s="2">
        <f t="shared" si="243"/>
        <v>0</v>
      </c>
      <c r="AJ2057" s="2">
        <f t="shared" si="244"/>
        <v>0</v>
      </c>
      <c r="AK2057" s="2">
        <f t="shared" si="245"/>
        <v>136.80000000000001</v>
      </c>
      <c r="AL2057" s="5">
        <f t="shared" si="242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1"/>
        <v>0.5</v>
      </c>
      <c r="Z2058" s="2" t="s">
        <v>118</v>
      </c>
      <c r="AA2058" s="2" t="s">
        <v>191</v>
      </c>
      <c r="AF2058" s="2">
        <f t="shared" si="243"/>
        <v>0</v>
      </c>
      <c r="AJ2058" s="2">
        <f t="shared" si="244"/>
        <v>0</v>
      </c>
      <c r="AK2058" s="2">
        <f t="shared" si="245"/>
        <v>125</v>
      </c>
      <c r="AL2058" s="5">
        <f t="shared" si="242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1"/>
        <v>-0.53333333333333333</v>
      </c>
      <c r="Z2059" s="2" t="s">
        <v>170</v>
      </c>
      <c r="AA2059" s="2" t="s">
        <v>170</v>
      </c>
      <c r="AF2059" s="2">
        <f t="shared" si="243"/>
        <v>0</v>
      </c>
      <c r="AJ2059" s="2">
        <f t="shared" si="244"/>
        <v>0</v>
      </c>
      <c r="AK2059" s="2">
        <f t="shared" si="245"/>
        <v>-8</v>
      </c>
      <c r="AL2059" s="5">
        <f t="shared" si="242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1"/>
        <v>0</v>
      </c>
      <c r="Z2060" s="2" t="s">
        <v>3237</v>
      </c>
      <c r="AA2060" s="2" t="s">
        <v>97</v>
      </c>
      <c r="AB2060" s="2" t="s">
        <v>77</v>
      </c>
      <c r="AC2060" s="2" t="s">
        <v>94</v>
      </c>
      <c r="AF2060" s="2">
        <f t="shared" si="243"/>
        <v>0</v>
      </c>
      <c r="AJ2060" s="2">
        <f t="shared" si="244"/>
        <v>0</v>
      </c>
      <c r="AK2060" s="2">
        <f t="shared" si="245"/>
        <v>0</v>
      </c>
      <c r="AL2060" s="5">
        <f t="shared" si="242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1"/>
        <v>1</v>
      </c>
      <c r="Z2061" s="2" t="s">
        <v>120</v>
      </c>
      <c r="AA2061" s="2" t="s">
        <v>3392</v>
      </c>
      <c r="AF2061" s="2">
        <f t="shared" si="243"/>
        <v>0</v>
      </c>
      <c r="AJ2061" s="2">
        <f t="shared" si="244"/>
        <v>0</v>
      </c>
      <c r="AK2061" s="2">
        <f t="shared" si="245"/>
        <v>67.2</v>
      </c>
      <c r="AL2061" s="5">
        <f t="shared" si="242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1"/>
        <v>0.43981481481481483</v>
      </c>
      <c r="Z2062" s="2" t="s">
        <v>3237</v>
      </c>
      <c r="AA2062" s="2" t="s">
        <v>46</v>
      </c>
      <c r="AB2062" s="2" t="s">
        <v>57</v>
      </c>
      <c r="AC2062" s="2" t="s">
        <v>58</v>
      </c>
      <c r="AF2062" s="2">
        <f t="shared" si="243"/>
        <v>0</v>
      </c>
      <c r="AJ2062" s="2">
        <f t="shared" si="244"/>
        <v>0</v>
      </c>
      <c r="AK2062" s="2">
        <f t="shared" si="245"/>
        <v>7.125</v>
      </c>
      <c r="AL2062" s="5">
        <f t="shared" si="242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1"/>
        <v>1</v>
      </c>
      <c r="Z2063" s="2" t="s">
        <v>3237</v>
      </c>
      <c r="AA2063" s="2" t="s">
        <v>46</v>
      </c>
      <c r="AB2063" s="2" t="s">
        <v>57</v>
      </c>
      <c r="AC2063" s="2" t="s">
        <v>58</v>
      </c>
      <c r="AF2063" s="2">
        <f t="shared" si="243"/>
        <v>0</v>
      </c>
      <c r="AJ2063" s="2">
        <f t="shared" si="244"/>
        <v>0</v>
      </c>
      <c r="AK2063" s="2">
        <f t="shared" si="245"/>
        <v>19.2</v>
      </c>
      <c r="AL2063" s="5">
        <f t="shared" si="242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1"/>
        <v>0.41111111111111115</v>
      </c>
      <c r="Z2064" s="2" t="s">
        <v>3237</v>
      </c>
      <c r="AA2064" s="2" t="s">
        <v>46</v>
      </c>
      <c r="AB2064" s="2" t="s">
        <v>57</v>
      </c>
      <c r="AC2064" s="2" t="s">
        <v>58</v>
      </c>
      <c r="AF2064" s="2">
        <f t="shared" si="243"/>
        <v>0</v>
      </c>
      <c r="AG2064" s="2">
        <v>10.6</v>
      </c>
      <c r="AH2064" s="2">
        <v>18</v>
      </c>
      <c r="AJ2064" s="2">
        <f t="shared" si="244"/>
        <v>0</v>
      </c>
      <c r="AK2064" s="2">
        <f t="shared" si="245"/>
        <v>14.8</v>
      </c>
      <c r="AL2064" s="5">
        <f t="shared" si="242"/>
        <v>0.41111111111111115</v>
      </c>
    </row>
    <row r="2065" spans="1:38" x14ac:dyDescent="0.2">
      <c r="A2065" s="2">
        <v>2025</v>
      </c>
      <c r="B2065" s="2">
        <v>11</v>
      </c>
      <c r="D2065" s="2" t="s">
        <v>1156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1"/>
        <v>0.6</v>
      </c>
      <c r="Z2065" s="2" t="s">
        <v>118</v>
      </c>
      <c r="AA2065" s="2" t="s">
        <v>191</v>
      </c>
      <c r="AF2065" s="2">
        <f t="shared" si="243"/>
        <v>0</v>
      </c>
      <c r="AJ2065" s="2">
        <f t="shared" si="244"/>
        <v>0</v>
      </c>
      <c r="AK2065" s="2">
        <f t="shared" si="245"/>
        <v>30</v>
      </c>
      <c r="AL2065" s="5">
        <f t="shared" si="242"/>
        <v>0.6</v>
      </c>
    </row>
    <row r="2066" spans="1:38" x14ac:dyDescent="0.2">
      <c r="A2066" s="2">
        <v>2025</v>
      </c>
      <c r="B2066" s="2">
        <v>11</v>
      </c>
      <c r="D2066" s="2" t="s">
        <v>1156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1"/>
        <v>0.5</v>
      </c>
      <c r="Z2066" s="2" t="s">
        <v>118</v>
      </c>
      <c r="AA2066" s="2" t="s">
        <v>191</v>
      </c>
      <c r="AF2066" s="2">
        <f t="shared" si="243"/>
        <v>0</v>
      </c>
      <c r="AJ2066" s="2">
        <f t="shared" si="244"/>
        <v>0</v>
      </c>
      <c r="AK2066" s="2">
        <f t="shared" si="245"/>
        <v>25</v>
      </c>
      <c r="AL2066" s="5">
        <f t="shared" si="242"/>
        <v>0.5</v>
      </c>
    </row>
    <row r="2067" spans="1:38" x14ac:dyDescent="0.2">
      <c r="A2067" s="2">
        <v>2025</v>
      </c>
      <c r="B2067" s="2">
        <v>11</v>
      </c>
      <c r="D2067" s="2" t="s">
        <v>1156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6">(T2067-W2067)/T2067</f>
        <v>1</v>
      </c>
      <c r="Z2067" s="2" t="s">
        <v>120</v>
      </c>
      <c r="AA2067" s="2" t="s">
        <v>3392</v>
      </c>
      <c r="AF2067" s="2">
        <f t="shared" si="243"/>
        <v>0</v>
      </c>
      <c r="AJ2067" s="2">
        <f t="shared" si="244"/>
        <v>0</v>
      </c>
      <c r="AK2067" s="2">
        <f t="shared" si="245"/>
        <v>85.5</v>
      </c>
      <c r="AL2067" s="5">
        <f t="shared" si="242"/>
        <v>1</v>
      </c>
    </row>
    <row r="2068" spans="1:38" x14ac:dyDescent="0.2">
      <c r="A2068" s="2">
        <v>2025</v>
      </c>
      <c r="B2068" s="2">
        <v>11</v>
      </c>
      <c r="D2068" s="2" t="s">
        <v>1480</v>
      </c>
      <c r="E2068" s="2" t="s">
        <v>754</v>
      </c>
      <c r="F2068" s="2" t="s">
        <v>1481</v>
      </c>
      <c r="G2068" s="2">
        <v>506123758</v>
      </c>
      <c r="H2068" s="2" t="s">
        <v>110</v>
      </c>
      <c r="I2068" s="2" t="s">
        <v>1482</v>
      </c>
      <c r="J2068" s="2" t="s">
        <v>1483</v>
      </c>
      <c r="K2068" s="2">
        <v>936406952</v>
      </c>
      <c r="L2068" s="2" t="s">
        <v>462</v>
      </c>
      <c r="M2068" s="2" t="s">
        <v>40</v>
      </c>
      <c r="O2068" s="2" t="s">
        <v>1984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6"/>
        <v>0.6</v>
      </c>
      <c r="Z2068" s="2" t="s">
        <v>118</v>
      </c>
      <c r="AA2068" s="2" t="s">
        <v>191</v>
      </c>
      <c r="AF2068" s="2">
        <f t="shared" si="243"/>
        <v>0</v>
      </c>
      <c r="AJ2068" s="2">
        <f t="shared" si="244"/>
        <v>0</v>
      </c>
      <c r="AK2068" s="2">
        <f t="shared" si="245"/>
        <v>111.6</v>
      </c>
      <c r="AL2068" s="5">
        <f t="shared" si="242"/>
        <v>0.6</v>
      </c>
    </row>
    <row r="2069" spans="1:38" x14ac:dyDescent="0.2">
      <c r="A2069" s="2">
        <v>2025</v>
      </c>
      <c r="B2069" s="2">
        <v>11</v>
      </c>
      <c r="D2069" s="2" t="s">
        <v>1480</v>
      </c>
      <c r="E2069" s="2" t="s">
        <v>754</v>
      </c>
      <c r="F2069" s="2" t="s">
        <v>1481</v>
      </c>
      <c r="G2069" s="2">
        <v>506123758</v>
      </c>
      <c r="H2069" s="2" t="s">
        <v>110</v>
      </c>
      <c r="I2069" s="2" t="s">
        <v>1482</v>
      </c>
      <c r="J2069" s="2" t="s">
        <v>1483</v>
      </c>
      <c r="K2069" s="2">
        <v>936406952</v>
      </c>
      <c r="L2069" s="2" t="s">
        <v>462</v>
      </c>
      <c r="M2069" s="2" t="s">
        <v>40</v>
      </c>
      <c r="O2069" s="2" t="s">
        <v>1984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6"/>
        <v>0.5</v>
      </c>
      <c r="Z2069" s="2" t="s">
        <v>118</v>
      </c>
      <c r="AA2069" s="2" t="s">
        <v>191</v>
      </c>
      <c r="AF2069" s="2">
        <f t="shared" si="243"/>
        <v>0</v>
      </c>
      <c r="AJ2069" s="2">
        <f t="shared" si="244"/>
        <v>0</v>
      </c>
      <c r="AK2069" s="2">
        <f t="shared" si="245"/>
        <v>25</v>
      </c>
      <c r="AL2069" s="5">
        <f t="shared" si="242"/>
        <v>0.5</v>
      </c>
    </row>
    <row r="2070" spans="1:38" x14ac:dyDescent="0.2">
      <c r="A2070" s="2">
        <v>2025</v>
      </c>
      <c r="B2070" s="2">
        <v>11</v>
      </c>
      <c r="D2070" s="2" t="s">
        <v>1985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6"/>
        <v>0.25</v>
      </c>
      <c r="Z2070" s="2" t="s">
        <v>3237</v>
      </c>
      <c r="AA2070" s="2" t="s">
        <v>72</v>
      </c>
      <c r="AB2070" s="2" t="s">
        <v>120</v>
      </c>
      <c r="AC2070" s="2" t="s">
        <v>120</v>
      </c>
      <c r="AF2070" s="2">
        <f t="shared" si="243"/>
        <v>0</v>
      </c>
      <c r="AJ2070" s="2">
        <f t="shared" si="244"/>
        <v>0</v>
      </c>
      <c r="AK2070" s="2">
        <f t="shared" si="245"/>
        <v>99.75</v>
      </c>
      <c r="AL2070" s="5">
        <f t="shared" si="242"/>
        <v>0.25</v>
      </c>
    </row>
    <row r="2071" spans="1:38" x14ac:dyDescent="0.2">
      <c r="A2071" s="2">
        <v>2025</v>
      </c>
      <c r="B2071" s="2">
        <v>11</v>
      </c>
      <c r="D2071" s="2" t="s">
        <v>1985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6"/>
        <v>0.3975727272727273</v>
      </c>
      <c r="Z2071" s="2" t="s">
        <v>3237</v>
      </c>
      <c r="AA2071" s="2" t="s">
        <v>46</v>
      </c>
      <c r="AB2071" s="2" t="s">
        <v>47</v>
      </c>
      <c r="AC2071" s="2" t="s">
        <v>48</v>
      </c>
      <c r="AF2071" s="2">
        <f t="shared" si="243"/>
        <v>0</v>
      </c>
      <c r="AG2071" s="2">
        <v>6.6266999999999996</v>
      </c>
      <c r="AH2071" s="2">
        <v>12</v>
      </c>
      <c r="AJ2071" s="2">
        <f t="shared" si="244"/>
        <v>0</v>
      </c>
      <c r="AK2071" s="2">
        <f t="shared" si="245"/>
        <v>43.733000000000004</v>
      </c>
      <c r="AL2071" s="5">
        <f t="shared" si="242"/>
        <v>0.3975727272727273</v>
      </c>
    </row>
    <row r="2072" spans="1:38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6"/>
        <v>0.41111111111111115</v>
      </c>
      <c r="Z2072" s="2" t="s">
        <v>3237</v>
      </c>
      <c r="AA2072" s="2" t="s">
        <v>46</v>
      </c>
      <c r="AB2072" s="2" t="s">
        <v>57</v>
      </c>
      <c r="AC2072" s="2" t="s">
        <v>58</v>
      </c>
      <c r="AF2072" s="2">
        <f t="shared" si="243"/>
        <v>0</v>
      </c>
      <c r="AG2072" s="2">
        <v>10.6</v>
      </c>
      <c r="AH2072" s="2">
        <v>18</v>
      </c>
      <c r="AJ2072" s="2">
        <f t="shared" si="244"/>
        <v>0</v>
      </c>
      <c r="AK2072" s="2">
        <f t="shared" si="245"/>
        <v>22.200000000000003</v>
      </c>
      <c r="AL2072" s="5">
        <f t="shared" si="242"/>
        <v>0.41111111111111115</v>
      </c>
    </row>
    <row r="2073" spans="1:38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6"/>
        <v>0.36923076923076914</v>
      </c>
      <c r="Z2073" s="2" t="s">
        <v>3237</v>
      </c>
      <c r="AA2073" s="2" t="s">
        <v>46</v>
      </c>
      <c r="AB2073" s="2" t="s">
        <v>61</v>
      </c>
      <c r="AC2073" s="2" t="s">
        <v>58</v>
      </c>
      <c r="AF2073" s="2">
        <f t="shared" si="243"/>
        <v>0</v>
      </c>
      <c r="AG2073" s="2">
        <v>8.1999999999999993</v>
      </c>
      <c r="AH2073" s="2">
        <v>13</v>
      </c>
      <c r="AJ2073" s="2">
        <f t="shared" si="244"/>
        <v>0</v>
      </c>
      <c r="AK2073" s="2">
        <f t="shared" si="245"/>
        <v>9.5999999999999979</v>
      </c>
      <c r="AL2073" s="5">
        <f t="shared" si="242"/>
        <v>0.36923076923076914</v>
      </c>
    </row>
    <row r="2074" spans="1:38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6"/>
        <v>0.45095172413793105</v>
      </c>
      <c r="Z2074" s="2" t="s">
        <v>3237</v>
      </c>
      <c r="AA2074" s="2" t="s">
        <v>46</v>
      </c>
      <c r="AB2074" s="2" t="s">
        <v>68</v>
      </c>
      <c r="AC2074" s="2" t="s">
        <v>58</v>
      </c>
      <c r="AF2074" s="2">
        <f t="shared" si="243"/>
        <v>0</v>
      </c>
      <c r="AG2074" s="2">
        <v>7.9611999999999998</v>
      </c>
      <c r="AH2074" s="2">
        <v>14.4</v>
      </c>
      <c r="AJ2074" s="2">
        <f t="shared" si="244"/>
        <v>0</v>
      </c>
      <c r="AK2074" s="2">
        <f t="shared" si="245"/>
        <v>6.5388000000000002</v>
      </c>
      <c r="AL2074" s="5">
        <f t="shared" si="242"/>
        <v>0.45095172413793105</v>
      </c>
    </row>
    <row r="2075" spans="1:38" x14ac:dyDescent="0.2">
      <c r="A2075" s="2">
        <v>2025</v>
      </c>
      <c r="B2075" s="2">
        <v>11</v>
      </c>
      <c r="D2075" s="2" t="s">
        <v>1181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1182</v>
      </c>
      <c r="J2075" s="2" t="s">
        <v>1183</v>
      </c>
      <c r="L2075" s="2" t="s">
        <v>462</v>
      </c>
      <c r="M2075" s="2" t="s">
        <v>41</v>
      </c>
      <c r="O2075" s="2" t="s">
        <v>1986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6"/>
        <v>0.45290151515151511</v>
      </c>
      <c r="Z2075" s="2" t="s">
        <v>3237</v>
      </c>
      <c r="AA2075" s="2" t="s">
        <v>46</v>
      </c>
      <c r="AB2075" s="2" t="s">
        <v>57</v>
      </c>
      <c r="AC2075" s="2" t="s">
        <v>58</v>
      </c>
      <c r="AF2075" s="2">
        <f t="shared" si="243"/>
        <v>0</v>
      </c>
      <c r="AG2075" s="2">
        <v>7.2217000000000002</v>
      </c>
      <c r="AH2075" s="2">
        <v>14.4</v>
      </c>
      <c r="AJ2075" s="2">
        <f t="shared" si="244"/>
        <v>0</v>
      </c>
      <c r="AK2075" s="2">
        <f t="shared" si="245"/>
        <v>11.956599999999998</v>
      </c>
      <c r="AL2075" s="5">
        <f t="shared" si="242"/>
        <v>0.45290151515151511</v>
      </c>
    </row>
    <row r="2076" spans="1:38" x14ac:dyDescent="0.2">
      <c r="A2076" s="2">
        <v>2025</v>
      </c>
      <c r="B2076" s="2">
        <v>11</v>
      </c>
      <c r="D2076" s="2" t="s">
        <v>1181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1182</v>
      </c>
      <c r="J2076" s="2" t="s">
        <v>1183</v>
      </c>
      <c r="L2076" s="2" t="s">
        <v>462</v>
      </c>
      <c r="M2076" s="2" t="s">
        <v>41</v>
      </c>
      <c r="O2076" s="2" t="s">
        <v>1986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6"/>
        <v>0.43981481481481483</v>
      </c>
      <c r="Z2076" s="2" t="s">
        <v>3237</v>
      </c>
      <c r="AA2076" s="2" t="s">
        <v>46</v>
      </c>
      <c r="AB2076" s="2" t="s">
        <v>57</v>
      </c>
      <c r="AC2076" s="2" t="s">
        <v>58</v>
      </c>
      <c r="AF2076" s="2">
        <f t="shared" si="243"/>
        <v>0</v>
      </c>
      <c r="AJ2076" s="2">
        <f t="shared" si="244"/>
        <v>0</v>
      </c>
      <c r="AK2076" s="2">
        <f t="shared" si="245"/>
        <v>14.25</v>
      </c>
      <c r="AL2076" s="5">
        <f t="shared" si="242"/>
        <v>0.43981481481481483</v>
      </c>
    </row>
    <row r="2077" spans="1:38" x14ac:dyDescent="0.2">
      <c r="A2077" s="2">
        <v>2025</v>
      </c>
      <c r="B2077" s="2">
        <v>11</v>
      </c>
      <c r="D2077" s="2" t="s">
        <v>1181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1182</v>
      </c>
      <c r="J2077" s="2" t="s">
        <v>1183</v>
      </c>
      <c r="L2077" s="2" t="s">
        <v>462</v>
      </c>
      <c r="M2077" s="2" t="s">
        <v>41</v>
      </c>
      <c r="O2077" s="2" t="s">
        <v>1986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6"/>
        <v>1</v>
      </c>
      <c r="Z2077" s="2" t="s">
        <v>3237</v>
      </c>
      <c r="AA2077" s="2" t="s">
        <v>46</v>
      </c>
      <c r="AB2077" s="2" t="s">
        <v>57</v>
      </c>
      <c r="AC2077" s="2" t="s">
        <v>58</v>
      </c>
      <c r="AF2077" s="2">
        <f t="shared" si="243"/>
        <v>0</v>
      </c>
      <c r="AJ2077" s="2">
        <f t="shared" si="244"/>
        <v>0</v>
      </c>
      <c r="AK2077" s="2">
        <f t="shared" si="245"/>
        <v>39.6</v>
      </c>
      <c r="AL2077" s="5">
        <f t="shared" si="242"/>
        <v>1</v>
      </c>
    </row>
    <row r="2078" spans="1:38" x14ac:dyDescent="0.2">
      <c r="A2078" s="2">
        <v>2025</v>
      </c>
      <c r="B2078" s="2">
        <v>11</v>
      </c>
      <c r="D2078" s="2" t="s">
        <v>1493</v>
      </c>
      <c r="P2078" s="2" t="s">
        <v>115</v>
      </c>
      <c r="Q2078" s="2" t="s">
        <v>1987</v>
      </c>
      <c r="R2078" s="2" t="s">
        <v>1988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6"/>
        <v>1</v>
      </c>
      <c r="AF2078" s="2">
        <f t="shared" si="243"/>
        <v>0</v>
      </c>
      <c r="AJ2078" s="2">
        <f t="shared" si="244"/>
        <v>0</v>
      </c>
      <c r="AK2078" s="2">
        <f t="shared" si="245"/>
        <v>110.63</v>
      </c>
      <c r="AL2078" s="5">
        <f t="shared" si="242"/>
        <v>1</v>
      </c>
    </row>
    <row r="2079" spans="1:38" x14ac:dyDescent="0.2">
      <c r="A2079" s="2">
        <v>2025</v>
      </c>
      <c r="B2079" s="2">
        <v>11</v>
      </c>
      <c r="D2079" s="2" t="s">
        <v>1494</v>
      </c>
      <c r="P2079" s="2" t="s">
        <v>115</v>
      </c>
      <c r="Q2079" s="2" t="s">
        <v>1893</v>
      </c>
      <c r="R2079" s="2" t="s">
        <v>1894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6"/>
        <v>1</v>
      </c>
      <c r="AF2079" s="2">
        <f t="shared" si="243"/>
        <v>0</v>
      </c>
      <c r="AJ2079" s="2">
        <f t="shared" si="244"/>
        <v>0</v>
      </c>
      <c r="AK2079" s="2">
        <f t="shared" si="245"/>
        <v>6680</v>
      </c>
      <c r="AL2079" s="5">
        <f t="shared" si="242"/>
        <v>1</v>
      </c>
    </row>
    <row r="2080" spans="1:38" x14ac:dyDescent="0.2">
      <c r="A2080" s="2">
        <v>2025</v>
      </c>
      <c r="B2080" s="2">
        <v>11</v>
      </c>
      <c r="D2080" s="2" t="s">
        <v>1494</v>
      </c>
      <c r="P2080" s="2" t="s">
        <v>115</v>
      </c>
      <c r="Q2080" s="2" t="s">
        <v>1585</v>
      </c>
      <c r="R2080" s="2" t="s">
        <v>1586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6"/>
        <v>1</v>
      </c>
      <c r="AF2080" s="2">
        <f t="shared" si="243"/>
        <v>0</v>
      </c>
      <c r="AJ2080" s="2">
        <f t="shared" si="244"/>
        <v>0</v>
      </c>
      <c r="AK2080" s="2">
        <f t="shared" si="245"/>
        <v>8200</v>
      </c>
      <c r="AL2080" s="5">
        <f t="shared" si="242"/>
        <v>1</v>
      </c>
    </row>
    <row r="2081" spans="1:38" x14ac:dyDescent="0.2">
      <c r="A2081" s="2">
        <v>2025</v>
      </c>
      <c r="B2081" s="2">
        <v>11</v>
      </c>
      <c r="D2081" s="2" t="s">
        <v>1989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1990</v>
      </c>
      <c r="K2081" s="2">
        <v>924064533</v>
      </c>
      <c r="L2081" s="2" t="s">
        <v>113</v>
      </c>
      <c r="M2081" s="2" t="s">
        <v>81</v>
      </c>
      <c r="O2081" s="2" t="s">
        <v>1991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6"/>
        <v>0.51216666666666666</v>
      </c>
      <c r="Z2081" s="2" t="s">
        <v>3237</v>
      </c>
      <c r="AA2081" s="2" t="s">
        <v>46</v>
      </c>
      <c r="AB2081" s="2" t="s">
        <v>57</v>
      </c>
      <c r="AC2081" s="2" t="s">
        <v>58</v>
      </c>
      <c r="AF2081" s="2">
        <f t="shared" si="243"/>
        <v>0</v>
      </c>
      <c r="AG2081" s="2">
        <v>29.27</v>
      </c>
      <c r="AH2081" s="2">
        <v>60</v>
      </c>
      <c r="AJ2081" s="2">
        <f t="shared" si="244"/>
        <v>0</v>
      </c>
      <c r="AK2081" s="2">
        <f t="shared" si="245"/>
        <v>30.73</v>
      </c>
      <c r="AL2081" s="5">
        <f t="shared" si="242"/>
        <v>0.51216666666666666</v>
      </c>
    </row>
    <row r="2082" spans="1:38" x14ac:dyDescent="0.2">
      <c r="A2082" s="2">
        <v>2025</v>
      </c>
      <c r="B2082" s="2">
        <v>11</v>
      </c>
      <c r="D2082" s="2" t="s">
        <v>1989</v>
      </c>
      <c r="M2082" s="2" t="s">
        <v>81</v>
      </c>
      <c r="P2082" s="2" t="s">
        <v>1041</v>
      </c>
      <c r="Q2082" s="2" t="s">
        <v>1992</v>
      </c>
      <c r="R2082" s="2" t="s">
        <v>1993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6"/>
        <v>0.42243589743589743</v>
      </c>
      <c r="Z2082" s="2" t="s">
        <v>3237</v>
      </c>
      <c r="AA2082" s="2" t="s">
        <v>3395</v>
      </c>
      <c r="AB2082" s="2" t="s">
        <v>1994</v>
      </c>
      <c r="AC2082" s="2" t="s">
        <v>1041</v>
      </c>
      <c r="AF2082" s="2">
        <f t="shared" si="243"/>
        <v>0</v>
      </c>
      <c r="AJ2082" s="2">
        <f t="shared" si="244"/>
        <v>0</v>
      </c>
      <c r="AK2082" s="2">
        <f t="shared" si="245"/>
        <v>659</v>
      </c>
      <c r="AL2082" s="5">
        <f t="shared" si="242"/>
        <v>0.42243589743589743</v>
      </c>
    </row>
    <row r="2083" spans="1:38" x14ac:dyDescent="0.2">
      <c r="A2083" s="2">
        <v>2025</v>
      </c>
      <c r="B2083" s="2">
        <v>11</v>
      </c>
      <c r="D2083" s="2" t="s">
        <v>963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1995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6"/>
        <v>0.47798666666666667</v>
      </c>
      <c r="Z2083" s="2" t="s">
        <v>3237</v>
      </c>
      <c r="AA2083" s="2" t="s">
        <v>76</v>
      </c>
      <c r="AB2083" s="2" t="s">
        <v>77</v>
      </c>
      <c r="AC2083" s="2" t="s">
        <v>78</v>
      </c>
      <c r="AF2083" s="2">
        <f t="shared" si="243"/>
        <v>0</v>
      </c>
      <c r="AG2083" s="2">
        <v>117.453</v>
      </c>
      <c r="AH2083" s="2">
        <v>220</v>
      </c>
      <c r="AJ2083" s="2">
        <f t="shared" si="244"/>
        <v>0</v>
      </c>
      <c r="AK2083" s="2">
        <f t="shared" si="245"/>
        <v>215.09399999999999</v>
      </c>
      <c r="AL2083" s="5">
        <f t="shared" si="242"/>
        <v>0.47798666666666667</v>
      </c>
    </row>
    <row r="2084" spans="1:38" x14ac:dyDescent="0.2">
      <c r="A2084" s="2">
        <v>2025</v>
      </c>
      <c r="B2084" s="2">
        <v>11</v>
      </c>
      <c r="D2084" s="2" t="s">
        <v>963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6"/>
        <v>0</v>
      </c>
      <c r="Z2084" s="2" t="s">
        <v>3237</v>
      </c>
      <c r="AA2084" s="2" t="s">
        <v>97</v>
      </c>
      <c r="AB2084" s="2" t="s">
        <v>77</v>
      </c>
      <c r="AC2084" s="2" t="s">
        <v>94</v>
      </c>
      <c r="AF2084" s="2">
        <f t="shared" si="243"/>
        <v>0</v>
      </c>
      <c r="AJ2084" s="2">
        <f t="shared" si="244"/>
        <v>0</v>
      </c>
      <c r="AK2084" s="2">
        <f t="shared" si="245"/>
        <v>0</v>
      </c>
      <c r="AL2084" s="5">
        <f t="shared" si="242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1996</v>
      </c>
      <c r="P2085" s="2" t="s">
        <v>43</v>
      </c>
      <c r="Q2085" s="2" t="s">
        <v>972</v>
      </c>
      <c r="R2085" s="2" t="s">
        <v>973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6"/>
        <v>1</v>
      </c>
      <c r="Z2085" s="2" t="s">
        <v>3237</v>
      </c>
      <c r="AA2085" s="2" t="s">
        <v>46</v>
      </c>
      <c r="AB2085" s="2" t="s">
        <v>61</v>
      </c>
      <c r="AC2085" s="2" t="s">
        <v>58</v>
      </c>
      <c r="AF2085" s="2">
        <f t="shared" si="243"/>
        <v>0</v>
      </c>
      <c r="AJ2085" s="2">
        <f t="shared" si="244"/>
        <v>0</v>
      </c>
      <c r="AK2085" s="2">
        <f t="shared" si="245"/>
        <v>324</v>
      </c>
      <c r="AL2085" s="5">
        <f t="shared" si="242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1996</v>
      </c>
      <c r="P2086" s="2" t="s">
        <v>43</v>
      </c>
      <c r="Q2086" s="2" t="s">
        <v>974</v>
      </c>
      <c r="R2086" s="2" t="s">
        <v>975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6"/>
        <v>1</v>
      </c>
      <c r="Z2086" s="2" t="s">
        <v>3237</v>
      </c>
      <c r="AA2086" s="2" t="s">
        <v>46</v>
      </c>
      <c r="AB2086" s="2" t="s">
        <v>61</v>
      </c>
      <c r="AC2086" s="2" t="s">
        <v>58</v>
      </c>
      <c r="AF2086" s="2">
        <f t="shared" si="243"/>
        <v>0</v>
      </c>
      <c r="AJ2086" s="2">
        <f t="shared" si="244"/>
        <v>0</v>
      </c>
      <c r="AK2086" s="2">
        <f t="shared" si="245"/>
        <v>270</v>
      </c>
      <c r="AL2086" s="5">
        <f t="shared" si="242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1997</v>
      </c>
      <c r="P2087" s="2" t="s">
        <v>73</v>
      </c>
      <c r="Q2087" s="2" t="s">
        <v>1998</v>
      </c>
      <c r="R2087" s="2" t="s">
        <v>1420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6"/>
        <v>0.13493617021276599</v>
      </c>
      <c r="Z2087" s="2" t="s">
        <v>3237</v>
      </c>
      <c r="AA2087" s="2" t="s">
        <v>76</v>
      </c>
      <c r="AB2087" s="2" t="s">
        <v>77</v>
      </c>
      <c r="AC2087" s="2" t="s">
        <v>78</v>
      </c>
      <c r="AF2087" s="2">
        <f t="shared" si="243"/>
        <v>0</v>
      </c>
      <c r="AJ2087" s="2">
        <f t="shared" si="244"/>
        <v>0</v>
      </c>
      <c r="AK2087" s="2">
        <f t="shared" si="245"/>
        <v>31.710000000000008</v>
      </c>
      <c r="AL2087" s="5">
        <f t="shared" si="242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1997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6"/>
        <v>0</v>
      </c>
      <c r="Z2088" s="2" t="s">
        <v>3237</v>
      </c>
      <c r="AA2088" s="2" t="s">
        <v>97</v>
      </c>
      <c r="AB2088" s="2" t="s">
        <v>77</v>
      </c>
      <c r="AC2088" s="2" t="s">
        <v>94</v>
      </c>
      <c r="AF2088" s="2">
        <f t="shared" si="243"/>
        <v>0</v>
      </c>
      <c r="AJ2088" s="2">
        <f t="shared" si="244"/>
        <v>0</v>
      </c>
      <c r="AK2088" s="2">
        <f t="shared" si="245"/>
        <v>0</v>
      </c>
      <c r="AL2088" s="5">
        <f t="shared" si="242"/>
        <v>0</v>
      </c>
    </row>
    <row r="2089" spans="1:38" x14ac:dyDescent="0.2">
      <c r="A2089" s="2">
        <v>2025</v>
      </c>
      <c r="B2089" s="2">
        <v>11</v>
      </c>
      <c r="D2089" s="2" t="s">
        <v>1192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1193</v>
      </c>
      <c r="K2089" s="2">
        <v>965705708</v>
      </c>
      <c r="L2089" s="2" t="s">
        <v>419</v>
      </c>
      <c r="M2089" s="2" t="s">
        <v>40</v>
      </c>
      <c r="O2089" s="2" t="s">
        <v>1999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6"/>
        <v>1</v>
      </c>
      <c r="Z2089" s="2" t="s">
        <v>120</v>
      </c>
      <c r="AA2089" s="2" t="s">
        <v>3392</v>
      </c>
      <c r="AF2089" s="2">
        <f t="shared" si="243"/>
        <v>0</v>
      </c>
      <c r="AJ2089" s="2">
        <f t="shared" si="244"/>
        <v>0</v>
      </c>
      <c r="AK2089" s="2">
        <f t="shared" si="245"/>
        <v>29.79</v>
      </c>
      <c r="AL2089" s="5">
        <f t="shared" si="242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6"/>
        <v>0.62349999999999994</v>
      </c>
      <c r="Z2090" s="2" t="s">
        <v>3237</v>
      </c>
      <c r="AA2090" s="2" t="s">
        <v>46</v>
      </c>
      <c r="AB2090" s="2" t="s">
        <v>47</v>
      </c>
      <c r="AC2090" s="2" t="s">
        <v>48</v>
      </c>
      <c r="AF2090" s="2">
        <f t="shared" si="243"/>
        <v>0</v>
      </c>
      <c r="AJ2090" s="2">
        <f t="shared" si="244"/>
        <v>0</v>
      </c>
      <c r="AK2090" s="2">
        <f t="shared" si="245"/>
        <v>18.704999999999998</v>
      </c>
      <c r="AL2090" s="5">
        <f t="shared" si="242"/>
        <v>0.62349999999999994</v>
      </c>
    </row>
    <row r="2091" spans="1:38" x14ac:dyDescent="0.2">
      <c r="A2091" s="2">
        <v>2025</v>
      </c>
      <c r="B2091" s="2">
        <v>11</v>
      </c>
      <c r="D2091" s="2" t="s">
        <v>2000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6"/>
        <v>0.59999999999999987</v>
      </c>
      <c r="Z2091" s="2" t="s">
        <v>118</v>
      </c>
      <c r="AA2091" s="2" t="s">
        <v>191</v>
      </c>
      <c r="AF2091" s="2">
        <f t="shared" si="243"/>
        <v>0</v>
      </c>
      <c r="AJ2091" s="2">
        <f t="shared" si="244"/>
        <v>0</v>
      </c>
      <c r="AK2091" s="2">
        <f t="shared" si="245"/>
        <v>528.59999999999991</v>
      </c>
      <c r="AL2091" s="5">
        <f t="shared" si="242"/>
        <v>0.59999999999999987</v>
      </c>
    </row>
    <row r="2092" spans="1:38" x14ac:dyDescent="0.2">
      <c r="A2092" s="2">
        <v>2025</v>
      </c>
      <c r="B2092" s="2">
        <v>11</v>
      </c>
      <c r="D2092" s="2" t="s">
        <v>2000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6"/>
        <v>0.5</v>
      </c>
      <c r="Z2092" s="2" t="s">
        <v>118</v>
      </c>
      <c r="AA2092" s="2" t="s">
        <v>191</v>
      </c>
      <c r="AF2092" s="2">
        <f t="shared" si="243"/>
        <v>0</v>
      </c>
      <c r="AJ2092" s="2">
        <f t="shared" si="244"/>
        <v>0</v>
      </c>
      <c r="AK2092" s="2">
        <f t="shared" si="245"/>
        <v>649</v>
      </c>
      <c r="AL2092" s="5">
        <f t="shared" si="242"/>
        <v>0.5</v>
      </c>
    </row>
    <row r="2093" spans="1:38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6"/>
        <v>1</v>
      </c>
      <c r="AF2093" s="2">
        <f t="shared" si="243"/>
        <v>0</v>
      </c>
      <c r="AJ2093" s="2">
        <f t="shared" si="244"/>
        <v>0</v>
      </c>
      <c r="AK2093" s="2">
        <f t="shared" si="245"/>
        <v>83.79</v>
      </c>
      <c r="AL2093" s="5">
        <f t="shared" si="242"/>
        <v>1</v>
      </c>
    </row>
    <row r="2094" spans="1:38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6"/>
        <v>0.4729523809523809</v>
      </c>
      <c r="Z2094" s="2" t="s">
        <v>3237</v>
      </c>
      <c r="AA2094" s="2" t="s">
        <v>76</v>
      </c>
      <c r="AB2094" s="2" t="s">
        <v>77</v>
      </c>
      <c r="AC2094" s="2" t="s">
        <v>78</v>
      </c>
      <c r="AF2094" s="2">
        <f t="shared" si="243"/>
        <v>0</v>
      </c>
      <c r="AG2094" s="2">
        <v>110.68</v>
      </c>
      <c r="AH2094" s="2">
        <v>210</v>
      </c>
      <c r="AJ2094" s="2">
        <f t="shared" si="244"/>
        <v>0</v>
      </c>
      <c r="AK2094" s="2">
        <f t="shared" si="245"/>
        <v>99.32</v>
      </c>
      <c r="AL2094" s="5">
        <f t="shared" si="242"/>
        <v>0.4729523809523809</v>
      </c>
    </row>
    <row r="2095" spans="1:38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6"/>
        <v>0.6</v>
      </c>
      <c r="Z2095" s="2" t="s">
        <v>118</v>
      </c>
      <c r="AA2095" s="2" t="s">
        <v>191</v>
      </c>
      <c r="AF2095" s="2">
        <f t="shared" si="243"/>
        <v>0</v>
      </c>
      <c r="AJ2095" s="2">
        <f t="shared" si="244"/>
        <v>0</v>
      </c>
      <c r="AK2095" s="2">
        <f t="shared" si="245"/>
        <v>48.6</v>
      </c>
      <c r="AL2095" s="5">
        <f t="shared" si="242"/>
        <v>0.6</v>
      </c>
    </row>
    <row r="2096" spans="1:38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6"/>
        <v>0.5</v>
      </c>
      <c r="Z2096" s="2" t="s">
        <v>118</v>
      </c>
      <c r="AA2096" s="2" t="s">
        <v>191</v>
      </c>
      <c r="AF2096" s="2">
        <f t="shared" si="243"/>
        <v>0</v>
      </c>
      <c r="AJ2096" s="2">
        <f t="shared" si="244"/>
        <v>0</v>
      </c>
      <c r="AK2096" s="2">
        <f t="shared" si="245"/>
        <v>25</v>
      </c>
      <c r="AL2096" s="5">
        <f t="shared" si="242"/>
        <v>0.5</v>
      </c>
    </row>
    <row r="2097" spans="1:38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6"/>
        <v>0</v>
      </c>
      <c r="Z2097" s="2" t="s">
        <v>3237</v>
      </c>
      <c r="AA2097" s="2" t="s">
        <v>97</v>
      </c>
      <c r="AB2097" s="2" t="s">
        <v>77</v>
      </c>
      <c r="AC2097" s="2" t="s">
        <v>94</v>
      </c>
      <c r="AF2097" s="2">
        <f t="shared" si="243"/>
        <v>0</v>
      </c>
      <c r="AJ2097" s="2">
        <f t="shared" si="244"/>
        <v>0</v>
      </c>
      <c r="AK2097" s="2">
        <f t="shared" si="245"/>
        <v>0</v>
      </c>
      <c r="AL2097" s="5">
        <f t="shared" si="242"/>
        <v>0</v>
      </c>
    </row>
    <row r="2098" spans="1:38" x14ac:dyDescent="0.2">
      <c r="A2098" s="2">
        <v>2025</v>
      </c>
      <c r="B2098" s="2">
        <v>11</v>
      </c>
      <c r="D2098" s="2" t="s">
        <v>2001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6"/>
        <v>0.6</v>
      </c>
      <c r="Z2098" s="2" t="s">
        <v>118</v>
      </c>
      <c r="AA2098" s="2" t="s">
        <v>191</v>
      </c>
      <c r="AF2098" s="2">
        <f t="shared" si="243"/>
        <v>0</v>
      </c>
      <c r="AJ2098" s="2">
        <f t="shared" si="244"/>
        <v>0</v>
      </c>
      <c r="AK2098" s="2">
        <f t="shared" si="245"/>
        <v>30</v>
      </c>
      <c r="AL2098" s="5">
        <f t="shared" si="242"/>
        <v>0.6</v>
      </c>
    </row>
    <row r="2099" spans="1:38" x14ac:dyDescent="0.2">
      <c r="A2099" s="2">
        <v>2025</v>
      </c>
      <c r="B2099" s="2">
        <v>11</v>
      </c>
      <c r="D2099" s="2" t="s">
        <v>2001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6"/>
        <v>0.5</v>
      </c>
      <c r="Z2099" s="2" t="s">
        <v>118</v>
      </c>
      <c r="AA2099" s="2" t="s">
        <v>191</v>
      </c>
      <c r="AF2099" s="2">
        <f t="shared" si="243"/>
        <v>0</v>
      </c>
      <c r="AJ2099" s="2">
        <f t="shared" si="244"/>
        <v>0</v>
      </c>
      <c r="AK2099" s="2">
        <f t="shared" si="245"/>
        <v>25</v>
      </c>
      <c r="AL2099" s="5">
        <f t="shared" ref="AL2099:AL2162" si="247">(T2099-W2099)/T2099</f>
        <v>0.5</v>
      </c>
    </row>
    <row r="2100" spans="1:38" x14ac:dyDescent="0.2">
      <c r="A2100" s="2">
        <v>2025</v>
      </c>
      <c r="B2100" s="2">
        <v>11</v>
      </c>
      <c r="D2100" s="2" t="s">
        <v>1701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6"/>
        <v>0.52105128205128204</v>
      </c>
      <c r="Z2100" s="2" t="s">
        <v>3237</v>
      </c>
      <c r="AA2100" s="2" t="s">
        <v>46</v>
      </c>
      <c r="AB2100" s="2" t="s">
        <v>47</v>
      </c>
      <c r="AC2100" s="2" t="s">
        <v>48</v>
      </c>
      <c r="AF2100" s="2">
        <f t="shared" si="243"/>
        <v>0</v>
      </c>
      <c r="AG2100" s="2">
        <v>3.7357999999999998</v>
      </c>
      <c r="AH2100" s="2">
        <v>9</v>
      </c>
      <c r="AJ2100" s="2">
        <f t="shared" si="244"/>
        <v>0</v>
      </c>
      <c r="AK2100" s="2">
        <f t="shared" si="245"/>
        <v>4.0641999999999996</v>
      </c>
      <c r="AL2100" s="5">
        <f t="shared" si="247"/>
        <v>0.52105128205128204</v>
      </c>
    </row>
    <row r="2101" spans="1:38" x14ac:dyDescent="0.2">
      <c r="A2101" s="2">
        <v>2025</v>
      </c>
      <c r="B2101" s="2">
        <v>11</v>
      </c>
      <c r="D2101" s="2" t="s">
        <v>1701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6"/>
        <v>0.21904761904761905</v>
      </c>
      <c r="Z2101" s="2" t="s">
        <v>3237</v>
      </c>
      <c r="AA2101" s="2" t="s">
        <v>46</v>
      </c>
      <c r="AB2101" s="2" t="s">
        <v>61</v>
      </c>
      <c r="AC2101" s="2" t="s">
        <v>58</v>
      </c>
      <c r="AF2101" s="2">
        <f t="shared" si="243"/>
        <v>0</v>
      </c>
      <c r="AG2101" s="2">
        <v>8.1999999999999993</v>
      </c>
      <c r="AH2101" s="2">
        <v>13</v>
      </c>
      <c r="AJ2101" s="2">
        <f t="shared" si="244"/>
        <v>0</v>
      </c>
      <c r="AK2101" s="2">
        <f t="shared" si="245"/>
        <v>23</v>
      </c>
      <c r="AL2101" s="5">
        <f t="shared" si="247"/>
        <v>0.21904761904761905</v>
      </c>
    </row>
    <row r="2102" spans="1:38" x14ac:dyDescent="0.2">
      <c r="A2102" s="2">
        <v>2025</v>
      </c>
      <c r="B2102" s="2">
        <v>11</v>
      </c>
      <c r="D2102" s="2" t="s">
        <v>1701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6"/>
        <v>0.33243111111111107</v>
      </c>
      <c r="Z2102" s="2" t="s">
        <v>3237</v>
      </c>
      <c r="AA2102" s="2" t="s">
        <v>46</v>
      </c>
      <c r="AB2102" s="2" t="s">
        <v>68</v>
      </c>
      <c r="AC2102" s="2" t="s">
        <v>58</v>
      </c>
      <c r="AF2102" s="2">
        <f t="shared" si="243"/>
        <v>0</v>
      </c>
      <c r="AG2102" s="2">
        <v>15.020300000000001</v>
      </c>
      <c r="AH2102" s="2">
        <v>27.6</v>
      </c>
      <c r="AJ2102" s="2">
        <f t="shared" si="244"/>
        <v>0</v>
      </c>
      <c r="AK2102" s="2">
        <f t="shared" si="245"/>
        <v>14.959399999999999</v>
      </c>
      <c r="AL2102" s="5">
        <f t="shared" si="247"/>
        <v>0.33243111111111107</v>
      </c>
    </row>
    <row r="2103" spans="1:38" x14ac:dyDescent="0.2">
      <c r="A2103" s="2">
        <v>2025</v>
      </c>
      <c r="B2103" s="2">
        <v>11</v>
      </c>
      <c r="D2103" s="2" t="s">
        <v>2002</v>
      </c>
      <c r="M2103" s="2" t="s">
        <v>81</v>
      </c>
      <c r="O2103" s="2" t="s">
        <v>2003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6"/>
        <v>0.46762608695652175</v>
      </c>
      <c r="Z2103" s="2" t="s">
        <v>3237</v>
      </c>
      <c r="AA2103" s="2" t="s">
        <v>76</v>
      </c>
      <c r="AB2103" s="2" t="s">
        <v>77</v>
      </c>
      <c r="AC2103" s="2" t="s">
        <v>78</v>
      </c>
      <c r="AF2103" s="2">
        <f t="shared" si="243"/>
        <v>0</v>
      </c>
      <c r="AG2103" s="2">
        <v>122.446</v>
      </c>
      <c r="AH2103" s="2">
        <v>230</v>
      </c>
      <c r="AJ2103" s="2">
        <f t="shared" si="244"/>
        <v>0</v>
      </c>
      <c r="AK2103" s="2">
        <f t="shared" si="245"/>
        <v>107.554</v>
      </c>
      <c r="AL2103" s="5">
        <f t="shared" si="247"/>
        <v>0.46762608695652175</v>
      </c>
    </row>
    <row r="2104" spans="1:38" x14ac:dyDescent="0.2">
      <c r="A2104" s="2">
        <v>2025</v>
      </c>
      <c r="B2104" s="2">
        <v>11</v>
      </c>
      <c r="D2104" s="2" t="s">
        <v>2002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6"/>
        <v>0</v>
      </c>
      <c r="Z2104" s="2" t="s">
        <v>3237</v>
      </c>
      <c r="AA2104" s="2" t="s">
        <v>97</v>
      </c>
      <c r="AB2104" s="2" t="s">
        <v>77</v>
      </c>
      <c r="AC2104" s="2" t="s">
        <v>94</v>
      </c>
      <c r="AF2104" s="2">
        <f t="shared" si="243"/>
        <v>0</v>
      </c>
      <c r="AJ2104" s="2">
        <f t="shared" si="244"/>
        <v>0</v>
      </c>
      <c r="AK2104" s="2">
        <f t="shared" si="245"/>
        <v>0</v>
      </c>
      <c r="AL2104" s="5">
        <f t="shared" si="247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2004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6"/>
        <v>0.6</v>
      </c>
      <c r="Z2105" s="2" t="s">
        <v>118</v>
      </c>
      <c r="AA2105" s="2" t="s">
        <v>191</v>
      </c>
      <c r="AF2105" s="2">
        <f t="shared" si="243"/>
        <v>0</v>
      </c>
      <c r="AJ2105" s="2">
        <f t="shared" si="244"/>
        <v>0</v>
      </c>
      <c r="AK2105" s="2">
        <f t="shared" si="245"/>
        <v>30</v>
      </c>
      <c r="AL2105" s="5">
        <f t="shared" si="247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2004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6"/>
        <v>0.5</v>
      </c>
      <c r="Z2106" s="2" t="s">
        <v>118</v>
      </c>
      <c r="AA2106" s="2" t="s">
        <v>191</v>
      </c>
      <c r="AF2106" s="2">
        <f t="shared" si="243"/>
        <v>0</v>
      </c>
      <c r="AJ2106" s="2">
        <f t="shared" si="244"/>
        <v>0</v>
      </c>
      <c r="AK2106" s="2">
        <f t="shared" si="245"/>
        <v>25</v>
      </c>
      <c r="AL2106" s="5">
        <f t="shared" si="247"/>
        <v>0.5</v>
      </c>
    </row>
    <row r="2107" spans="1:38" x14ac:dyDescent="0.2">
      <c r="A2107" s="2">
        <v>2025</v>
      </c>
      <c r="B2107" s="2">
        <v>11</v>
      </c>
      <c r="D2107" s="2" t="s">
        <v>1009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6"/>
        <v>0.13</v>
      </c>
      <c r="Z2107" s="2" t="s">
        <v>3237</v>
      </c>
      <c r="AA2107" s="2" t="s">
        <v>46</v>
      </c>
      <c r="AB2107" s="2" t="s">
        <v>61</v>
      </c>
      <c r="AC2107" s="2" t="s">
        <v>3343</v>
      </c>
      <c r="AF2107" s="2">
        <f t="shared" si="243"/>
        <v>0</v>
      </c>
      <c r="AJ2107" s="2">
        <f t="shared" si="244"/>
        <v>0</v>
      </c>
      <c r="AK2107" s="2">
        <f t="shared" si="245"/>
        <v>26</v>
      </c>
      <c r="AL2107" s="5">
        <f t="shared" si="247"/>
        <v>0.13</v>
      </c>
    </row>
    <row r="2108" spans="1:38" x14ac:dyDescent="0.2">
      <c r="A2108" s="2">
        <v>2025</v>
      </c>
      <c r="B2108" s="2">
        <v>11</v>
      </c>
      <c r="D2108" s="2" t="s">
        <v>1009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6"/>
        <v>0.13</v>
      </c>
      <c r="Z2108" s="2" t="s">
        <v>3237</v>
      </c>
      <c r="AA2108" s="2" t="s">
        <v>46</v>
      </c>
      <c r="AB2108" s="2" t="s">
        <v>61</v>
      </c>
      <c r="AC2108" s="2" t="s">
        <v>3343</v>
      </c>
      <c r="AF2108" s="2">
        <f t="shared" si="243"/>
        <v>0</v>
      </c>
      <c r="AJ2108" s="2">
        <f t="shared" si="244"/>
        <v>0</v>
      </c>
      <c r="AK2108" s="2">
        <f t="shared" si="245"/>
        <v>26</v>
      </c>
      <c r="AL2108" s="5">
        <f t="shared" si="247"/>
        <v>0.13</v>
      </c>
    </row>
    <row r="2109" spans="1:38" x14ac:dyDescent="0.2">
      <c r="A2109" s="2">
        <v>2025</v>
      </c>
      <c r="B2109" s="2">
        <v>11</v>
      </c>
      <c r="D2109" s="2" t="s">
        <v>1797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6"/>
        <v>0.6</v>
      </c>
      <c r="Z2109" s="2" t="s">
        <v>118</v>
      </c>
      <c r="AA2109" s="2" t="s">
        <v>191</v>
      </c>
      <c r="AF2109" s="2">
        <f t="shared" si="243"/>
        <v>0</v>
      </c>
      <c r="AJ2109" s="2">
        <f t="shared" si="244"/>
        <v>0</v>
      </c>
      <c r="AK2109" s="2">
        <f t="shared" si="245"/>
        <v>33</v>
      </c>
      <c r="AL2109" s="5">
        <f t="shared" si="247"/>
        <v>0.6</v>
      </c>
    </row>
    <row r="2110" spans="1:38" x14ac:dyDescent="0.2">
      <c r="A2110" s="2">
        <v>2025</v>
      </c>
      <c r="B2110" s="2">
        <v>11</v>
      </c>
      <c r="D2110" s="2" t="s">
        <v>1797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6"/>
        <v>0.5</v>
      </c>
      <c r="Z2110" s="2" t="s">
        <v>118</v>
      </c>
      <c r="AA2110" s="2" t="s">
        <v>191</v>
      </c>
      <c r="AF2110" s="2">
        <f t="shared" si="243"/>
        <v>0</v>
      </c>
      <c r="AJ2110" s="2">
        <f t="shared" si="244"/>
        <v>0</v>
      </c>
      <c r="AK2110" s="2">
        <f t="shared" si="245"/>
        <v>75</v>
      </c>
      <c r="AL2110" s="5">
        <f t="shared" si="247"/>
        <v>0.5</v>
      </c>
    </row>
    <row r="2111" spans="1:38" x14ac:dyDescent="0.2">
      <c r="A2111" s="2">
        <v>2025</v>
      </c>
      <c r="B2111" s="2">
        <v>11</v>
      </c>
      <c r="D2111" s="2" t="s">
        <v>1895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6"/>
        <v>0.24999999999999994</v>
      </c>
      <c r="Z2111" s="2" t="s">
        <v>3237</v>
      </c>
      <c r="AA2111" s="2" t="s">
        <v>46</v>
      </c>
      <c r="AB2111" s="2" t="s">
        <v>47</v>
      </c>
      <c r="AC2111" s="2" t="s">
        <v>48</v>
      </c>
      <c r="AF2111" s="2">
        <f t="shared" si="243"/>
        <v>0</v>
      </c>
      <c r="AG2111" s="2">
        <v>10.2346</v>
      </c>
      <c r="AH2111" s="2">
        <v>18</v>
      </c>
      <c r="AJ2111" s="2">
        <f t="shared" si="244"/>
        <v>0</v>
      </c>
      <c r="AK2111" s="2">
        <f t="shared" si="245"/>
        <v>4.7999999999999989</v>
      </c>
      <c r="AL2111" s="5">
        <f t="shared" si="247"/>
        <v>0.24999999999999994</v>
      </c>
    </row>
    <row r="2112" spans="1:38" x14ac:dyDescent="0.2">
      <c r="A2112" s="2">
        <v>2025</v>
      </c>
      <c r="B2112" s="2">
        <v>11</v>
      </c>
      <c r="D2112" s="2" t="s">
        <v>1895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6"/>
        <v>0.41111111111111115</v>
      </c>
      <c r="Z2112" s="2" t="s">
        <v>3237</v>
      </c>
      <c r="AA2112" s="2" t="s">
        <v>46</v>
      </c>
      <c r="AB2112" s="2" t="s">
        <v>57</v>
      </c>
      <c r="AC2112" s="2" t="s">
        <v>58</v>
      </c>
      <c r="AF2112" s="2">
        <f t="shared" si="243"/>
        <v>0</v>
      </c>
      <c r="AG2112" s="2">
        <v>10.6</v>
      </c>
      <c r="AH2112" s="2">
        <v>18</v>
      </c>
      <c r="AJ2112" s="2">
        <f t="shared" si="244"/>
        <v>0</v>
      </c>
      <c r="AK2112" s="2">
        <f t="shared" si="245"/>
        <v>7.4</v>
      </c>
      <c r="AL2112" s="5">
        <f t="shared" si="247"/>
        <v>0.41111111111111115</v>
      </c>
    </row>
    <row r="2113" spans="1:38" x14ac:dyDescent="0.2">
      <c r="A2113" s="2">
        <v>2025</v>
      </c>
      <c r="B2113" s="2">
        <v>11</v>
      </c>
      <c r="D2113" s="2" t="s">
        <v>1895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2005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6"/>
        <v>0.53045454545454551</v>
      </c>
      <c r="Z2113" s="2" t="s">
        <v>3237</v>
      </c>
      <c r="AA2113" s="2" t="s">
        <v>46</v>
      </c>
      <c r="AB2113" s="2" t="s">
        <v>47</v>
      </c>
      <c r="AC2113" s="2" t="s">
        <v>48</v>
      </c>
      <c r="AF2113" s="2">
        <f t="shared" si="243"/>
        <v>0</v>
      </c>
      <c r="AG2113" s="2">
        <v>15.494999999999999</v>
      </c>
      <c r="AH2113" s="2">
        <v>36</v>
      </c>
      <c r="AJ2113" s="2">
        <f t="shared" si="244"/>
        <v>0</v>
      </c>
      <c r="AK2113" s="2">
        <f t="shared" si="245"/>
        <v>17.505000000000003</v>
      </c>
      <c r="AL2113" s="5">
        <f t="shared" si="247"/>
        <v>0.53045454545454551</v>
      </c>
    </row>
    <row r="2114" spans="1:38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2006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6"/>
        <v>0.6</v>
      </c>
      <c r="Z2114" s="2" t="s">
        <v>118</v>
      </c>
      <c r="AA2114" s="2" t="s">
        <v>191</v>
      </c>
      <c r="AF2114" s="2">
        <f t="shared" si="243"/>
        <v>0</v>
      </c>
      <c r="AJ2114" s="2">
        <f t="shared" si="244"/>
        <v>0</v>
      </c>
      <c r="AK2114" s="2">
        <f t="shared" si="245"/>
        <v>79.8</v>
      </c>
      <c r="AL2114" s="5">
        <f t="shared" si="247"/>
        <v>0.6</v>
      </c>
    </row>
    <row r="2115" spans="1:38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2006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6"/>
        <v>0.5</v>
      </c>
      <c r="Z2115" s="2" t="s">
        <v>118</v>
      </c>
      <c r="AA2115" s="2" t="s">
        <v>191</v>
      </c>
      <c r="AF2115" s="2">
        <f t="shared" ref="AF2115:AF2178" si="248">AJ2115</f>
        <v>0</v>
      </c>
      <c r="AJ2115" s="2">
        <f t="shared" ref="AJ2115:AJ2178" si="249">AI2115*T2115</f>
        <v>0</v>
      </c>
      <c r="AK2115" s="2">
        <f t="shared" ref="AK2115:AK2178" si="250">T2115-W2115</f>
        <v>50</v>
      </c>
      <c r="AL2115" s="5">
        <f t="shared" si="247"/>
        <v>0.5</v>
      </c>
    </row>
    <row r="2116" spans="1:38" x14ac:dyDescent="0.2">
      <c r="A2116" s="2">
        <v>2025</v>
      </c>
      <c r="B2116" s="2">
        <v>11</v>
      </c>
      <c r="D2116" s="2" t="s">
        <v>2007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6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8"/>
        <v>0</v>
      </c>
      <c r="AJ2116" s="2">
        <f t="shared" si="249"/>
        <v>0</v>
      </c>
      <c r="AK2116" s="2">
        <f t="shared" si="250"/>
        <v>354.09659999999997</v>
      </c>
      <c r="AL2116" s="5">
        <f t="shared" si="247"/>
        <v>0.50635864435864431</v>
      </c>
    </row>
    <row r="2117" spans="1:38" x14ac:dyDescent="0.2">
      <c r="A2117" s="2">
        <v>2025</v>
      </c>
      <c r="B2117" s="2">
        <v>11</v>
      </c>
      <c r="D2117" s="2" t="s">
        <v>2007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6"/>
        <v>0.6</v>
      </c>
      <c r="Z2117" s="2" t="s">
        <v>118</v>
      </c>
      <c r="AA2117" s="2" t="s">
        <v>191</v>
      </c>
      <c r="AF2117" s="2">
        <f t="shared" si="248"/>
        <v>0</v>
      </c>
      <c r="AJ2117" s="2">
        <f t="shared" si="249"/>
        <v>0</v>
      </c>
      <c r="AK2117" s="2">
        <f t="shared" si="250"/>
        <v>30</v>
      </c>
      <c r="AL2117" s="5">
        <f t="shared" si="247"/>
        <v>0.6</v>
      </c>
    </row>
    <row r="2118" spans="1:38" x14ac:dyDescent="0.2">
      <c r="A2118" s="2">
        <v>2025</v>
      </c>
      <c r="B2118" s="2">
        <v>11</v>
      </c>
      <c r="D2118" s="2" t="s">
        <v>2007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6"/>
        <v>0.5</v>
      </c>
      <c r="Z2118" s="2" t="s">
        <v>118</v>
      </c>
      <c r="AA2118" s="2" t="s">
        <v>191</v>
      </c>
      <c r="AF2118" s="2">
        <f t="shared" si="248"/>
        <v>0</v>
      </c>
      <c r="AJ2118" s="2">
        <f t="shared" si="249"/>
        <v>0</v>
      </c>
      <c r="AK2118" s="2">
        <f t="shared" si="250"/>
        <v>25</v>
      </c>
      <c r="AL2118" s="5">
        <f t="shared" si="247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1137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6"/>
        <v>0.44431818181818183</v>
      </c>
      <c r="Z2119" s="2" t="s">
        <v>3237</v>
      </c>
      <c r="AA2119" s="2" t="s">
        <v>76</v>
      </c>
      <c r="AB2119" s="2" t="s">
        <v>77</v>
      </c>
      <c r="AC2119" s="2" t="s">
        <v>78</v>
      </c>
      <c r="AF2119" s="2">
        <f t="shared" si="248"/>
        <v>0</v>
      </c>
      <c r="AJ2119" s="2">
        <f t="shared" si="249"/>
        <v>0</v>
      </c>
      <c r="AK2119" s="2">
        <f t="shared" si="250"/>
        <v>97.75</v>
      </c>
      <c r="AL2119" s="5">
        <f t="shared" si="247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6"/>
        <v>0</v>
      </c>
      <c r="Z2120" s="2" t="s">
        <v>3237</v>
      </c>
      <c r="AA2120" s="2" t="s">
        <v>97</v>
      </c>
      <c r="AB2120" s="2" t="s">
        <v>77</v>
      </c>
      <c r="AC2120" s="2" t="s">
        <v>94</v>
      </c>
      <c r="AF2120" s="2">
        <f t="shared" si="248"/>
        <v>0</v>
      </c>
      <c r="AJ2120" s="2">
        <f t="shared" si="249"/>
        <v>0</v>
      </c>
      <c r="AK2120" s="2">
        <f t="shared" si="250"/>
        <v>0</v>
      </c>
      <c r="AL2120" s="5">
        <f t="shared" si="247"/>
        <v>0</v>
      </c>
    </row>
    <row r="2121" spans="1:38" x14ac:dyDescent="0.2">
      <c r="A2121" s="2">
        <v>2025</v>
      </c>
      <c r="B2121" s="2">
        <v>11</v>
      </c>
      <c r="D2121" s="2" t="s">
        <v>1011</v>
      </c>
      <c r="P2121" s="2" t="s">
        <v>283</v>
      </c>
      <c r="Q2121" s="2" t="s">
        <v>2008</v>
      </c>
      <c r="R2121" s="2" t="s">
        <v>2009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6"/>
        <v>1</v>
      </c>
      <c r="Z2121" s="2" t="s">
        <v>3237</v>
      </c>
      <c r="AF2121" s="2">
        <f t="shared" si="248"/>
        <v>0</v>
      </c>
      <c r="AJ2121" s="2">
        <f t="shared" si="249"/>
        <v>0</v>
      </c>
      <c r="AK2121" s="2">
        <f t="shared" si="250"/>
        <v>430</v>
      </c>
      <c r="AL2121" s="5">
        <f t="shared" si="247"/>
        <v>1</v>
      </c>
    </row>
    <row r="2122" spans="1:38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2010</v>
      </c>
      <c r="R2122" s="2" t="s">
        <v>2011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6"/>
        <v>1</v>
      </c>
      <c r="AF2122" s="2">
        <f t="shared" si="248"/>
        <v>0</v>
      </c>
      <c r="AJ2122" s="2">
        <f t="shared" si="249"/>
        <v>0</v>
      </c>
      <c r="AK2122" s="2">
        <f t="shared" si="250"/>
        <v>7.94</v>
      </c>
      <c r="AL2122" s="5">
        <f t="shared" si="247"/>
        <v>1</v>
      </c>
    </row>
    <row r="2123" spans="1:38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6"/>
        <v>0.41111111111111115</v>
      </c>
      <c r="Z2123" s="2" t="s">
        <v>3237</v>
      </c>
      <c r="AA2123" s="2" t="s">
        <v>46</v>
      </c>
      <c r="AB2123" s="2" t="s">
        <v>57</v>
      </c>
      <c r="AC2123" s="2" t="s">
        <v>58</v>
      </c>
      <c r="AF2123" s="2">
        <f t="shared" si="248"/>
        <v>0</v>
      </c>
      <c r="AG2123" s="2">
        <v>10.6</v>
      </c>
      <c r="AH2123" s="2">
        <v>18</v>
      </c>
      <c r="AJ2123" s="2">
        <f t="shared" si="249"/>
        <v>0</v>
      </c>
      <c r="AK2123" s="2">
        <f t="shared" si="250"/>
        <v>7.4</v>
      </c>
      <c r="AL2123" s="5">
        <f t="shared" si="247"/>
        <v>0.41111111111111115</v>
      </c>
    </row>
    <row r="2124" spans="1:38" x14ac:dyDescent="0.2">
      <c r="A2124" s="2">
        <v>2025</v>
      </c>
      <c r="B2124" s="2">
        <v>11</v>
      </c>
      <c r="D2124" s="2" t="s">
        <v>2012</v>
      </c>
      <c r="Q2124" s="2" t="s">
        <v>2013</v>
      </c>
      <c r="R2124" s="2" t="s">
        <v>2014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6"/>
        <v>1</v>
      </c>
      <c r="Z2124" s="2" t="s">
        <v>105</v>
      </c>
      <c r="AF2124" s="2">
        <f t="shared" si="248"/>
        <v>0</v>
      </c>
      <c r="AJ2124" s="2">
        <f t="shared" si="249"/>
        <v>0</v>
      </c>
      <c r="AK2124" s="2">
        <f t="shared" si="250"/>
        <v>1000</v>
      </c>
      <c r="AL2124" s="5">
        <f t="shared" si="247"/>
        <v>1</v>
      </c>
    </row>
    <row r="2125" spans="1:38" x14ac:dyDescent="0.2">
      <c r="A2125" s="2">
        <v>2025</v>
      </c>
      <c r="B2125" s="2">
        <v>11</v>
      </c>
      <c r="D2125" s="2" t="s">
        <v>2015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6"/>
        <v>#DIV/0!</v>
      </c>
      <c r="AF2125" s="2">
        <f t="shared" si="248"/>
        <v>0</v>
      </c>
      <c r="AJ2125" s="2">
        <f t="shared" si="249"/>
        <v>0</v>
      </c>
      <c r="AK2125" s="2">
        <f t="shared" si="250"/>
        <v>0</v>
      </c>
      <c r="AL2125" s="5" t="e">
        <f t="shared" si="247"/>
        <v>#DIV/0!</v>
      </c>
    </row>
    <row r="2126" spans="1:38" x14ac:dyDescent="0.2">
      <c r="A2126" s="2">
        <v>2025</v>
      </c>
      <c r="B2126" s="2">
        <v>11</v>
      </c>
      <c r="D2126" s="2" t="s">
        <v>2015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6"/>
        <v>1</v>
      </c>
      <c r="Z2126" s="2" t="s">
        <v>105</v>
      </c>
      <c r="AF2126" s="2">
        <f t="shared" si="248"/>
        <v>0</v>
      </c>
      <c r="AJ2126" s="2">
        <f t="shared" si="249"/>
        <v>0</v>
      </c>
      <c r="AK2126" s="2">
        <f t="shared" si="250"/>
        <v>13990</v>
      </c>
      <c r="AL2126" s="5">
        <f t="shared" si="247"/>
        <v>1</v>
      </c>
    </row>
    <row r="2127" spans="1:38" x14ac:dyDescent="0.2">
      <c r="A2127" s="2">
        <v>2025</v>
      </c>
      <c r="B2127" s="2">
        <v>11</v>
      </c>
      <c r="D2127" s="2" t="s">
        <v>2016</v>
      </c>
      <c r="P2127" s="2" t="s">
        <v>115</v>
      </c>
      <c r="Q2127" s="2" t="s">
        <v>981</v>
      </c>
      <c r="R2127" s="2" t="s">
        <v>982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6"/>
        <v>1</v>
      </c>
      <c r="AF2127" s="2">
        <f t="shared" si="248"/>
        <v>0</v>
      </c>
      <c r="AJ2127" s="2">
        <f t="shared" si="249"/>
        <v>0</v>
      </c>
      <c r="AK2127" s="2">
        <f t="shared" si="250"/>
        <v>79.819999999999993</v>
      </c>
      <c r="AL2127" s="5">
        <f t="shared" si="247"/>
        <v>1</v>
      </c>
    </row>
    <row r="2128" spans="1:38" x14ac:dyDescent="0.2">
      <c r="A2128" s="2">
        <v>2025</v>
      </c>
      <c r="B2128" s="2">
        <v>11</v>
      </c>
      <c r="D2128" s="2" t="s">
        <v>2016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6"/>
        <v>0.6</v>
      </c>
      <c r="Z2128" s="2" t="s">
        <v>118</v>
      </c>
      <c r="AA2128" s="2" t="s">
        <v>191</v>
      </c>
      <c r="AF2128" s="2">
        <f t="shared" si="248"/>
        <v>0</v>
      </c>
      <c r="AJ2128" s="2">
        <f t="shared" si="249"/>
        <v>0</v>
      </c>
      <c r="AK2128" s="2">
        <f t="shared" si="250"/>
        <v>91.8</v>
      </c>
      <c r="AL2128" s="5">
        <f t="shared" si="247"/>
        <v>0.6</v>
      </c>
    </row>
    <row r="2129" spans="1:38" x14ac:dyDescent="0.2">
      <c r="A2129" s="2">
        <v>2025</v>
      </c>
      <c r="B2129" s="2">
        <v>11</v>
      </c>
      <c r="D2129" s="2" t="s">
        <v>2016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6"/>
        <v>0.5</v>
      </c>
      <c r="Z2129" s="2" t="s">
        <v>118</v>
      </c>
      <c r="AA2129" s="2" t="s">
        <v>191</v>
      </c>
      <c r="AF2129" s="2">
        <f t="shared" si="248"/>
        <v>0</v>
      </c>
      <c r="AJ2129" s="2">
        <f t="shared" si="249"/>
        <v>0</v>
      </c>
      <c r="AK2129" s="2">
        <f t="shared" si="250"/>
        <v>25</v>
      </c>
      <c r="AL2129" s="5">
        <f t="shared" si="247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2484</v>
      </c>
      <c r="J2130" s="2" t="s">
        <v>3132</v>
      </c>
      <c r="K2130" s="2">
        <v>965864665</v>
      </c>
      <c r="L2130" s="2" t="s">
        <v>345</v>
      </c>
      <c r="M2130" s="2" t="s">
        <v>81</v>
      </c>
      <c r="O2130" s="2" t="s">
        <v>3136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6"/>
        <v>0.46612272727272724</v>
      </c>
      <c r="Z2130" s="2" t="s">
        <v>3237</v>
      </c>
      <c r="AA2130" s="2" t="s">
        <v>76</v>
      </c>
      <c r="AB2130" s="2" t="s">
        <v>77</v>
      </c>
      <c r="AC2130" s="2" t="s">
        <v>78</v>
      </c>
      <c r="AF2130" s="2">
        <f t="shared" si="248"/>
        <v>0</v>
      </c>
      <c r="AG2130" s="2">
        <v>117.453</v>
      </c>
      <c r="AH2130" s="2">
        <v>220</v>
      </c>
      <c r="AJ2130" s="2">
        <f t="shared" si="249"/>
        <v>0</v>
      </c>
      <c r="AK2130" s="2">
        <f t="shared" si="250"/>
        <v>102.547</v>
      </c>
      <c r="AL2130" s="5">
        <f t="shared" si="247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2484</v>
      </c>
      <c r="J2131" s="2" t="s">
        <v>3132</v>
      </c>
      <c r="K2131" s="2">
        <v>965864665</v>
      </c>
      <c r="L2131" s="2" t="s">
        <v>345</v>
      </c>
      <c r="M2131" s="2" t="s">
        <v>81</v>
      </c>
      <c r="O2131" s="2" t="s">
        <v>3136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1">(T2131-W2131)/T2131</f>
        <v>0</v>
      </c>
      <c r="Z2131" s="2" t="s">
        <v>3237</v>
      </c>
      <c r="AA2131" s="2" t="s">
        <v>97</v>
      </c>
      <c r="AB2131" s="2" t="s">
        <v>77</v>
      </c>
      <c r="AC2131" s="2" t="s">
        <v>94</v>
      </c>
      <c r="AF2131" s="2">
        <f t="shared" si="248"/>
        <v>0</v>
      </c>
      <c r="AJ2131" s="2">
        <f t="shared" si="249"/>
        <v>0</v>
      </c>
      <c r="AK2131" s="2">
        <f t="shared" si="250"/>
        <v>0</v>
      </c>
      <c r="AL2131" s="5">
        <f t="shared" si="247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1"/>
        <v>0.29692307692307701</v>
      </c>
      <c r="Z2132" s="2" t="s">
        <v>3237</v>
      </c>
      <c r="AA2132" s="2" t="s">
        <v>46</v>
      </c>
      <c r="AB2132" s="2" t="s">
        <v>61</v>
      </c>
      <c r="AC2132" s="2" t="s">
        <v>58</v>
      </c>
      <c r="AF2132" s="2">
        <f t="shared" si="248"/>
        <v>0</v>
      </c>
      <c r="AG2132" s="2">
        <v>9.14</v>
      </c>
      <c r="AH2132" s="2">
        <v>16</v>
      </c>
      <c r="AJ2132" s="2">
        <f t="shared" si="249"/>
        <v>0</v>
      </c>
      <c r="AK2132" s="2">
        <f t="shared" si="250"/>
        <v>3.8600000000000012</v>
      </c>
      <c r="AL2132" s="5">
        <f t="shared" si="247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1"/>
        <v>0.43096969696969695</v>
      </c>
      <c r="Z2133" s="2" t="s">
        <v>3237</v>
      </c>
      <c r="AA2133" s="2" t="s">
        <v>46</v>
      </c>
      <c r="AB2133" s="2" t="s">
        <v>61</v>
      </c>
      <c r="AC2133" s="2" t="s">
        <v>58</v>
      </c>
      <c r="AF2133" s="2">
        <f t="shared" si="248"/>
        <v>0</v>
      </c>
      <c r="AG2133" s="2">
        <v>3.7555999999999998</v>
      </c>
      <c r="AH2133" s="2">
        <v>7.2</v>
      </c>
      <c r="AJ2133" s="2">
        <f t="shared" si="249"/>
        <v>0</v>
      </c>
      <c r="AK2133" s="2">
        <f t="shared" si="250"/>
        <v>11.377599999999999</v>
      </c>
      <c r="AL2133" s="5">
        <f t="shared" si="247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1"/>
        <v>1</v>
      </c>
      <c r="Z2134" s="2" t="s">
        <v>170</v>
      </c>
      <c r="AA2134" s="2" t="s">
        <v>170</v>
      </c>
      <c r="AF2134" s="2">
        <f t="shared" si="248"/>
        <v>0</v>
      </c>
      <c r="AJ2134" s="2">
        <f t="shared" si="249"/>
        <v>0</v>
      </c>
      <c r="AK2134" s="2">
        <f t="shared" si="250"/>
        <v>5</v>
      </c>
      <c r="AL2134" s="5">
        <f t="shared" si="247"/>
        <v>1</v>
      </c>
    </row>
    <row r="2135" spans="1:38" x14ac:dyDescent="0.2">
      <c r="A2135" s="2">
        <v>2025</v>
      </c>
      <c r="B2135" s="2">
        <v>11</v>
      </c>
      <c r="D2135" s="2" t="s">
        <v>2017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1"/>
        <v>0.6</v>
      </c>
      <c r="Z2135" s="2" t="s">
        <v>118</v>
      </c>
      <c r="AA2135" s="2" t="s">
        <v>191</v>
      </c>
      <c r="AF2135" s="2">
        <f t="shared" si="248"/>
        <v>0</v>
      </c>
      <c r="AJ2135" s="2">
        <f t="shared" si="249"/>
        <v>0</v>
      </c>
      <c r="AK2135" s="2">
        <f t="shared" si="250"/>
        <v>63.599999999999994</v>
      </c>
      <c r="AL2135" s="5">
        <f t="shared" si="247"/>
        <v>0.6</v>
      </c>
    </row>
    <row r="2136" spans="1:38" x14ac:dyDescent="0.2">
      <c r="A2136" s="2">
        <v>2025</v>
      </c>
      <c r="B2136" s="2">
        <v>11</v>
      </c>
      <c r="D2136" s="2" t="s">
        <v>2017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1"/>
        <v>0.5</v>
      </c>
      <c r="Z2136" s="2" t="s">
        <v>118</v>
      </c>
      <c r="AA2136" s="2" t="s">
        <v>191</v>
      </c>
      <c r="AF2136" s="2">
        <f t="shared" si="248"/>
        <v>0</v>
      </c>
      <c r="AJ2136" s="2">
        <f t="shared" si="249"/>
        <v>0</v>
      </c>
      <c r="AK2136" s="2">
        <f t="shared" si="250"/>
        <v>50</v>
      </c>
      <c r="AL2136" s="5">
        <f t="shared" si="247"/>
        <v>0.5</v>
      </c>
    </row>
    <row r="2137" spans="1:38" x14ac:dyDescent="0.2">
      <c r="A2137" s="2">
        <v>2025</v>
      </c>
      <c r="B2137" s="2">
        <v>11</v>
      </c>
      <c r="D2137" s="2" t="s">
        <v>1018</v>
      </c>
      <c r="M2137" s="2" t="s">
        <v>81</v>
      </c>
      <c r="O2137" s="2" t="s">
        <v>2018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1"/>
        <v>0.42634408602150536</v>
      </c>
      <c r="Z2137" s="2" t="s">
        <v>3237</v>
      </c>
      <c r="AA2137" s="2" t="s">
        <v>46</v>
      </c>
      <c r="AB2137" s="2" t="s">
        <v>47</v>
      </c>
      <c r="AC2137" s="2" t="s">
        <v>48</v>
      </c>
      <c r="AF2137" s="2">
        <f t="shared" si="248"/>
        <v>0</v>
      </c>
      <c r="AG2137" s="2">
        <v>10.67</v>
      </c>
      <c r="AH2137" s="2">
        <v>21</v>
      </c>
      <c r="AJ2137" s="2">
        <f t="shared" si="249"/>
        <v>0</v>
      </c>
      <c r="AK2137" s="2">
        <f t="shared" si="250"/>
        <v>47.58</v>
      </c>
      <c r="AL2137" s="5">
        <f t="shared" si="247"/>
        <v>0.42634408602150536</v>
      </c>
    </row>
    <row r="2138" spans="1:38" x14ac:dyDescent="0.2">
      <c r="A2138" s="2">
        <v>2025</v>
      </c>
      <c r="B2138" s="2">
        <v>11</v>
      </c>
      <c r="D2138" s="2" t="s">
        <v>1018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1"/>
        <v>0.52105128205128204</v>
      </c>
      <c r="Z2138" s="2" t="s">
        <v>3237</v>
      </c>
      <c r="AA2138" s="2" t="s">
        <v>46</v>
      </c>
      <c r="AB2138" s="2" t="s">
        <v>47</v>
      </c>
      <c r="AC2138" s="2" t="s">
        <v>48</v>
      </c>
      <c r="AF2138" s="2">
        <f t="shared" si="248"/>
        <v>0</v>
      </c>
      <c r="AG2138" s="2">
        <v>3.7357999999999998</v>
      </c>
      <c r="AH2138" s="2">
        <v>9</v>
      </c>
      <c r="AJ2138" s="2">
        <f t="shared" si="249"/>
        <v>0</v>
      </c>
      <c r="AK2138" s="2">
        <f t="shared" si="250"/>
        <v>24.385199999999998</v>
      </c>
      <c r="AL2138" s="5">
        <f t="shared" si="247"/>
        <v>0.52105128205128204</v>
      </c>
    </row>
    <row r="2139" spans="1:38" x14ac:dyDescent="0.2">
      <c r="A2139" s="2">
        <v>2025</v>
      </c>
      <c r="B2139" s="2">
        <v>11</v>
      </c>
      <c r="D2139" s="2" t="s">
        <v>1018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1"/>
        <v>0.43104924242424236</v>
      </c>
      <c r="Z2139" s="2" t="s">
        <v>3237</v>
      </c>
      <c r="AA2139" s="2" t="s">
        <v>46</v>
      </c>
      <c r="AB2139" s="2" t="s">
        <v>68</v>
      </c>
      <c r="AC2139" s="2" t="s">
        <v>58</v>
      </c>
      <c r="AF2139" s="2">
        <f t="shared" si="248"/>
        <v>0</v>
      </c>
      <c r="AG2139" s="2">
        <v>15.020300000000001</v>
      </c>
      <c r="AH2139" s="2">
        <v>27.6</v>
      </c>
      <c r="AJ2139" s="2">
        <f t="shared" si="249"/>
        <v>0</v>
      </c>
      <c r="AK2139" s="2">
        <f t="shared" si="250"/>
        <v>11.379699999999998</v>
      </c>
      <c r="AL2139" s="5">
        <f t="shared" si="247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1"/>
        <v>0.52105128205128204</v>
      </c>
      <c r="Z2140" s="2" t="s">
        <v>3237</v>
      </c>
      <c r="AA2140" s="2" t="s">
        <v>46</v>
      </c>
      <c r="AB2140" s="2" t="s">
        <v>47</v>
      </c>
      <c r="AC2140" s="2" t="s">
        <v>48</v>
      </c>
      <c r="AF2140" s="2">
        <f t="shared" si="248"/>
        <v>0</v>
      </c>
      <c r="AG2140" s="2">
        <v>3.7357999999999998</v>
      </c>
      <c r="AH2140" s="2">
        <v>9</v>
      </c>
      <c r="AJ2140" s="2">
        <f t="shared" si="249"/>
        <v>0</v>
      </c>
      <c r="AK2140" s="2">
        <f t="shared" si="250"/>
        <v>4.0641999999999996</v>
      </c>
      <c r="AL2140" s="5">
        <f t="shared" si="247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1"/>
        <v>0.41111111111111115</v>
      </c>
      <c r="Z2141" s="2" t="s">
        <v>3237</v>
      </c>
      <c r="AA2141" s="2" t="s">
        <v>46</v>
      </c>
      <c r="AB2141" s="2" t="s">
        <v>57</v>
      </c>
      <c r="AC2141" s="2" t="s">
        <v>58</v>
      </c>
      <c r="AF2141" s="2">
        <f t="shared" si="248"/>
        <v>0</v>
      </c>
      <c r="AG2141" s="2">
        <v>10.6</v>
      </c>
      <c r="AH2141" s="2">
        <v>18</v>
      </c>
      <c r="AJ2141" s="2">
        <f t="shared" si="249"/>
        <v>0</v>
      </c>
      <c r="AK2141" s="2">
        <f t="shared" si="250"/>
        <v>7.4</v>
      </c>
      <c r="AL2141" s="5">
        <f t="shared" si="247"/>
        <v>0.41111111111111115</v>
      </c>
    </row>
    <row r="2142" spans="1:38" x14ac:dyDescent="0.2">
      <c r="A2142" s="2">
        <v>2025</v>
      </c>
      <c r="B2142" s="2">
        <v>11</v>
      </c>
      <c r="D2142" s="2" t="s">
        <v>1377</v>
      </c>
      <c r="P2142" s="2" t="s">
        <v>115</v>
      </c>
      <c r="Q2142" s="2" t="s">
        <v>2019</v>
      </c>
      <c r="R2142" s="2" t="s">
        <v>2020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1"/>
        <v>1</v>
      </c>
      <c r="AF2142" s="2">
        <f t="shared" si="248"/>
        <v>0</v>
      </c>
      <c r="AJ2142" s="2">
        <f t="shared" si="249"/>
        <v>0</v>
      </c>
      <c r="AK2142" s="2">
        <f t="shared" si="250"/>
        <v>24.68</v>
      </c>
      <c r="AL2142" s="5">
        <f t="shared" si="247"/>
        <v>1</v>
      </c>
    </row>
    <row r="2143" spans="1:38" x14ac:dyDescent="0.2">
      <c r="A2143" s="2">
        <v>2025</v>
      </c>
      <c r="B2143" s="2">
        <v>11</v>
      </c>
      <c r="D2143" s="2" t="s">
        <v>1377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1"/>
        <v>1</v>
      </c>
      <c r="Z2143" s="2" t="s">
        <v>118</v>
      </c>
      <c r="AA2143" s="2" t="s">
        <v>318</v>
      </c>
      <c r="AF2143" s="2">
        <f t="shared" si="248"/>
        <v>0</v>
      </c>
      <c r="AJ2143" s="2">
        <f t="shared" si="249"/>
        <v>0</v>
      </c>
      <c r="AK2143" s="2">
        <f t="shared" si="250"/>
        <v>929</v>
      </c>
      <c r="AL2143" s="5">
        <f t="shared" si="247"/>
        <v>1</v>
      </c>
    </row>
    <row r="2144" spans="1:38" x14ac:dyDescent="0.2">
      <c r="A2144" s="2">
        <v>2025</v>
      </c>
      <c r="B2144" s="2">
        <v>11</v>
      </c>
      <c r="D2144" s="2" t="s">
        <v>1377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1"/>
        <v>0.6</v>
      </c>
      <c r="Z2144" s="2" t="s">
        <v>118</v>
      </c>
      <c r="AA2144" s="2" t="s">
        <v>191</v>
      </c>
      <c r="AF2144" s="2">
        <f t="shared" si="248"/>
        <v>0</v>
      </c>
      <c r="AJ2144" s="2">
        <f t="shared" si="249"/>
        <v>0</v>
      </c>
      <c r="AK2144" s="2">
        <f t="shared" si="250"/>
        <v>32.4</v>
      </c>
      <c r="AL2144" s="5">
        <f t="shared" si="247"/>
        <v>0.6</v>
      </c>
    </row>
    <row r="2145" spans="1:38" x14ac:dyDescent="0.2">
      <c r="A2145" s="2">
        <v>2025</v>
      </c>
      <c r="B2145" s="2">
        <v>11</v>
      </c>
      <c r="D2145" s="2" t="s">
        <v>1377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8"/>
        <v>0</v>
      </c>
      <c r="AJ2145" s="2">
        <f t="shared" si="249"/>
        <v>0</v>
      </c>
      <c r="AK2145" s="2">
        <f t="shared" si="25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1377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1"/>
        <v>#DIV/0!</v>
      </c>
      <c r="Z2146" s="2" t="s">
        <v>118</v>
      </c>
      <c r="AA2146" s="2" t="s">
        <v>318</v>
      </c>
      <c r="AF2146" s="2">
        <f t="shared" si="248"/>
        <v>0</v>
      </c>
      <c r="AJ2146" s="2">
        <f t="shared" si="249"/>
        <v>0</v>
      </c>
      <c r="AK2146" s="2">
        <f t="shared" si="250"/>
        <v>0</v>
      </c>
      <c r="AL2146" s="5" t="e">
        <f t="shared" si="247"/>
        <v>#DIV/0!</v>
      </c>
    </row>
    <row r="2147" spans="1:38" x14ac:dyDescent="0.2">
      <c r="A2147" s="2">
        <v>2025</v>
      </c>
      <c r="B2147" s="2">
        <v>11</v>
      </c>
      <c r="D2147" s="2" t="s">
        <v>1560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1561</v>
      </c>
      <c r="J2147" s="2" t="s">
        <v>1562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1"/>
        <v>0.13</v>
      </c>
      <c r="Z2147" s="2" t="s">
        <v>3237</v>
      </c>
      <c r="AA2147" s="2" t="s">
        <v>46</v>
      </c>
      <c r="AB2147" s="2" t="s">
        <v>61</v>
      </c>
      <c r="AC2147" s="2" t="s">
        <v>3343</v>
      </c>
      <c r="AF2147" s="2">
        <f t="shared" si="248"/>
        <v>0</v>
      </c>
      <c r="AJ2147" s="2">
        <f t="shared" si="249"/>
        <v>0</v>
      </c>
      <c r="AK2147" s="2">
        <f t="shared" si="250"/>
        <v>52</v>
      </c>
      <c r="AL2147" s="5">
        <f t="shared" si="247"/>
        <v>0.13</v>
      </c>
    </row>
    <row r="2148" spans="1:38" x14ac:dyDescent="0.2">
      <c r="A2148" s="2">
        <v>2025</v>
      </c>
      <c r="B2148" s="2">
        <v>11</v>
      </c>
      <c r="D2148" s="2" t="s">
        <v>1560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1561</v>
      </c>
      <c r="J2148" s="2" t="s">
        <v>1562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1"/>
        <v>0.13</v>
      </c>
      <c r="Z2148" s="2" t="s">
        <v>3237</v>
      </c>
      <c r="AA2148" s="2" t="s">
        <v>46</v>
      </c>
      <c r="AB2148" s="2" t="s">
        <v>61</v>
      </c>
      <c r="AC2148" s="2" t="s">
        <v>3343</v>
      </c>
      <c r="AF2148" s="2">
        <f t="shared" si="248"/>
        <v>0</v>
      </c>
      <c r="AJ2148" s="2">
        <f t="shared" si="249"/>
        <v>0</v>
      </c>
      <c r="AK2148" s="2">
        <f t="shared" si="250"/>
        <v>52</v>
      </c>
      <c r="AL2148" s="5">
        <f t="shared" si="247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1"/>
        <v>0.13</v>
      </c>
      <c r="Z2149" s="2" t="s">
        <v>3237</v>
      </c>
      <c r="AA2149" s="2" t="s">
        <v>46</v>
      </c>
      <c r="AB2149" s="2" t="s">
        <v>61</v>
      </c>
      <c r="AC2149" s="2" t="s">
        <v>3343</v>
      </c>
      <c r="AF2149" s="2">
        <f t="shared" si="248"/>
        <v>0</v>
      </c>
      <c r="AJ2149" s="2">
        <f t="shared" si="249"/>
        <v>0</v>
      </c>
      <c r="AK2149" s="2">
        <f t="shared" si="250"/>
        <v>26</v>
      </c>
      <c r="AL2149" s="5">
        <f t="shared" si="247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1"/>
        <v>0.13</v>
      </c>
      <c r="Z2150" s="2" t="s">
        <v>3237</v>
      </c>
      <c r="AA2150" s="2" t="s">
        <v>46</v>
      </c>
      <c r="AB2150" s="2" t="s">
        <v>61</v>
      </c>
      <c r="AC2150" s="2" t="s">
        <v>3343</v>
      </c>
      <c r="AF2150" s="2">
        <f t="shared" si="248"/>
        <v>0</v>
      </c>
      <c r="AJ2150" s="2">
        <f t="shared" si="249"/>
        <v>0</v>
      </c>
      <c r="AK2150" s="2">
        <f t="shared" si="250"/>
        <v>26</v>
      </c>
      <c r="AL2150" s="5">
        <f t="shared" si="247"/>
        <v>0.13</v>
      </c>
    </row>
    <row r="2151" spans="1:38" x14ac:dyDescent="0.2">
      <c r="A2151" s="2">
        <v>2025</v>
      </c>
      <c r="B2151" s="2">
        <v>11</v>
      </c>
      <c r="D2151" s="2" t="s">
        <v>1244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1"/>
        <v>0.6</v>
      </c>
      <c r="Z2151" s="2" t="s">
        <v>118</v>
      </c>
      <c r="AA2151" s="2" t="s">
        <v>191</v>
      </c>
      <c r="AF2151" s="2">
        <f t="shared" si="248"/>
        <v>0</v>
      </c>
      <c r="AJ2151" s="2">
        <f t="shared" si="249"/>
        <v>0</v>
      </c>
      <c r="AK2151" s="2">
        <f t="shared" si="250"/>
        <v>30</v>
      </c>
      <c r="AL2151" s="5">
        <f t="shared" si="247"/>
        <v>0.6</v>
      </c>
    </row>
    <row r="2152" spans="1:38" x14ac:dyDescent="0.2">
      <c r="A2152" s="2">
        <v>2025</v>
      </c>
      <c r="B2152" s="2">
        <v>11</v>
      </c>
      <c r="D2152" s="2" t="s">
        <v>1244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1"/>
        <v>0.5</v>
      </c>
      <c r="Z2152" s="2" t="s">
        <v>118</v>
      </c>
      <c r="AA2152" s="2" t="s">
        <v>191</v>
      </c>
      <c r="AF2152" s="2">
        <f t="shared" si="248"/>
        <v>0</v>
      </c>
      <c r="AJ2152" s="2">
        <f t="shared" si="249"/>
        <v>0</v>
      </c>
      <c r="AK2152" s="2">
        <f t="shared" si="250"/>
        <v>37.5</v>
      </c>
      <c r="AL2152" s="5">
        <f t="shared" si="247"/>
        <v>0.5</v>
      </c>
    </row>
    <row r="2153" spans="1:38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2021</v>
      </c>
      <c r="P2153" s="2" t="s">
        <v>43</v>
      </c>
      <c r="Q2153" s="2" t="s">
        <v>2022</v>
      </c>
      <c r="R2153" s="2" t="s">
        <v>2023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1"/>
        <v>0.46969696969696967</v>
      </c>
      <c r="Z2153" s="2" t="s">
        <v>3237</v>
      </c>
      <c r="AA2153" s="2" t="s">
        <v>46</v>
      </c>
      <c r="AB2153" s="2" t="s">
        <v>47</v>
      </c>
      <c r="AC2153" s="2" t="s">
        <v>48</v>
      </c>
      <c r="AF2153" s="2">
        <f t="shared" si="248"/>
        <v>0</v>
      </c>
      <c r="AJ2153" s="2">
        <f t="shared" si="249"/>
        <v>0</v>
      </c>
      <c r="AK2153" s="2">
        <f t="shared" si="250"/>
        <v>6.1999999999999993</v>
      </c>
      <c r="AL2153" s="5">
        <f t="shared" si="247"/>
        <v>0.46969696969696967</v>
      </c>
    </row>
    <row r="2154" spans="1:38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2021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1"/>
        <v>0.45495495495495497</v>
      </c>
      <c r="Z2154" s="2" t="s">
        <v>3237</v>
      </c>
      <c r="AA2154" s="2" t="s">
        <v>46</v>
      </c>
      <c r="AB2154" s="2" t="s">
        <v>47</v>
      </c>
      <c r="AC2154" s="2" t="s">
        <v>48</v>
      </c>
      <c r="AF2154" s="2">
        <f t="shared" si="248"/>
        <v>0</v>
      </c>
      <c r="AJ2154" s="2">
        <f t="shared" si="249"/>
        <v>0</v>
      </c>
      <c r="AK2154" s="2">
        <f t="shared" si="250"/>
        <v>10.1</v>
      </c>
      <c r="AL2154" s="5">
        <f t="shared" si="247"/>
        <v>0.45495495495495497</v>
      </c>
    </row>
    <row r="2155" spans="1:38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2021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1"/>
        <v>0.33243111111111107</v>
      </c>
      <c r="Z2155" s="2" t="s">
        <v>3237</v>
      </c>
      <c r="AA2155" s="2" t="s">
        <v>46</v>
      </c>
      <c r="AB2155" s="2" t="s">
        <v>68</v>
      </c>
      <c r="AC2155" s="2" t="s">
        <v>58</v>
      </c>
      <c r="AF2155" s="2">
        <f t="shared" si="248"/>
        <v>0</v>
      </c>
      <c r="AG2155" s="2">
        <v>15.020300000000001</v>
      </c>
      <c r="AH2155" s="2">
        <v>27.6</v>
      </c>
      <c r="AJ2155" s="2">
        <f t="shared" si="249"/>
        <v>0</v>
      </c>
      <c r="AK2155" s="2">
        <f t="shared" si="250"/>
        <v>14.959399999999999</v>
      </c>
      <c r="AL2155" s="5">
        <f t="shared" si="247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3186</v>
      </c>
      <c r="K2156" s="2">
        <v>911577458</v>
      </c>
      <c r="L2156" s="2" t="s">
        <v>178</v>
      </c>
      <c r="M2156" s="2" t="s">
        <v>41</v>
      </c>
      <c r="O2156" s="2" t="s">
        <v>3189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1"/>
        <v>0.44777500000000003</v>
      </c>
      <c r="Z2156" s="2" t="s">
        <v>3237</v>
      </c>
      <c r="AA2156" s="2" t="s">
        <v>46</v>
      </c>
      <c r="AB2156" s="2" t="s">
        <v>47</v>
      </c>
      <c r="AC2156" s="2" t="s">
        <v>48</v>
      </c>
      <c r="AF2156" s="2">
        <f t="shared" si="248"/>
        <v>0</v>
      </c>
      <c r="AG2156" s="2">
        <v>6.6266999999999996</v>
      </c>
      <c r="AH2156" s="2">
        <v>12</v>
      </c>
      <c r="AJ2156" s="2">
        <f t="shared" si="249"/>
        <v>0</v>
      </c>
      <c r="AK2156" s="2">
        <f t="shared" si="250"/>
        <v>53.733000000000004</v>
      </c>
      <c r="AL2156" s="5">
        <f t="shared" si="247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3186</v>
      </c>
      <c r="K2157" s="2">
        <v>911577458</v>
      </c>
      <c r="L2157" s="2" t="s">
        <v>178</v>
      </c>
      <c r="M2157" s="2" t="s">
        <v>41</v>
      </c>
      <c r="O2157" s="2" t="s">
        <v>3189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1"/>
        <v>0.52105128205128204</v>
      </c>
      <c r="Z2157" s="2" t="s">
        <v>3237</v>
      </c>
      <c r="AA2157" s="2" t="s">
        <v>46</v>
      </c>
      <c r="AB2157" s="2" t="s">
        <v>47</v>
      </c>
      <c r="AC2157" s="2" t="s">
        <v>48</v>
      </c>
      <c r="AF2157" s="2">
        <f t="shared" si="248"/>
        <v>0</v>
      </c>
      <c r="AG2157" s="2">
        <v>3.7357999999999998</v>
      </c>
      <c r="AH2157" s="2">
        <v>9</v>
      </c>
      <c r="AJ2157" s="2">
        <f t="shared" si="249"/>
        <v>0</v>
      </c>
      <c r="AK2157" s="2">
        <f t="shared" si="250"/>
        <v>4.0641999999999996</v>
      </c>
      <c r="AL2157" s="5">
        <f t="shared" si="247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3186</v>
      </c>
      <c r="K2158" s="2">
        <v>911577458</v>
      </c>
      <c r="L2158" s="2" t="s">
        <v>178</v>
      </c>
      <c r="M2158" s="2" t="s">
        <v>41</v>
      </c>
      <c r="O2158" s="2" t="s">
        <v>3189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1"/>
        <v>0.46925333333333336</v>
      </c>
      <c r="Z2158" s="2" t="s">
        <v>3237</v>
      </c>
      <c r="AA2158" s="2" t="s">
        <v>46</v>
      </c>
      <c r="AB2158" s="2" t="s">
        <v>68</v>
      </c>
      <c r="AC2158" s="2" t="s">
        <v>58</v>
      </c>
      <c r="AF2158" s="2">
        <f t="shared" si="248"/>
        <v>0</v>
      </c>
      <c r="AG2158" s="2">
        <v>7.9611999999999998</v>
      </c>
      <c r="AH2158" s="2">
        <v>14.4</v>
      </c>
      <c r="AJ2158" s="2">
        <f t="shared" si="249"/>
        <v>0</v>
      </c>
      <c r="AK2158" s="2">
        <f t="shared" si="250"/>
        <v>7.0388000000000002</v>
      </c>
      <c r="AL2158" s="5">
        <f t="shared" si="247"/>
        <v>0.46925333333333336</v>
      </c>
    </row>
    <row r="2159" spans="1:38" x14ac:dyDescent="0.2">
      <c r="A2159" s="2">
        <v>2025</v>
      </c>
      <c r="B2159" s="2">
        <v>11</v>
      </c>
      <c r="D2159" s="2" t="s">
        <v>2024</v>
      </c>
      <c r="P2159" s="2" t="s">
        <v>283</v>
      </c>
      <c r="Q2159" s="2" t="s">
        <v>1157</v>
      </c>
      <c r="R2159" s="2" t="s">
        <v>1158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1"/>
        <v>0.30476190476190479</v>
      </c>
      <c r="Z2159" s="2" t="s">
        <v>105</v>
      </c>
      <c r="AA2159" s="2" t="s">
        <v>1581</v>
      </c>
      <c r="AB2159" s="2" t="s">
        <v>389</v>
      </c>
      <c r="AC2159" s="2" t="s">
        <v>1331</v>
      </c>
      <c r="AF2159" s="2">
        <f t="shared" si="248"/>
        <v>0</v>
      </c>
      <c r="AJ2159" s="2">
        <f t="shared" si="249"/>
        <v>0</v>
      </c>
      <c r="AK2159" s="2">
        <f t="shared" si="250"/>
        <v>960</v>
      </c>
      <c r="AL2159" s="5">
        <f t="shared" si="247"/>
        <v>0.30476190476190479</v>
      </c>
    </row>
    <row r="2160" spans="1:38" x14ac:dyDescent="0.2">
      <c r="A2160" s="2">
        <v>2025</v>
      </c>
      <c r="B2160" s="2">
        <v>11</v>
      </c>
      <c r="D2160" s="2" t="s">
        <v>2024</v>
      </c>
      <c r="P2160" s="2" t="s">
        <v>283</v>
      </c>
      <c r="Q2160" s="2" t="s">
        <v>1161</v>
      </c>
      <c r="R2160" s="2" t="s">
        <v>1162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1"/>
        <v>#DIV/0!</v>
      </c>
      <c r="AF2160" s="2">
        <f t="shared" si="248"/>
        <v>0</v>
      </c>
      <c r="AJ2160" s="2">
        <f t="shared" si="249"/>
        <v>0</v>
      </c>
      <c r="AK2160" s="2">
        <f t="shared" si="250"/>
        <v>0</v>
      </c>
      <c r="AL2160" s="5" t="e">
        <f t="shared" si="247"/>
        <v>#DIV/0!</v>
      </c>
    </row>
    <row r="2161" spans="1:38" x14ac:dyDescent="0.2">
      <c r="A2161" s="2">
        <v>2025</v>
      </c>
      <c r="B2161" s="2">
        <v>11</v>
      </c>
      <c r="D2161" s="2" t="s">
        <v>2025</v>
      </c>
      <c r="M2161" s="2" t="s">
        <v>40</v>
      </c>
      <c r="P2161" s="2" t="s">
        <v>188</v>
      </c>
      <c r="Q2161" s="2" t="s">
        <v>1312</v>
      </c>
      <c r="R2161" s="2" t="s">
        <v>1313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1"/>
        <v>1</v>
      </c>
      <c r="Z2161" s="2" t="s">
        <v>118</v>
      </c>
      <c r="AA2161" s="2" t="s">
        <v>1314</v>
      </c>
      <c r="AF2161" s="2">
        <f t="shared" si="248"/>
        <v>0</v>
      </c>
      <c r="AJ2161" s="2">
        <f t="shared" si="249"/>
        <v>0</v>
      </c>
      <c r="AK2161" s="2">
        <f t="shared" si="250"/>
        <v>402.77</v>
      </c>
      <c r="AL2161" s="5">
        <f t="shared" si="247"/>
        <v>1</v>
      </c>
    </row>
    <row r="2162" spans="1:38" x14ac:dyDescent="0.2">
      <c r="A2162" s="2">
        <v>2025</v>
      </c>
      <c r="B2162" s="2">
        <v>11</v>
      </c>
      <c r="D2162" s="2" t="s">
        <v>2026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2027</v>
      </c>
      <c r="J2162" s="2" t="s">
        <v>2028</v>
      </c>
      <c r="K2162" s="2">
        <v>966004647</v>
      </c>
      <c r="L2162" s="2" t="s">
        <v>462</v>
      </c>
      <c r="M2162" s="2" t="s">
        <v>81</v>
      </c>
      <c r="O2162" s="2" t="s">
        <v>2029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1"/>
        <v>0.50004784688995219</v>
      </c>
      <c r="Z2162" s="2" t="s">
        <v>3237</v>
      </c>
      <c r="AA2162" s="2" t="s">
        <v>76</v>
      </c>
      <c r="AB2162" s="2" t="s">
        <v>77</v>
      </c>
      <c r="AC2162" s="2" t="s">
        <v>78</v>
      </c>
      <c r="AF2162" s="2">
        <f t="shared" si="248"/>
        <v>0</v>
      </c>
      <c r="AG2162" s="2">
        <v>104.49</v>
      </c>
      <c r="AH2162" s="2">
        <v>220</v>
      </c>
      <c r="AJ2162" s="2">
        <f t="shared" si="249"/>
        <v>0</v>
      </c>
      <c r="AK2162" s="2">
        <f t="shared" si="250"/>
        <v>104.51</v>
      </c>
      <c r="AL2162" s="5">
        <f t="shared" si="247"/>
        <v>0.50004784688995219</v>
      </c>
    </row>
    <row r="2163" spans="1:38" x14ac:dyDescent="0.2">
      <c r="A2163" s="2">
        <v>2025</v>
      </c>
      <c r="B2163" s="2">
        <v>11</v>
      </c>
      <c r="D2163" s="2" t="s">
        <v>2026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1"/>
        <v>0</v>
      </c>
      <c r="Z2163" s="2" t="s">
        <v>3237</v>
      </c>
      <c r="AA2163" s="2" t="s">
        <v>97</v>
      </c>
      <c r="AB2163" s="2" t="s">
        <v>77</v>
      </c>
      <c r="AC2163" s="2" t="s">
        <v>94</v>
      </c>
      <c r="AF2163" s="2">
        <f t="shared" si="248"/>
        <v>0</v>
      </c>
      <c r="AJ2163" s="2">
        <f t="shared" si="249"/>
        <v>0</v>
      </c>
      <c r="AK2163" s="2">
        <f t="shared" si="250"/>
        <v>0</v>
      </c>
      <c r="AL2163" s="5">
        <f t="shared" ref="AL2163:AL2226" si="252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1"/>
        <v>0.59999999999999987</v>
      </c>
      <c r="Z2164" s="2" t="s">
        <v>118</v>
      </c>
      <c r="AA2164" s="2" t="s">
        <v>191</v>
      </c>
      <c r="AF2164" s="2">
        <f t="shared" si="248"/>
        <v>0</v>
      </c>
      <c r="AJ2164" s="2">
        <f t="shared" si="249"/>
        <v>0</v>
      </c>
      <c r="AK2164" s="2">
        <f t="shared" si="250"/>
        <v>129.14999999999998</v>
      </c>
      <c r="AL2164" s="5">
        <f t="shared" si="252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1"/>
        <v>0.5</v>
      </c>
      <c r="Z2165" s="2" t="s">
        <v>118</v>
      </c>
      <c r="AA2165" s="2" t="s">
        <v>191</v>
      </c>
      <c r="AF2165" s="2">
        <f t="shared" si="248"/>
        <v>0</v>
      </c>
      <c r="AJ2165" s="2">
        <f t="shared" si="249"/>
        <v>0</v>
      </c>
      <c r="AK2165" s="2">
        <f t="shared" si="250"/>
        <v>61.875</v>
      </c>
      <c r="AL2165" s="5">
        <f t="shared" si="252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1"/>
        <v>1</v>
      </c>
      <c r="Z2166" s="2" t="s">
        <v>120</v>
      </c>
      <c r="AA2166" s="2" t="s">
        <v>3392</v>
      </c>
      <c r="AF2166" s="2">
        <f t="shared" si="248"/>
        <v>0</v>
      </c>
      <c r="AJ2166" s="2">
        <f t="shared" si="249"/>
        <v>0</v>
      </c>
      <c r="AK2166" s="2">
        <f t="shared" si="250"/>
        <v>268.12</v>
      </c>
      <c r="AL2166" s="5">
        <f t="shared" si="252"/>
        <v>1</v>
      </c>
    </row>
    <row r="2167" spans="1:38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1"/>
        <v>1</v>
      </c>
      <c r="AF2167" s="2">
        <f t="shared" si="248"/>
        <v>0</v>
      </c>
      <c r="AJ2167" s="2">
        <f t="shared" si="249"/>
        <v>0</v>
      </c>
      <c r="AK2167" s="2">
        <f t="shared" si="250"/>
        <v>26.79</v>
      </c>
      <c r="AL2167" s="5">
        <f t="shared" si="252"/>
        <v>1</v>
      </c>
    </row>
    <row r="2168" spans="1:38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1"/>
        <v>0.6</v>
      </c>
      <c r="Z2168" s="2" t="s">
        <v>118</v>
      </c>
      <c r="AA2168" s="2" t="s">
        <v>191</v>
      </c>
      <c r="AF2168" s="2">
        <f t="shared" si="248"/>
        <v>0</v>
      </c>
      <c r="AJ2168" s="2">
        <f t="shared" si="249"/>
        <v>0</v>
      </c>
      <c r="AK2168" s="2">
        <f t="shared" si="250"/>
        <v>59.4</v>
      </c>
      <c r="AL2168" s="5">
        <f t="shared" si="252"/>
        <v>0.6</v>
      </c>
    </row>
    <row r="2169" spans="1:38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1"/>
        <v>0.5</v>
      </c>
      <c r="Z2169" s="2" t="s">
        <v>118</v>
      </c>
      <c r="AA2169" s="2" t="s">
        <v>191</v>
      </c>
      <c r="AF2169" s="2">
        <f t="shared" si="248"/>
        <v>0</v>
      </c>
      <c r="AJ2169" s="2">
        <f t="shared" si="249"/>
        <v>0</v>
      </c>
      <c r="AK2169" s="2">
        <f t="shared" si="250"/>
        <v>25</v>
      </c>
      <c r="AL2169" s="5">
        <f t="shared" si="252"/>
        <v>0.5</v>
      </c>
    </row>
    <row r="2170" spans="1:38" x14ac:dyDescent="0.2">
      <c r="A2170" s="2">
        <v>2025</v>
      </c>
      <c r="B2170" s="2">
        <v>11</v>
      </c>
      <c r="D2170" s="2" t="s">
        <v>1392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1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8"/>
        <v>0</v>
      </c>
      <c r="AJ2170" s="2">
        <f t="shared" si="249"/>
        <v>0</v>
      </c>
      <c r="AK2170" s="2">
        <f t="shared" si="250"/>
        <v>352.72999999999996</v>
      </c>
      <c r="AL2170" s="5">
        <f t="shared" si="252"/>
        <v>0.50440440440440437</v>
      </c>
    </row>
    <row r="2171" spans="1:38" x14ac:dyDescent="0.2">
      <c r="A2171" s="2">
        <v>2025</v>
      </c>
      <c r="B2171" s="2">
        <v>11</v>
      </c>
      <c r="D2171" s="2" t="s">
        <v>1392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1"/>
        <v>0.6</v>
      </c>
      <c r="Z2171" s="2" t="s">
        <v>118</v>
      </c>
      <c r="AA2171" s="2" t="s">
        <v>191</v>
      </c>
      <c r="AF2171" s="2">
        <f t="shared" si="248"/>
        <v>0</v>
      </c>
      <c r="AJ2171" s="2">
        <f t="shared" si="249"/>
        <v>0</v>
      </c>
      <c r="AK2171" s="2">
        <f t="shared" si="250"/>
        <v>69</v>
      </c>
      <c r="AL2171" s="5">
        <f t="shared" si="252"/>
        <v>0.6</v>
      </c>
    </row>
    <row r="2172" spans="1:38" x14ac:dyDescent="0.2">
      <c r="A2172" s="2">
        <v>2025</v>
      </c>
      <c r="B2172" s="2">
        <v>11</v>
      </c>
      <c r="D2172" s="2" t="s">
        <v>1392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8"/>
        <v>0</v>
      </c>
      <c r="AJ2172" s="2">
        <f t="shared" si="249"/>
        <v>0</v>
      </c>
      <c r="AK2172" s="2">
        <f t="shared" si="25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2030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1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8"/>
        <v>0</v>
      </c>
      <c r="AJ2173" s="2">
        <f t="shared" si="249"/>
        <v>0</v>
      </c>
      <c r="AK2173" s="2">
        <f t="shared" si="250"/>
        <v>25.908000000000001</v>
      </c>
      <c r="AL2173" s="5">
        <f t="shared" si="252"/>
        <v>0.52927477017364655</v>
      </c>
    </row>
    <row r="2174" spans="1:38" x14ac:dyDescent="0.2">
      <c r="A2174" s="2">
        <v>2025</v>
      </c>
      <c r="B2174" s="2">
        <v>11</v>
      </c>
      <c r="D2174" s="2" t="s">
        <v>2030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1"/>
        <v>0.41111111111111115</v>
      </c>
      <c r="Z2174" s="2" t="s">
        <v>3237</v>
      </c>
      <c r="AA2174" s="2" t="s">
        <v>46</v>
      </c>
      <c r="AB2174" s="2" t="s">
        <v>57</v>
      </c>
      <c r="AC2174" s="2" t="s">
        <v>58</v>
      </c>
      <c r="AF2174" s="2">
        <f t="shared" si="248"/>
        <v>0</v>
      </c>
      <c r="AG2174" s="2">
        <v>10.6</v>
      </c>
      <c r="AH2174" s="2">
        <v>18</v>
      </c>
      <c r="AJ2174" s="2">
        <f t="shared" si="249"/>
        <v>0</v>
      </c>
      <c r="AK2174" s="2">
        <f t="shared" si="250"/>
        <v>14.8</v>
      </c>
      <c r="AL2174" s="5">
        <f t="shared" si="252"/>
        <v>0.41111111111111115</v>
      </c>
    </row>
    <row r="2175" spans="1:38" x14ac:dyDescent="0.2">
      <c r="A2175" s="2">
        <v>2025</v>
      </c>
      <c r="B2175" s="2">
        <v>11</v>
      </c>
      <c r="D2175" s="2" t="s">
        <v>2030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1"/>
        <v>0.36923076923076914</v>
      </c>
      <c r="Z2175" s="2" t="s">
        <v>3237</v>
      </c>
      <c r="AA2175" s="2" t="s">
        <v>46</v>
      </c>
      <c r="AB2175" s="2" t="s">
        <v>61</v>
      </c>
      <c r="AC2175" s="2" t="s">
        <v>58</v>
      </c>
      <c r="AF2175" s="2">
        <f t="shared" si="248"/>
        <v>0</v>
      </c>
      <c r="AG2175" s="2">
        <v>8.1999999999999993</v>
      </c>
      <c r="AH2175" s="2">
        <v>13</v>
      </c>
      <c r="AJ2175" s="2">
        <f t="shared" si="249"/>
        <v>0</v>
      </c>
      <c r="AK2175" s="2">
        <f t="shared" si="250"/>
        <v>4.7999999999999989</v>
      </c>
      <c r="AL2175" s="5">
        <f t="shared" si="252"/>
        <v>0.36923076923076914</v>
      </c>
    </row>
    <row r="2176" spans="1:38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3241</v>
      </c>
      <c r="Q2176" s="2" t="s">
        <v>2031</v>
      </c>
      <c r="R2176" s="2" t="s">
        <v>2032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1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3241</v>
      </c>
      <c r="AF2176" s="2">
        <f t="shared" si="248"/>
        <v>0</v>
      </c>
      <c r="AJ2176" s="2">
        <f t="shared" si="249"/>
        <v>0</v>
      </c>
      <c r="AK2176" s="2">
        <f t="shared" si="250"/>
        <v>5656.84</v>
      </c>
      <c r="AL2176" s="5">
        <f t="shared" si="252"/>
        <v>0.70798998748435549</v>
      </c>
    </row>
    <row r="2177" spans="1:38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3241</v>
      </c>
      <c r="Q2177" s="2" t="s">
        <v>2033</v>
      </c>
      <c r="R2177" s="2" t="s">
        <v>2034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1"/>
        <v>0.64204232464929856</v>
      </c>
      <c r="Z2177" s="2" t="s">
        <v>105</v>
      </c>
      <c r="AA2177" s="2" t="s">
        <v>106</v>
      </c>
      <c r="AB2177" s="2" t="s">
        <v>2035</v>
      </c>
      <c r="AC2177" s="2" t="s">
        <v>3241</v>
      </c>
      <c r="AF2177" s="2">
        <f t="shared" si="248"/>
        <v>0</v>
      </c>
      <c r="AJ2177" s="2">
        <f t="shared" si="249"/>
        <v>0</v>
      </c>
      <c r="AK2177" s="2">
        <f t="shared" si="250"/>
        <v>3203.7911999999997</v>
      </c>
      <c r="AL2177" s="5">
        <f t="shared" si="252"/>
        <v>0.64204232464929856</v>
      </c>
    </row>
    <row r="2178" spans="1:38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1"/>
        <v>0.6</v>
      </c>
      <c r="Z2178" s="2" t="s">
        <v>118</v>
      </c>
      <c r="AA2178" s="2" t="s">
        <v>191</v>
      </c>
      <c r="AF2178" s="2">
        <f t="shared" si="248"/>
        <v>0</v>
      </c>
      <c r="AJ2178" s="2">
        <f t="shared" si="249"/>
        <v>0</v>
      </c>
      <c r="AK2178" s="2">
        <f t="shared" si="250"/>
        <v>30</v>
      </c>
      <c r="AL2178" s="5">
        <f t="shared" si="252"/>
        <v>0.6</v>
      </c>
    </row>
    <row r="2179" spans="1:38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1"/>
        <v>0.5</v>
      </c>
      <c r="Z2179" s="2" t="s">
        <v>118</v>
      </c>
      <c r="AA2179" s="2" t="s">
        <v>191</v>
      </c>
      <c r="AF2179" s="2">
        <f t="shared" ref="AF2179:AF2242" si="253">AJ2179</f>
        <v>0</v>
      </c>
      <c r="AJ2179" s="2">
        <f t="shared" ref="AJ2179:AJ2242" si="254">AI2179*T2179</f>
        <v>0</v>
      </c>
      <c r="AK2179" s="2">
        <f t="shared" ref="AK2179:AK2242" si="255">T2179-W2179</f>
        <v>12.5</v>
      </c>
      <c r="AL2179" s="5">
        <f t="shared" si="252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1"/>
        <v>0.4003181818181818</v>
      </c>
      <c r="Z2180" s="2" t="s">
        <v>3237</v>
      </c>
      <c r="AA2180" s="2" t="s">
        <v>76</v>
      </c>
      <c r="AB2180" s="2" t="s">
        <v>77</v>
      </c>
      <c r="AC2180" s="2" t="s">
        <v>78</v>
      </c>
      <c r="AF2180" s="2">
        <f t="shared" si="253"/>
        <v>0</v>
      </c>
      <c r="AG2180" s="2">
        <v>131.93</v>
      </c>
      <c r="AH2180" s="2">
        <v>220</v>
      </c>
      <c r="AJ2180" s="2">
        <f t="shared" si="254"/>
        <v>0</v>
      </c>
      <c r="AK2180" s="2">
        <f t="shared" si="255"/>
        <v>88.07</v>
      </c>
      <c r="AL2180" s="5">
        <f t="shared" si="252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1"/>
        <v>0</v>
      </c>
      <c r="Z2181" s="2" t="s">
        <v>3237</v>
      </c>
      <c r="AA2181" s="2" t="s">
        <v>97</v>
      </c>
      <c r="AB2181" s="2" t="s">
        <v>77</v>
      </c>
      <c r="AC2181" s="2" t="s">
        <v>94</v>
      </c>
      <c r="AF2181" s="2">
        <f t="shared" si="253"/>
        <v>0</v>
      </c>
      <c r="AJ2181" s="2">
        <f t="shared" si="254"/>
        <v>0</v>
      </c>
      <c r="AK2181" s="2">
        <f t="shared" si="255"/>
        <v>0</v>
      </c>
      <c r="AL2181" s="5">
        <f t="shared" si="252"/>
        <v>0</v>
      </c>
    </row>
    <row r="2182" spans="1:38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2036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1"/>
        <v>0.49025384615384621</v>
      </c>
      <c r="Z2182" s="2" t="s">
        <v>3237</v>
      </c>
      <c r="AA2182" s="2" t="s">
        <v>46</v>
      </c>
      <c r="AB2182" s="2" t="s">
        <v>47</v>
      </c>
      <c r="AC2182" s="2" t="s">
        <v>48</v>
      </c>
      <c r="AF2182" s="2">
        <f t="shared" si="253"/>
        <v>0</v>
      </c>
      <c r="AG2182" s="2">
        <v>6.6266999999999996</v>
      </c>
      <c r="AH2182" s="2">
        <v>12</v>
      </c>
      <c r="AJ2182" s="2">
        <f t="shared" si="254"/>
        <v>0</v>
      </c>
      <c r="AK2182" s="2">
        <f t="shared" si="255"/>
        <v>6.3733000000000004</v>
      </c>
      <c r="AL2182" s="5">
        <f t="shared" si="252"/>
        <v>0.49025384615384621</v>
      </c>
    </row>
    <row r="2183" spans="1:38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2036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1"/>
        <v>0.41111111111111115</v>
      </c>
      <c r="Z2183" s="2" t="s">
        <v>3237</v>
      </c>
      <c r="AA2183" s="2" t="s">
        <v>46</v>
      </c>
      <c r="AB2183" s="2" t="s">
        <v>57</v>
      </c>
      <c r="AC2183" s="2" t="s">
        <v>58</v>
      </c>
      <c r="AF2183" s="2">
        <f t="shared" si="253"/>
        <v>0</v>
      </c>
      <c r="AG2183" s="2">
        <v>10.6</v>
      </c>
      <c r="AH2183" s="2">
        <v>18</v>
      </c>
      <c r="AJ2183" s="2">
        <f t="shared" si="254"/>
        <v>0</v>
      </c>
      <c r="AK2183" s="2">
        <f t="shared" si="255"/>
        <v>14.8</v>
      </c>
      <c r="AL2183" s="5">
        <f t="shared" si="252"/>
        <v>0.41111111111111115</v>
      </c>
    </row>
    <row r="2184" spans="1:38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2036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1"/>
        <v>0.36923076923076914</v>
      </c>
      <c r="Z2184" s="2" t="s">
        <v>3237</v>
      </c>
      <c r="AA2184" s="2" t="s">
        <v>46</v>
      </c>
      <c r="AB2184" s="2" t="s">
        <v>61</v>
      </c>
      <c r="AC2184" s="2" t="s">
        <v>58</v>
      </c>
      <c r="AF2184" s="2">
        <f t="shared" si="253"/>
        <v>0</v>
      </c>
      <c r="AG2184" s="2">
        <v>8.1999999999999993</v>
      </c>
      <c r="AH2184" s="2">
        <v>13</v>
      </c>
      <c r="AJ2184" s="2">
        <f t="shared" si="254"/>
        <v>0</v>
      </c>
      <c r="AK2184" s="2">
        <f t="shared" si="255"/>
        <v>4.7999999999999989</v>
      </c>
      <c r="AL2184" s="5">
        <f t="shared" si="252"/>
        <v>0.36923076923076914</v>
      </c>
    </row>
    <row r="2185" spans="1:38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2036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1"/>
        <v>0.45095172413793105</v>
      </c>
      <c r="Z2185" s="2" t="s">
        <v>3237</v>
      </c>
      <c r="AA2185" s="2" t="s">
        <v>46</v>
      </c>
      <c r="AB2185" s="2" t="s">
        <v>68</v>
      </c>
      <c r="AC2185" s="2" t="s">
        <v>58</v>
      </c>
      <c r="AF2185" s="2">
        <f t="shared" si="253"/>
        <v>0</v>
      </c>
      <c r="AG2185" s="2">
        <v>7.9611999999999998</v>
      </c>
      <c r="AH2185" s="2">
        <v>14.4</v>
      </c>
      <c r="AJ2185" s="2">
        <f t="shared" si="254"/>
        <v>0</v>
      </c>
      <c r="AK2185" s="2">
        <f t="shared" si="255"/>
        <v>6.5388000000000002</v>
      </c>
      <c r="AL2185" s="5">
        <f t="shared" si="252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1"/>
        <v>0.46612272727272724</v>
      </c>
      <c r="Z2186" s="2" t="s">
        <v>3237</v>
      </c>
      <c r="AA2186" s="2" t="s">
        <v>76</v>
      </c>
      <c r="AB2186" s="2" t="s">
        <v>77</v>
      </c>
      <c r="AC2186" s="2" t="s">
        <v>78</v>
      </c>
      <c r="AF2186" s="2">
        <f t="shared" si="253"/>
        <v>0</v>
      </c>
      <c r="AG2186" s="2">
        <v>117.453</v>
      </c>
      <c r="AH2186" s="2">
        <v>220</v>
      </c>
      <c r="AJ2186" s="2">
        <f t="shared" si="254"/>
        <v>0</v>
      </c>
      <c r="AK2186" s="2">
        <f t="shared" si="255"/>
        <v>102.547</v>
      </c>
      <c r="AL2186" s="5">
        <f t="shared" si="252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1041</v>
      </c>
      <c r="Q2187" s="2" t="s">
        <v>2037</v>
      </c>
      <c r="R2187" s="2" t="s">
        <v>2038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1"/>
        <v>0.32147285143565629</v>
      </c>
      <c r="Z2187" s="2" t="s">
        <v>3237</v>
      </c>
      <c r="AA2187" s="2" t="s">
        <v>1044</v>
      </c>
      <c r="AB2187" s="2" t="s">
        <v>2039</v>
      </c>
      <c r="AC2187" s="2" t="s">
        <v>1041</v>
      </c>
      <c r="AF2187" s="2">
        <f t="shared" si="253"/>
        <v>0</v>
      </c>
      <c r="AJ2187" s="2">
        <f t="shared" si="254"/>
        <v>0</v>
      </c>
      <c r="AK2187" s="2">
        <f t="shared" si="255"/>
        <v>163.35000000000002</v>
      </c>
      <c r="AL2187" s="5">
        <f t="shared" si="252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1041</v>
      </c>
      <c r="Q2188" s="2" t="s">
        <v>2040</v>
      </c>
      <c r="R2188" s="2" t="s">
        <v>2041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1"/>
        <v>0.30084820813571334</v>
      </c>
      <c r="Z2188" s="2" t="s">
        <v>3237</v>
      </c>
      <c r="AA2188" s="2" t="s">
        <v>1044</v>
      </c>
      <c r="AB2188" s="2" t="s">
        <v>2039</v>
      </c>
      <c r="AC2188" s="2" t="s">
        <v>1041</v>
      </c>
      <c r="AF2188" s="2">
        <f t="shared" si="253"/>
        <v>0</v>
      </c>
      <c r="AJ2188" s="2">
        <f t="shared" si="254"/>
        <v>0</v>
      </c>
      <c r="AK2188" s="2">
        <f t="shared" si="255"/>
        <v>152.87</v>
      </c>
      <c r="AL2188" s="5">
        <f t="shared" si="252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1"/>
        <v>0.59999999999999987</v>
      </c>
      <c r="Z2189" s="2" t="s">
        <v>118</v>
      </c>
      <c r="AA2189" s="2" t="s">
        <v>191</v>
      </c>
      <c r="AF2189" s="2">
        <f t="shared" si="253"/>
        <v>0</v>
      </c>
      <c r="AJ2189" s="2">
        <f t="shared" si="254"/>
        <v>0</v>
      </c>
      <c r="AK2189" s="2">
        <f t="shared" si="255"/>
        <v>76.199999999999989</v>
      </c>
      <c r="AL2189" s="5">
        <f t="shared" si="252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1"/>
        <v>0.5</v>
      </c>
      <c r="Z2190" s="2" t="s">
        <v>118</v>
      </c>
      <c r="AA2190" s="2" t="s">
        <v>191</v>
      </c>
      <c r="AF2190" s="2">
        <f t="shared" si="253"/>
        <v>0</v>
      </c>
      <c r="AJ2190" s="2">
        <f t="shared" si="254"/>
        <v>0</v>
      </c>
      <c r="AK2190" s="2">
        <f t="shared" si="255"/>
        <v>25</v>
      </c>
      <c r="AL2190" s="5">
        <f t="shared" si="252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1"/>
        <v>0</v>
      </c>
      <c r="Z2191" s="2" t="s">
        <v>3237</v>
      </c>
      <c r="AA2191" s="2" t="s">
        <v>97</v>
      </c>
      <c r="AB2191" s="2" t="s">
        <v>77</v>
      </c>
      <c r="AC2191" s="2" t="s">
        <v>94</v>
      </c>
      <c r="AF2191" s="2">
        <f t="shared" si="253"/>
        <v>0</v>
      </c>
      <c r="AJ2191" s="2">
        <f t="shared" si="254"/>
        <v>0</v>
      </c>
      <c r="AK2191" s="2">
        <f t="shared" si="255"/>
        <v>0</v>
      </c>
      <c r="AL2191" s="5">
        <f t="shared" si="252"/>
        <v>0</v>
      </c>
    </row>
    <row r="2192" spans="1:38" x14ac:dyDescent="0.2">
      <c r="A2192" s="2">
        <v>2025</v>
      </c>
      <c r="B2192" s="2">
        <v>11</v>
      </c>
      <c r="D2192" s="2" t="s">
        <v>2042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1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3"/>
        <v>0</v>
      </c>
      <c r="AJ2192" s="2">
        <f t="shared" si="254"/>
        <v>0</v>
      </c>
      <c r="AK2192" s="2">
        <f t="shared" si="255"/>
        <v>354.09659999999997</v>
      </c>
      <c r="AL2192" s="5">
        <f t="shared" si="252"/>
        <v>0.50635864435864431</v>
      </c>
    </row>
    <row r="2193" spans="1:38" x14ac:dyDescent="0.2">
      <c r="A2193" s="2">
        <v>2025</v>
      </c>
      <c r="B2193" s="2">
        <v>11</v>
      </c>
      <c r="D2193" s="2" t="s">
        <v>2042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1"/>
        <v>0.6</v>
      </c>
      <c r="Z2193" s="2" t="s">
        <v>118</v>
      </c>
      <c r="AA2193" s="2" t="s">
        <v>191</v>
      </c>
      <c r="AF2193" s="2">
        <f t="shared" si="253"/>
        <v>0</v>
      </c>
      <c r="AJ2193" s="2">
        <f t="shared" si="254"/>
        <v>0</v>
      </c>
      <c r="AK2193" s="2">
        <f t="shared" si="255"/>
        <v>30</v>
      </c>
      <c r="AL2193" s="5">
        <f t="shared" si="252"/>
        <v>0.6</v>
      </c>
    </row>
    <row r="2194" spans="1:38" x14ac:dyDescent="0.2">
      <c r="A2194" s="2">
        <v>2025</v>
      </c>
      <c r="B2194" s="2">
        <v>11</v>
      </c>
      <c r="D2194" s="2" t="s">
        <v>2042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1"/>
        <v>0.5</v>
      </c>
      <c r="Z2194" s="2" t="s">
        <v>118</v>
      </c>
      <c r="AA2194" s="2" t="s">
        <v>191</v>
      </c>
      <c r="AF2194" s="2">
        <f t="shared" si="253"/>
        <v>0</v>
      </c>
      <c r="AJ2194" s="2">
        <f t="shared" si="254"/>
        <v>0</v>
      </c>
      <c r="AK2194" s="2">
        <f t="shared" si="255"/>
        <v>25</v>
      </c>
      <c r="AL2194" s="5">
        <f t="shared" si="252"/>
        <v>0.5</v>
      </c>
    </row>
    <row r="2195" spans="1:38" x14ac:dyDescent="0.2">
      <c r="A2195" s="2">
        <v>2025</v>
      </c>
      <c r="B2195" s="2">
        <v>11</v>
      </c>
      <c r="D2195" s="2" t="s">
        <v>1915</v>
      </c>
      <c r="P2195" s="2" t="s">
        <v>283</v>
      </c>
      <c r="Q2195" s="2" t="s">
        <v>1554</v>
      </c>
      <c r="R2195" s="2" t="s">
        <v>1555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6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3"/>
        <v>0</v>
      </c>
      <c r="AJ2195" s="2">
        <f t="shared" si="254"/>
        <v>0</v>
      </c>
      <c r="AK2195" s="2">
        <f t="shared" si="255"/>
        <v>298</v>
      </c>
      <c r="AL2195" s="5">
        <f t="shared" si="252"/>
        <v>0.50084033613445378</v>
      </c>
    </row>
    <row r="2196" spans="1:38" x14ac:dyDescent="0.2">
      <c r="A2196" s="2">
        <v>2025</v>
      </c>
      <c r="B2196" s="2">
        <v>11</v>
      </c>
      <c r="D2196" s="2" t="s">
        <v>1915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3237</v>
      </c>
      <c r="AA2196" s="2" t="s">
        <v>46</v>
      </c>
      <c r="AB2196" s="2" t="s">
        <v>61</v>
      </c>
      <c r="AC2196" s="2" t="s">
        <v>3343</v>
      </c>
      <c r="AF2196" s="2">
        <f t="shared" si="253"/>
        <v>0</v>
      </c>
      <c r="AJ2196" s="2">
        <f t="shared" si="254"/>
        <v>0</v>
      </c>
      <c r="AK2196" s="2">
        <f t="shared" si="255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1722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6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3"/>
        <v>0</v>
      </c>
      <c r="AJ2197" s="2">
        <f t="shared" si="254"/>
        <v>0</v>
      </c>
      <c r="AK2197" s="2">
        <f t="shared" si="255"/>
        <v>354.09659999999997</v>
      </c>
      <c r="AL2197" s="5">
        <f t="shared" si="252"/>
        <v>0.50635864435864431</v>
      </c>
    </row>
    <row r="2198" spans="1:38" x14ac:dyDescent="0.2">
      <c r="A2198" s="2">
        <v>2025</v>
      </c>
      <c r="B2198" s="2">
        <v>11</v>
      </c>
      <c r="D2198" s="2" t="s">
        <v>1722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6"/>
        <v>0.6</v>
      </c>
      <c r="Z2198" s="2" t="s">
        <v>118</v>
      </c>
      <c r="AA2198" s="2" t="s">
        <v>191</v>
      </c>
      <c r="AF2198" s="2">
        <f t="shared" si="253"/>
        <v>0</v>
      </c>
      <c r="AJ2198" s="2">
        <f t="shared" si="254"/>
        <v>0</v>
      </c>
      <c r="AK2198" s="2">
        <f t="shared" si="255"/>
        <v>59.4</v>
      </c>
      <c r="AL2198" s="5">
        <f t="shared" si="252"/>
        <v>0.6</v>
      </c>
    </row>
    <row r="2199" spans="1:38" x14ac:dyDescent="0.2">
      <c r="A2199" s="2">
        <v>2025</v>
      </c>
      <c r="B2199" s="2">
        <v>11</v>
      </c>
      <c r="D2199" s="2" t="s">
        <v>1722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6"/>
        <v>0.5</v>
      </c>
      <c r="Z2199" s="2" t="s">
        <v>118</v>
      </c>
      <c r="AA2199" s="2" t="s">
        <v>191</v>
      </c>
      <c r="AF2199" s="2">
        <f t="shared" si="253"/>
        <v>0</v>
      </c>
      <c r="AJ2199" s="2">
        <f t="shared" si="254"/>
        <v>0</v>
      </c>
      <c r="AK2199" s="2">
        <f t="shared" si="255"/>
        <v>25</v>
      </c>
      <c r="AL2199" s="5">
        <f t="shared" si="252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1440</v>
      </c>
      <c r="R2200" s="2" t="s">
        <v>1441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6"/>
        <v>0.35000000000000003</v>
      </c>
      <c r="Z2200" s="2" t="s">
        <v>3237</v>
      </c>
      <c r="AA2200" s="2" t="s">
        <v>72</v>
      </c>
      <c r="AB2200" s="2" t="s">
        <v>120</v>
      </c>
      <c r="AC2200" s="2" t="s">
        <v>120</v>
      </c>
      <c r="AF2200" s="2">
        <f t="shared" si="253"/>
        <v>0</v>
      </c>
      <c r="AJ2200" s="2">
        <f t="shared" si="254"/>
        <v>0</v>
      </c>
      <c r="AK2200" s="2">
        <f t="shared" si="255"/>
        <v>5.5300000000000011</v>
      </c>
      <c r="AL2200" s="5">
        <f t="shared" si="252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6"/>
        <v>1</v>
      </c>
      <c r="Z2201" s="2" t="s">
        <v>120</v>
      </c>
      <c r="AA2201" s="2" t="s">
        <v>493</v>
      </c>
      <c r="AF2201" s="2">
        <f t="shared" si="253"/>
        <v>0</v>
      </c>
      <c r="AJ2201" s="2">
        <f t="shared" si="254"/>
        <v>0</v>
      </c>
      <c r="AK2201" s="2">
        <f t="shared" si="255"/>
        <v>664.04</v>
      </c>
      <c r="AL2201" s="5">
        <f t="shared" si="252"/>
        <v>1</v>
      </c>
    </row>
    <row r="2202" spans="1:38" x14ac:dyDescent="0.2">
      <c r="A2202" s="2">
        <v>2025</v>
      </c>
      <c r="B2202" s="2">
        <v>11</v>
      </c>
      <c r="D2202" s="2" t="s">
        <v>1403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6"/>
        <v>1</v>
      </c>
      <c r="AF2202" s="2">
        <f t="shared" si="253"/>
        <v>0</v>
      </c>
      <c r="AJ2202" s="2">
        <f t="shared" si="254"/>
        <v>0</v>
      </c>
      <c r="AK2202" s="2">
        <f t="shared" si="255"/>
        <v>725.58</v>
      </c>
      <c r="AL2202" s="5">
        <f t="shared" si="252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2043</v>
      </c>
      <c r="R2203" s="2" t="s">
        <v>2044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6"/>
        <v>1</v>
      </c>
      <c r="Z2203" s="2" t="s">
        <v>3237</v>
      </c>
      <c r="AF2203" s="2">
        <f t="shared" si="253"/>
        <v>0</v>
      </c>
      <c r="AJ2203" s="2">
        <f t="shared" si="254"/>
        <v>0</v>
      </c>
      <c r="AK2203" s="2">
        <f t="shared" si="255"/>
        <v>18.5</v>
      </c>
      <c r="AL2203" s="5">
        <f t="shared" si="252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6"/>
        <v>0.30400000000000005</v>
      </c>
      <c r="Z2204" s="2" t="s">
        <v>3237</v>
      </c>
      <c r="AA2204" s="2" t="s">
        <v>46</v>
      </c>
      <c r="AB2204" s="2" t="s">
        <v>61</v>
      </c>
      <c r="AC2204" s="2" t="s">
        <v>3343</v>
      </c>
      <c r="AF2204" s="2">
        <f t="shared" si="253"/>
        <v>0</v>
      </c>
      <c r="AJ2204" s="2">
        <f t="shared" si="254"/>
        <v>0</v>
      </c>
      <c r="AK2204" s="2">
        <f t="shared" si="255"/>
        <v>60.800000000000011</v>
      </c>
      <c r="AL2204" s="5">
        <f t="shared" si="252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1362</v>
      </c>
      <c r="Q2205" s="2" t="s">
        <v>1363</v>
      </c>
      <c r="R2205" s="2" t="s">
        <v>1364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6"/>
        <v>1</v>
      </c>
      <c r="Z2205" s="2" t="s">
        <v>3237</v>
      </c>
      <c r="AF2205" s="2">
        <f t="shared" si="253"/>
        <v>0</v>
      </c>
      <c r="AJ2205" s="2">
        <f t="shared" si="254"/>
        <v>0</v>
      </c>
      <c r="AK2205" s="2">
        <f t="shared" si="255"/>
        <v>80</v>
      </c>
      <c r="AL2205" s="5">
        <f t="shared" si="252"/>
        <v>1</v>
      </c>
    </row>
    <row r="2206" spans="1:38" x14ac:dyDescent="0.2">
      <c r="A2206" s="2">
        <v>2025</v>
      </c>
      <c r="B2206" s="2">
        <v>11</v>
      </c>
      <c r="C2206" s="2" t="s">
        <v>3406</v>
      </c>
      <c r="D2206" s="2" t="s">
        <v>1726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1440</v>
      </c>
      <c r="R2206" s="2" t="s">
        <v>1441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6"/>
        <v>0.35000000000000003</v>
      </c>
      <c r="Z2206" s="2" t="s">
        <v>3237</v>
      </c>
      <c r="AA2206" s="2" t="s">
        <v>72</v>
      </c>
      <c r="AB2206" s="2" t="s">
        <v>120</v>
      </c>
      <c r="AC2206" s="2" t="s">
        <v>120</v>
      </c>
      <c r="AF2206" s="2">
        <f t="shared" si="253"/>
        <v>0</v>
      </c>
      <c r="AJ2206" s="2">
        <f t="shared" si="254"/>
        <v>0</v>
      </c>
      <c r="AK2206" s="2">
        <f t="shared" si="255"/>
        <v>8.2949999999999999</v>
      </c>
      <c r="AL2206" s="5">
        <f t="shared" si="252"/>
        <v>0.35000000000000003</v>
      </c>
    </row>
    <row r="2207" spans="1:38" x14ac:dyDescent="0.2">
      <c r="A2207" s="2">
        <v>2025</v>
      </c>
      <c r="B2207" s="2">
        <v>11</v>
      </c>
      <c r="C2207" s="2" t="s">
        <v>3406</v>
      </c>
      <c r="D2207" s="2" t="s">
        <v>1726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2045</v>
      </c>
      <c r="R2207" s="2" t="s">
        <v>2046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6"/>
        <v>0.29908814589665655</v>
      </c>
      <c r="Z2207" s="2" t="s">
        <v>3237</v>
      </c>
      <c r="AA2207" s="2" t="s">
        <v>72</v>
      </c>
      <c r="AB2207" s="2" t="s">
        <v>120</v>
      </c>
      <c r="AC2207" s="2" t="s">
        <v>120</v>
      </c>
      <c r="AF2207" s="2">
        <f t="shared" si="253"/>
        <v>0</v>
      </c>
      <c r="AJ2207" s="2">
        <f t="shared" si="254"/>
        <v>0</v>
      </c>
      <c r="AK2207" s="2">
        <f t="shared" si="255"/>
        <v>9.84</v>
      </c>
      <c r="AL2207" s="5">
        <f t="shared" si="252"/>
        <v>0.29908814589665655</v>
      </c>
    </row>
    <row r="2208" spans="1:38" x14ac:dyDescent="0.2">
      <c r="A2208" s="2">
        <v>2025</v>
      </c>
      <c r="B2208" s="2">
        <v>11</v>
      </c>
      <c r="D2208" s="2" t="s">
        <v>1074</v>
      </c>
      <c r="P2208" s="2" t="s">
        <v>283</v>
      </c>
      <c r="Q2208" s="2" t="s">
        <v>2047</v>
      </c>
      <c r="R2208" s="2" t="s">
        <v>2048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6"/>
        <v>0.27522935779816515</v>
      </c>
      <c r="Z2208" s="2" t="s">
        <v>3237</v>
      </c>
      <c r="AA2208" s="2" t="s">
        <v>72</v>
      </c>
      <c r="AB2208" s="2" t="s">
        <v>120</v>
      </c>
      <c r="AC2208" s="2" t="s">
        <v>120</v>
      </c>
      <c r="AF2208" s="2">
        <f t="shared" si="253"/>
        <v>0</v>
      </c>
      <c r="AJ2208" s="2">
        <f t="shared" si="254"/>
        <v>0</v>
      </c>
      <c r="AK2208" s="2">
        <f t="shared" si="255"/>
        <v>3</v>
      </c>
      <c r="AL2208" s="5">
        <f t="shared" si="252"/>
        <v>0.27522935779816515</v>
      </c>
    </row>
    <row r="2209" spans="1:38" x14ac:dyDescent="0.2">
      <c r="A2209" s="2">
        <v>2025</v>
      </c>
      <c r="B2209" s="2">
        <v>11</v>
      </c>
      <c r="D2209" s="2" t="s">
        <v>1074</v>
      </c>
      <c r="P2209" s="2" t="s">
        <v>283</v>
      </c>
      <c r="Q2209" s="2" t="s">
        <v>2049</v>
      </c>
      <c r="R2209" s="2" t="s">
        <v>2050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6"/>
        <v>1</v>
      </c>
      <c r="Z2209" s="2" t="s">
        <v>3237</v>
      </c>
      <c r="AA2209" s="2" t="s">
        <v>72</v>
      </c>
      <c r="AB2209" s="2" t="s">
        <v>120</v>
      </c>
      <c r="AC2209" s="2" t="s">
        <v>120</v>
      </c>
      <c r="AF2209" s="2">
        <f t="shared" si="253"/>
        <v>0</v>
      </c>
      <c r="AJ2209" s="2">
        <f t="shared" si="254"/>
        <v>0</v>
      </c>
      <c r="AK2209" s="2">
        <f t="shared" si="255"/>
        <v>11.5</v>
      </c>
      <c r="AL2209" s="5">
        <f t="shared" si="252"/>
        <v>1</v>
      </c>
    </row>
    <row r="2210" spans="1:38" x14ac:dyDescent="0.2">
      <c r="A2210" s="2">
        <v>2025</v>
      </c>
      <c r="B2210" s="2">
        <v>11</v>
      </c>
      <c r="D2210" s="2" t="s">
        <v>1074</v>
      </c>
      <c r="P2210" s="2" t="s">
        <v>283</v>
      </c>
      <c r="Q2210" s="2" t="s">
        <v>2051</v>
      </c>
      <c r="R2210" s="2" t="s">
        <v>2052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6"/>
        <v>1</v>
      </c>
      <c r="Z2210" s="2" t="s">
        <v>3237</v>
      </c>
      <c r="AA2210" s="2" t="s">
        <v>72</v>
      </c>
      <c r="AB2210" s="2" t="s">
        <v>120</v>
      </c>
      <c r="AC2210" s="2" t="s">
        <v>120</v>
      </c>
      <c r="AF2210" s="2">
        <f t="shared" si="253"/>
        <v>0</v>
      </c>
      <c r="AJ2210" s="2">
        <f t="shared" si="254"/>
        <v>0</v>
      </c>
      <c r="AK2210" s="2">
        <f t="shared" si="255"/>
        <v>9.9</v>
      </c>
      <c r="AL2210" s="5">
        <f t="shared" si="252"/>
        <v>1</v>
      </c>
    </row>
    <row r="2211" spans="1:38" x14ac:dyDescent="0.2">
      <c r="A2211" s="2">
        <v>2025</v>
      </c>
      <c r="B2211" s="2">
        <v>11</v>
      </c>
      <c r="D2211" s="2" t="s">
        <v>1074</v>
      </c>
      <c r="P2211" s="2" t="s">
        <v>283</v>
      </c>
      <c r="Q2211" s="2" t="s">
        <v>2053</v>
      </c>
      <c r="R2211" s="2" t="s">
        <v>2054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6"/>
        <v>1</v>
      </c>
      <c r="Z2211" s="2" t="s">
        <v>3237</v>
      </c>
      <c r="AA2211" s="2" t="s">
        <v>72</v>
      </c>
      <c r="AB2211" s="2" t="s">
        <v>120</v>
      </c>
      <c r="AC2211" s="2" t="s">
        <v>120</v>
      </c>
      <c r="AF2211" s="2">
        <f t="shared" si="253"/>
        <v>0</v>
      </c>
      <c r="AJ2211" s="2">
        <f t="shared" si="254"/>
        <v>0</v>
      </c>
      <c r="AK2211" s="2">
        <f t="shared" si="255"/>
        <v>9.9</v>
      </c>
      <c r="AL2211" s="5">
        <f t="shared" si="252"/>
        <v>1</v>
      </c>
    </row>
    <row r="2212" spans="1:38" x14ac:dyDescent="0.2">
      <c r="A2212" s="2">
        <v>2025</v>
      </c>
      <c r="B2212" s="2">
        <v>11</v>
      </c>
      <c r="D2212" s="2" t="s">
        <v>2055</v>
      </c>
      <c r="M2212" s="2" t="s">
        <v>81</v>
      </c>
      <c r="O2212" s="2" t="s">
        <v>2056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6"/>
        <v>0.46762608695652175</v>
      </c>
      <c r="Z2212" s="2" t="s">
        <v>3237</v>
      </c>
      <c r="AA2212" s="2" t="s">
        <v>76</v>
      </c>
      <c r="AB2212" s="2" t="s">
        <v>77</v>
      </c>
      <c r="AC2212" s="2" t="s">
        <v>78</v>
      </c>
      <c r="AF2212" s="2">
        <f t="shared" si="253"/>
        <v>0</v>
      </c>
      <c r="AG2212" s="2">
        <v>122.446</v>
      </c>
      <c r="AH2212" s="2">
        <v>230</v>
      </c>
      <c r="AJ2212" s="2">
        <f t="shared" si="254"/>
        <v>0</v>
      </c>
      <c r="AK2212" s="2">
        <f t="shared" si="255"/>
        <v>107.554</v>
      </c>
      <c r="AL2212" s="5">
        <f t="shared" si="252"/>
        <v>0.46762608695652175</v>
      </c>
    </row>
    <row r="2213" spans="1:38" x14ac:dyDescent="0.2">
      <c r="A2213" s="2">
        <v>2025</v>
      </c>
      <c r="B2213" s="2">
        <v>11</v>
      </c>
      <c r="D2213" s="2" t="s">
        <v>2055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6"/>
        <v>0</v>
      </c>
      <c r="Z2213" s="2" t="s">
        <v>3237</v>
      </c>
      <c r="AA2213" s="2" t="s">
        <v>97</v>
      </c>
      <c r="AB2213" s="2" t="s">
        <v>77</v>
      </c>
      <c r="AC2213" s="2" t="s">
        <v>94</v>
      </c>
      <c r="AF2213" s="2">
        <f t="shared" si="253"/>
        <v>0</v>
      </c>
      <c r="AJ2213" s="2">
        <f t="shared" si="254"/>
        <v>0</v>
      </c>
      <c r="AK2213" s="2">
        <f t="shared" si="255"/>
        <v>0</v>
      </c>
      <c r="AL2213" s="5">
        <f t="shared" si="252"/>
        <v>0</v>
      </c>
    </row>
    <row r="2214" spans="1:38" x14ac:dyDescent="0.2">
      <c r="A2214" s="2">
        <v>2025</v>
      </c>
      <c r="B2214" s="2">
        <v>11</v>
      </c>
      <c r="D2214" s="2" t="s">
        <v>2057</v>
      </c>
      <c r="P2214" s="2" t="s">
        <v>115</v>
      </c>
      <c r="Q2214" s="2" t="s">
        <v>2058</v>
      </c>
      <c r="R2214" s="2" t="s">
        <v>2059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6"/>
        <v>1</v>
      </c>
      <c r="AF2214" s="2">
        <f t="shared" si="253"/>
        <v>0</v>
      </c>
      <c r="AJ2214" s="2">
        <f t="shared" si="254"/>
        <v>0</v>
      </c>
      <c r="AK2214" s="2">
        <f t="shared" si="255"/>
        <v>1411.39</v>
      </c>
      <c r="AL2214" s="5">
        <f t="shared" si="252"/>
        <v>1</v>
      </c>
    </row>
    <row r="2215" spans="1:38" x14ac:dyDescent="0.2">
      <c r="A2215" s="2">
        <v>2025</v>
      </c>
      <c r="B2215" s="2">
        <v>11</v>
      </c>
      <c r="D2215" s="2" t="s">
        <v>2060</v>
      </c>
      <c r="P2215" s="2" t="s">
        <v>73</v>
      </c>
      <c r="Q2215" s="2" t="s">
        <v>1078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6"/>
        <v>0.38638461538461544</v>
      </c>
      <c r="Z2215" s="2" t="s">
        <v>3237</v>
      </c>
      <c r="AA2215" s="2" t="s">
        <v>76</v>
      </c>
      <c r="AB2215" s="2" t="s">
        <v>77</v>
      </c>
      <c r="AC2215" s="2" t="s">
        <v>78</v>
      </c>
      <c r="AF2215" s="2">
        <f t="shared" si="253"/>
        <v>0</v>
      </c>
      <c r="AG2215" s="2">
        <f>144.14+15.4</f>
        <v>159.54</v>
      </c>
      <c r="AH2215" s="2">
        <v>280</v>
      </c>
      <c r="AJ2215" s="2">
        <f t="shared" si="254"/>
        <v>0</v>
      </c>
      <c r="AK2215" s="2">
        <f t="shared" si="255"/>
        <v>100.46000000000001</v>
      </c>
      <c r="AL2215" s="5">
        <f t="shared" si="252"/>
        <v>0.38638461538461544</v>
      </c>
    </row>
    <row r="2216" spans="1:38" x14ac:dyDescent="0.2">
      <c r="A2216" s="2">
        <v>2025</v>
      </c>
      <c r="B2216" s="2">
        <v>11</v>
      </c>
      <c r="D2216" s="2" t="s">
        <v>2060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6"/>
        <v>0</v>
      </c>
      <c r="Z2216" s="2" t="s">
        <v>3237</v>
      </c>
      <c r="AA2216" s="2" t="s">
        <v>97</v>
      </c>
      <c r="AB2216" s="2" t="s">
        <v>77</v>
      </c>
      <c r="AC2216" s="2" t="s">
        <v>94</v>
      </c>
      <c r="AF2216" s="2">
        <f t="shared" si="253"/>
        <v>0</v>
      </c>
      <c r="AJ2216" s="2">
        <f t="shared" si="254"/>
        <v>0</v>
      </c>
      <c r="AK2216" s="2">
        <f t="shared" si="255"/>
        <v>0</v>
      </c>
      <c r="AL2216" s="5">
        <f t="shared" si="252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2061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6"/>
        <v>0.43375825176417027</v>
      </c>
      <c r="Z2217" s="2" t="s">
        <v>3237</v>
      </c>
      <c r="AA2217" s="2" t="s">
        <v>76</v>
      </c>
      <c r="AB2217" s="2" t="s">
        <v>77</v>
      </c>
      <c r="AC2217" s="2" t="s">
        <v>78</v>
      </c>
      <c r="AF2217" s="2">
        <f t="shared" si="253"/>
        <v>0</v>
      </c>
      <c r="AJ2217" s="2">
        <f t="shared" si="254"/>
        <v>0</v>
      </c>
      <c r="AK2217" s="2">
        <f t="shared" si="255"/>
        <v>152.44</v>
      </c>
      <c r="AL2217" s="5">
        <f t="shared" si="252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3"/>
        <v>0</v>
      </c>
      <c r="AJ2218" s="2">
        <f t="shared" si="254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6"/>
        <v>0</v>
      </c>
      <c r="Z2219" s="2" t="s">
        <v>3237</v>
      </c>
      <c r="AA2219" s="2" t="s">
        <v>97</v>
      </c>
      <c r="AB2219" s="2" t="s">
        <v>77</v>
      </c>
      <c r="AC2219" s="2" t="s">
        <v>94</v>
      </c>
      <c r="AF2219" s="2">
        <f t="shared" si="253"/>
        <v>0</v>
      </c>
      <c r="AJ2219" s="2">
        <f t="shared" si="254"/>
        <v>0</v>
      </c>
      <c r="AK2219" s="2">
        <f t="shared" si="255"/>
        <v>0</v>
      </c>
      <c r="AL2219" s="5">
        <f t="shared" si="252"/>
        <v>0</v>
      </c>
    </row>
    <row r="2220" spans="1:38" x14ac:dyDescent="0.2">
      <c r="A2220" s="2">
        <v>2025</v>
      </c>
      <c r="B2220" s="2">
        <v>11</v>
      </c>
      <c r="D2220" s="2" t="s">
        <v>1728</v>
      </c>
      <c r="P2220" s="2" t="s">
        <v>115</v>
      </c>
      <c r="Q2220" s="2" t="s">
        <v>1799</v>
      </c>
      <c r="R2220" s="2" t="s">
        <v>1800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6"/>
        <v>1</v>
      </c>
      <c r="Z2220" s="2" t="s">
        <v>105</v>
      </c>
      <c r="AF2220" s="2">
        <f t="shared" si="253"/>
        <v>0</v>
      </c>
      <c r="AJ2220" s="2">
        <f t="shared" si="254"/>
        <v>0</v>
      </c>
      <c r="AK2220" s="2">
        <f t="shared" si="255"/>
        <v>8980</v>
      </c>
      <c r="AL2220" s="5">
        <f t="shared" si="252"/>
        <v>1</v>
      </c>
    </row>
    <row r="2221" spans="1:38" x14ac:dyDescent="0.2">
      <c r="A2221" s="2">
        <v>2025</v>
      </c>
      <c r="B2221" s="2">
        <v>11</v>
      </c>
      <c r="D2221" s="2" t="s">
        <v>1422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2419</v>
      </c>
      <c r="J2221" s="2" t="s">
        <v>2420</v>
      </c>
      <c r="L2221" s="2" t="s">
        <v>202</v>
      </c>
      <c r="M2221" s="2" t="s">
        <v>81</v>
      </c>
      <c r="O2221" s="2" t="s">
        <v>3174</v>
      </c>
      <c r="P2221" s="2" t="s">
        <v>1041</v>
      </c>
      <c r="Q2221" s="2" t="s">
        <v>2062</v>
      </c>
      <c r="R2221" s="2" t="s">
        <v>2063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6"/>
        <v>0.37140045726854398</v>
      </c>
      <c r="Z2221" s="2" t="s">
        <v>3237</v>
      </c>
      <c r="AA2221" s="2" t="s">
        <v>1044</v>
      </c>
      <c r="AB2221" s="2" t="s">
        <v>1322</v>
      </c>
      <c r="AC2221" s="2" t="s">
        <v>1041</v>
      </c>
      <c r="AF2221" s="2">
        <f t="shared" si="253"/>
        <v>0</v>
      </c>
      <c r="AG2221" s="2">
        <v>108.6</v>
      </c>
      <c r="AJ2221" s="2">
        <f t="shared" si="254"/>
        <v>0</v>
      </c>
      <c r="AK2221" s="2">
        <f t="shared" si="255"/>
        <v>256.65999999999997</v>
      </c>
      <c r="AL2221" s="5">
        <f t="shared" si="252"/>
        <v>0.37140045726854398</v>
      </c>
    </row>
    <row r="2222" spans="1:38" x14ac:dyDescent="0.2">
      <c r="A2222" s="2">
        <v>2025</v>
      </c>
      <c r="B2222" s="2">
        <v>11</v>
      </c>
      <c r="D2222" s="2" t="s">
        <v>1422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2419</v>
      </c>
      <c r="J2222" s="2" t="s">
        <v>2420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6"/>
        <v>0.4</v>
      </c>
      <c r="Z2222" s="2" t="s">
        <v>170</v>
      </c>
      <c r="AA2222" s="2" t="s">
        <v>170</v>
      </c>
      <c r="AF2222" s="2">
        <f t="shared" si="253"/>
        <v>0</v>
      </c>
      <c r="AJ2222" s="2">
        <f t="shared" si="254"/>
        <v>0</v>
      </c>
      <c r="AK2222" s="2">
        <f t="shared" si="255"/>
        <v>40</v>
      </c>
      <c r="AL2222" s="5">
        <f t="shared" si="252"/>
        <v>0.4</v>
      </c>
    </row>
    <row r="2223" spans="1:38" x14ac:dyDescent="0.2">
      <c r="A2223" s="2">
        <v>2025</v>
      </c>
      <c r="B2223" s="2">
        <v>11</v>
      </c>
      <c r="D2223" s="2" t="s">
        <v>1423</v>
      </c>
      <c r="P2223" s="2" t="s">
        <v>73</v>
      </c>
      <c r="Q2223" s="2" t="s">
        <v>2064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6"/>
        <v>0.39852631578947367</v>
      </c>
      <c r="Z2223" s="2" t="s">
        <v>3237</v>
      </c>
      <c r="AA2223" s="2" t="s">
        <v>76</v>
      </c>
      <c r="AB2223" s="2" t="s">
        <v>77</v>
      </c>
      <c r="AC2223" s="2" t="s">
        <v>78</v>
      </c>
      <c r="AF2223" s="2">
        <f t="shared" si="253"/>
        <v>0</v>
      </c>
      <c r="AJ2223" s="2">
        <f t="shared" si="254"/>
        <v>0</v>
      </c>
      <c r="AK2223" s="2">
        <f t="shared" si="255"/>
        <v>75.72</v>
      </c>
      <c r="AL2223" s="5">
        <f t="shared" si="252"/>
        <v>0.39852631578947367</v>
      </c>
    </row>
    <row r="2224" spans="1:38" x14ac:dyDescent="0.2">
      <c r="A2224" s="2">
        <v>2025</v>
      </c>
      <c r="B2224" s="2">
        <v>11</v>
      </c>
      <c r="D2224" s="2" t="s">
        <v>1423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6"/>
        <v>0</v>
      </c>
      <c r="Z2224" s="2" t="s">
        <v>3237</v>
      </c>
      <c r="AA2224" s="2" t="s">
        <v>97</v>
      </c>
      <c r="AB2224" s="2" t="s">
        <v>77</v>
      </c>
      <c r="AC2224" s="2" t="s">
        <v>94</v>
      </c>
      <c r="AF2224" s="2">
        <f t="shared" si="253"/>
        <v>0</v>
      </c>
      <c r="AJ2224" s="2">
        <f t="shared" si="254"/>
        <v>0</v>
      </c>
      <c r="AK2224" s="2">
        <f t="shared" si="255"/>
        <v>0</v>
      </c>
      <c r="AL2224" s="5">
        <f t="shared" si="252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2065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6"/>
        <v>0.41257142857142864</v>
      </c>
      <c r="Z2225" s="2" t="s">
        <v>3237</v>
      </c>
      <c r="AA2225" s="2" t="s">
        <v>76</v>
      </c>
      <c r="AB2225" s="2" t="s">
        <v>77</v>
      </c>
      <c r="AC2225" s="2" t="s">
        <v>78</v>
      </c>
      <c r="AF2225" s="2">
        <f t="shared" si="253"/>
        <v>0</v>
      </c>
      <c r="AG2225" s="2">
        <v>143.91999999999999</v>
      </c>
      <c r="AJ2225" s="2">
        <f t="shared" si="254"/>
        <v>0</v>
      </c>
      <c r="AK2225" s="2">
        <f t="shared" si="255"/>
        <v>101.08000000000001</v>
      </c>
      <c r="AL2225" s="5">
        <f t="shared" si="252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2065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6"/>
        <v>0.49690909090909086</v>
      </c>
      <c r="Z2226" s="2" t="s">
        <v>3237</v>
      </c>
      <c r="AA2226" s="2" t="s">
        <v>76</v>
      </c>
      <c r="AB2226" s="2" t="s">
        <v>77</v>
      </c>
      <c r="AC2226" s="2" t="s">
        <v>78</v>
      </c>
      <c r="AF2226" s="2">
        <f t="shared" si="253"/>
        <v>0</v>
      </c>
      <c r="AG2226" s="2">
        <v>110.68</v>
      </c>
      <c r="AH2226" s="2">
        <v>210</v>
      </c>
      <c r="AJ2226" s="2">
        <f t="shared" si="254"/>
        <v>0</v>
      </c>
      <c r="AK2226" s="2">
        <f t="shared" si="255"/>
        <v>109.32</v>
      </c>
      <c r="AL2226" s="5">
        <f t="shared" si="252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2066</v>
      </c>
      <c r="P2227" s="2" t="s">
        <v>73</v>
      </c>
      <c r="Q2227" s="2" t="s">
        <v>1137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6"/>
        <v>0.40365853658536588</v>
      </c>
      <c r="Z2227" s="2" t="s">
        <v>3237</v>
      </c>
      <c r="AA2227" s="2" t="s">
        <v>76</v>
      </c>
      <c r="AB2227" s="2" t="s">
        <v>77</v>
      </c>
      <c r="AC2227" s="2" t="s">
        <v>78</v>
      </c>
      <c r="AF2227" s="2">
        <f t="shared" si="253"/>
        <v>0</v>
      </c>
      <c r="AG2227" s="2">
        <v>122.25</v>
      </c>
      <c r="AJ2227" s="2">
        <f t="shared" si="254"/>
        <v>0</v>
      </c>
      <c r="AK2227" s="2">
        <f t="shared" si="255"/>
        <v>82.75</v>
      </c>
      <c r="AL2227" s="5">
        <f t="shared" ref="AL2227:AL2290" si="257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2066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3"/>
        <v>0</v>
      </c>
      <c r="AJ2228" s="2">
        <f t="shared" si="254"/>
        <v>0</v>
      </c>
      <c r="AK2228" s="2">
        <f t="shared" si="255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2065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6"/>
        <v>0</v>
      </c>
      <c r="Z2229" s="2" t="s">
        <v>3237</v>
      </c>
      <c r="AA2229" s="2" t="s">
        <v>97</v>
      </c>
      <c r="AB2229" s="2" t="s">
        <v>77</v>
      </c>
      <c r="AC2229" s="2" t="s">
        <v>94</v>
      </c>
      <c r="AF2229" s="2">
        <f t="shared" si="253"/>
        <v>0</v>
      </c>
      <c r="AG2229" s="2">
        <v>1.1399999999999999</v>
      </c>
      <c r="AH2229" s="2">
        <v>1.1399999999999999</v>
      </c>
      <c r="AJ2229" s="2">
        <f t="shared" si="254"/>
        <v>0</v>
      </c>
      <c r="AK2229" s="2">
        <f t="shared" si="255"/>
        <v>0</v>
      </c>
      <c r="AL2229" s="5">
        <f t="shared" si="257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3236</v>
      </c>
      <c r="P2230" s="2" t="s">
        <v>283</v>
      </c>
      <c r="Q2230" s="2" t="s">
        <v>2067</v>
      </c>
      <c r="R2230" s="2" t="s">
        <v>2068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6"/>
        <v>0.30000375333108131</v>
      </c>
      <c r="Z2230" s="2" t="s">
        <v>3237</v>
      </c>
      <c r="AA2230" s="2" t="s">
        <v>72</v>
      </c>
      <c r="AB2230" s="2" t="s">
        <v>1607</v>
      </c>
      <c r="AC2230" s="2" t="s">
        <v>1607</v>
      </c>
      <c r="AF2230" s="2">
        <f t="shared" si="253"/>
        <v>0</v>
      </c>
      <c r="AG2230" s="2">
        <v>1119</v>
      </c>
      <c r="AJ2230" s="2">
        <f t="shared" si="254"/>
        <v>0</v>
      </c>
      <c r="AK2230" s="2">
        <f t="shared" si="255"/>
        <v>479.57999999999993</v>
      </c>
      <c r="AL2230" s="5">
        <f t="shared" si="257"/>
        <v>0.30000375333108131</v>
      </c>
    </row>
    <row r="2231" spans="1:38" x14ac:dyDescent="0.2">
      <c r="A2231" s="2">
        <v>2025</v>
      </c>
      <c r="B2231" s="2">
        <v>11</v>
      </c>
      <c r="D2231" s="2" t="s">
        <v>2069</v>
      </c>
      <c r="E2231" s="2" t="s">
        <v>109</v>
      </c>
      <c r="G2231" s="2">
        <v>506055884</v>
      </c>
      <c r="H2231" s="2" t="s">
        <v>40</v>
      </c>
      <c r="I2231" s="2" t="s">
        <v>2070</v>
      </c>
      <c r="J2231" s="2" t="s">
        <v>2071</v>
      </c>
      <c r="L2231" s="2" t="s">
        <v>100</v>
      </c>
      <c r="M2231" s="2" t="s">
        <v>40</v>
      </c>
      <c r="O2231" s="2" t="s">
        <v>2072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6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3"/>
        <v>0</v>
      </c>
      <c r="AJ2231" s="2">
        <f t="shared" si="254"/>
        <v>0</v>
      </c>
      <c r="AK2231" s="2">
        <f t="shared" si="255"/>
        <v>3320.6000000000004</v>
      </c>
      <c r="AL2231" s="5">
        <f t="shared" si="257"/>
        <v>0.23735525375268052</v>
      </c>
    </row>
    <row r="2232" spans="1:38" x14ac:dyDescent="0.2">
      <c r="A2232" s="2">
        <v>2025</v>
      </c>
      <c r="B2232" s="2">
        <v>11</v>
      </c>
      <c r="D2232" s="2" t="s">
        <v>1628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6"/>
        <v>1</v>
      </c>
      <c r="Z2232" s="2" t="s">
        <v>3237</v>
      </c>
      <c r="AA2232" s="2" t="s">
        <v>46</v>
      </c>
      <c r="AB2232" s="2" t="s">
        <v>57</v>
      </c>
      <c r="AC2232" s="2" t="s">
        <v>58</v>
      </c>
      <c r="AF2232" s="2">
        <f t="shared" si="253"/>
        <v>0</v>
      </c>
      <c r="AJ2232" s="2">
        <f t="shared" si="254"/>
        <v>0</v>
      </c>
      <c r="AK2232" s="2">
        <f t="shared" si="255"/>
        <v>24</v>
      </c>
      <c r="AL2232" s="5">
        <f t="shared" si="257"/>
        <v>1</v>
      </c>
    </row>
    <row r="2233" spans="1:38" x14ac:dyDescent="0.2">
      <c r="A2233" s="2">
        <v>2025</v>
      </c>
      <c r="B2233" s="2">
        <v>11</v>
      </c>
      <c r="D2233" s="2" t="s">
        <v>1628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6"/>
        <v>1</v>
      </c>
      <c r="Z2233" s="2" t="s">
        <v>3237</v>
      </c>
      <c r="AA2233" s="2" t="s">
        <v>46</v>
      </c>
      <c r="AB2233" s="2" t="s">
        <v>57</v>
      </c>
      <c r="AC2233" s="2" t="s">
        <v>58</v>
      </c>
      <c r="AF2233" s="2">
        <f t="shared" si="253"/>
        <v>0</v>
      </c>
      <c r="AJ2233" s="2">
        <f t="shared" si="254"/>
        <v>0</v>
      </c>
      <c r="AK2233" s="2">
        <f t="shared" si="255"/>
        <v>16.8</v>
      </c>
      <c r="AL2233" s="5">
        <f t="shared" si="257"/>
        <v>1</v>
      </c>
    </row>
    <row r="2234" spans="1:38" x14ac:dyDescent="0.2">
      <c r="A2234" s="2">
        <v>2025</v>
      </c>
      <c r="B2234" s="2">
        <v>11</v>
      </c>
      <c r="D2234" s="2" t="s">
        <v>1628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6"/>
        <v>0.45173437499999997</v>
      </c>
      <c r="Z2234" s="2" t="s">
        <v>3237</v>
      </c>
      <c r="AA2234" s="2" t="s">
        <v>46</v>
      </c>
      <c r="AB2234" s="2" t="s">
        <v>57</v>
      </c>
      <c r="AC2234" s="2" t="s">
        <v>58</v>
      </c>
      <c r="AF2234" s="2">
        <f t="shared" si="253"/>
        <v>0</v>
      </c>
      <c r="AJ2234" s="2">
        <f t="shared" si="254"/>
        <v>0</v>
      </c>
      <c r="AK2234" s="2">
        <f t="shared" si="255"/>
        <v>8.6732999999999993</v>
      </c>
      <c r="AL2234" s="5">
        <f t="shared" si="257"/>
        <v>0.45173437499999997</v>
      </c>
    </row>
    <row r="2235" spans="1:38" x14ac:dyDescent="0.2">
      <c r="A2235" s="2">
        <v>2025</v>
      </c>
      <c r="B2235" s="2">
        <v>11</v>
      </c>
      <c r="D2235" s="2" t="s">
        <v>1628</v>
      </c>
      <c r="P2235" s="2" t="s">
        <v>43</v>
      </c>
      <c r="Q2235" s="2" t="s">
        <v>1738</v>
      </c>
      <c r="R2235" s="2" t="s">
        <v>1739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6"/>
        <v>1</v>
      </c>
      <c r="Z2235" s="2" t="s">
        <v>3237</v>
      </c>
      <c r="AA2235" s="2" t="s">
        <v>46</v>
      </c>
      <c r="AB2235" s="2" t="s">
        <v>57</v>
      </c>
      <c r="AC2235" s="2" t="s">
        <v>58</v>
      </c>
      <c r="AF2235" s="2">
        <f t="shared" si="253"/>
        <v>0</v>
      </c>
      <c r="AJ2235" s="2">
        <f t="shared" si="254"/>
        <v>0</v>
      </c>
      <c r="AK2235" s="2">
        <f t="shared" si="255"/>
        <v>8.4</v>
      </c>
      <c r="AL2235" s="5">
        <f t="shared" si="257"/>
        <v>1</v>
      </c>
    </row>
    <row r="2236" spans="1:38" x14ac:dyDescent="0.2">
      <c r="A2236" s="2">
        <v>2025</v>
      </c>
      <c r="B2236" s="2">
        <v>11</v>
      </c>
      <c r="D2236" s="2" t="s">
        <v>1628</v>
      </c>
      <c r="P2236" s="2" t="s">
        <v>43</v>
      </c>
      <c r="Q2236" s="2" t="s">
        <v>2073</v>
      </c>
      <c r="R2236" s="2" t="s">
        <v>2074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6"/>
        <v>1</v>
      </c>
      <c r="Z2236" s="2" t="s">
        <v>3237</v>
      </c>
      <c r="AA2236" s="2" t="s">
        <v>46</v>
      </c>
      <c r="AB2236" s="2" t="s">
        <v>57</v>
      </c>
      <c r="AC2236" s="2" t="s">
        <v>58</v>
      </c>
      <c r="AF2236" s="2">
        <f t="shared" si="253"/>
        <v>0</v>
      </c>
      <c r="AJ2236" s="2">
        <f t="shared" si="254"/>
        <v>0</v>
      </c>
      <c r="AK2236" s="2">
        <f t="shared" si="255"/>
        <v>12.6</v>
      </c>
      <c r="AL2236" s="5">
        <f t="shared" si="257"/>
        <v>1</v>
      </c>
    </row>
    <row r="2237" spans="1:38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6"/>
        <v>0.24285714285714285</v>
      </c>
      <c r="Z2237" s="2" t="s">
        <v>3237</v>
      </c>
      <c r="AA2237" s="2" t="s">
        <v>46</v>
      </c>
      <c r="AB2237" s="2" t="s">
        <v>57</v>
      </c>
      <c r="AC2237" s="2" t="s">
        <v>58</v>
      </c>
      <c r="AF2237" s="2">
        <f t="shared" si="253"/>
        <v>0</v>
      </c>
      <c r="AG2237" s="2">
        <v>10.6</v>
      </c>
      <c r="AH2237" s="2">
        <v>18</v>
      </c>
      <c r="AJ2237" s="2">
        <f t="shared" si="254"/>
        <v>0</v>
      </c>
      <c r="AK2237" s="2">
        <f t="shared" si="255"/>
        <v>34</v>
      </c>
      <c r="AL2237" s="5">
        <f t="shared" si="257"/>
        <v>0.24285714285714285</v>
      </c>
    </row>
    <row r="2238" spans="1:38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6"/>
        <v>0.45165454545454548</v>
      </c>
      <c r="Z2238" s="2" t="s">
        <v>3237</v>
      </c>
      <c r="AA2238" s="2" t="s">
        <v>76</v>
      </c>
      <c r="AB2238" s="2" t="s">
        <v>77</v>
      </c>
      <c r="AC2238" s="2" t="s">
        <v>78</v>
      </c>
      <c r="AF2238" s="2">
        <f t="shared" si="253"/>
        <v>0</v>
      </c>
      <c r="AG2238" s="2">
        <v>120.636</v>
      </c>
      <c r="AH2238" s="2">
        <v>220</v>
      </c>
      <c r="AJ2238" s="2">
        <f t="shared" si="254"/>
        <v>0</v>
      </c>
      <c r="AK2238" s="2">
        <f t="shared" si="255"/>
        <v>99.364000000000004</v>
      </c>
      <c r="AL2238" s="5">
        <f t="shared" si="257"/>
        <v>0.45165454545454548</v>
      </c>
    </row>
    <row r="2239" spans="1:38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6"/>
        <v>0</v>
      </c>
      <c r="Z2239" s="2" t="s">
        <v>3237</v>
      </c>
      <c r="AA2239" s="2" t="s">
        <v>97</v>
      </c>
      <c r="AB2239" s="2" t="s">
        <v>77</v>
      </c>
      <c r="AC2239" s="2" t="s">
        <v>94</v>
      </c>
      <c r="AF2239" s="2">
        <f t="shared" si="253"/>
        <v>0</v>
      </c>
      <c r="AJ2239" s="2">
        <f t="shared" si="254"/>
        <v>0</v>
      </c>
      <c r="AK2239" s="2">
        <f t="shared" si="255"/>
        <v>0</v>
      </c>
      <c r="AL2239" s="5">
        <f t="shared" si="257"/>
        <v>0</v>
      </c>
    </row>
    <row r="2240" spans="1:38" x14ac:dyDescent="0.2">
      <c r="A2240" s="2">
        <v>2025</v>
      </c>
      <c r="B2240" s="2">
        <v>11</v>
      </c>
      <c r="D2240" s="2" t="s">
        <v>1095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6"/>
        <v>0.23666666666666661</v>
      </c>
      <c r="Z2240" s="2" t="s">
        <v>3237</v>
      </c>
      <c r="AA2240" s="2" t="s">
        <v>46</v>
      </c>
      <c r="AB2240" s="2" t="s">
        <v>61</v>
      </c>
      <c r="AC2240" s="2" t="s">
        <v>58</v>
      </c>
      <c r="AF2240" s="2">
        <f t="shared" si="253"/>
        <v>0</v>
      </c>
      <c r="AG2240" s="2">
        <v>1.8320000000000001</v>
      </c>
      <c r="AH2240" s="2">
        <v>2.4</v>
      </c>
      <c r="AJ2240" s="2">
        <f t="shared" si="254"/>
        <v>0</v>
      </c>
      <c r="AK2240" s="2">
        <f t="shared" si="255"/>
        <v>2.2719999999999994</v>
      </c>
      <c r="AL2240" s="5">
        <f t="shared" si="257"/>
        <v>0.23666666666666661</v>
      </c>
    </row>
    <row r="2241" spans="1:38" x14ac:dyDescent="0.2">
      <c r="A2241" s="2">
        <v>2025</v>
      </c>
      <c r="B2241" s="2">
        <v>11</v>
      </c>
      <c r="D2241" s="2" t="s">
        <v>1095</v>
      </c>
      <c r="P2241" s="2" t="s">
        <v>85</v>
      </c>
      <c r="Q2241" s="2" t="s">
        <v>2075</v>
      </c>
      <c r="R2241" s="2" t="s">
        <v>2076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6"/>
        <v>1</v>
      </c>
      <c r="Z2241" s="2" t="s">
        <v>3237</v>
      </c>
      <c r="AA2241" s="2" t="s">
        <v>88</v>
      </c>
      <c r="AB2241" s="2" t="s">
        <v>91</v>
      </c>
      <c r="AC2241" s="2" t="s">
        <v>85</v>
      </c>
      <c r="AF2241" s="2">
        <f t="shared" si="253"/>
        <v>0</v>
      </c>
      <c r="AJ2241" s="2">
        <f t="shared" si="254"/>
        <v>0</v>
      </c>
      <c r="AK2241" s="2">
        <f t="shared" si="255"/>
        <v>9.8000000000000007</v>
      </c>
      <c r="AL2241" s="5">
        <f t="shared" si="257"/>
        <v>1</v>
      </c>
    </row>
    <row r="2242" spans="1:38" x14ac:dyDescent="0.2">
      <c r="A2242" s="2">
        <v>2025</v>
      </c>
      <c r="B2242" s="2">
        <v>11</v>
      </c>
      <c r="D2242" s="2" t="s">
        <v>1294</v>
      </c>
      <c r="P2242" s="2" t="s">
        <v>115</v>
      </c>
      <c r="Q2242" s="2" t="s">
        <v>1217</v>
      </c>
      <c r="R2242" s="2" t="s">
        <v>1218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6"/>
        <v>1</v>
      </c>
      <c r="AF2242" s="2">
        <f t="shared" si="253"/>
        <v>0</v>
      </c>
      <c r="AJ2242" s="2">
        <f t="shared" si="254"/>
        <v>0</v>
      </c>
      <c r="AK2242" s="2">
        <f t="shared" si="255"/>
        <v>49.71</v>
      </c>
      <c r="AL2242" s="5">
        <f t="shared" si="257"/>
        <v>1</v>
      </c>
    </row>
    <row r="2243" spans="1:38" x14ac:dyDescent="0.2">
      <c r="A2243" s="2">
        <v>2025</v>
      </c>
      <c r="B2243" s="2">
        <v>11</v>
      </c>
      <c r="D2243" s="2" t="s">
        <v>1294</v>
      </c>
      <c r="P2243" s="2" t="s">
        <v>69</v>
      </c>
      <c r="Q2243" s="2" t="s">
        <v>2077</v>
      </c>
      <c r="R2243" s="2" t="s">
        <v>2078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6"/>
        <v>1</v>
      </c>
      <c r="Z2243" s="2" t="s">
        <v>105</v>
      </c>
      <c r="AC2243" s="2" t="s">
        <v>3242</v>
      </c>
      <c r="AF2243" s="2">
        <f t="shared" ref="AF2243:AF2306" si="258">AJ2243</f>
        <v>0</v>
      </c>
      <c r="AJ2243" s="2">
        <f t="shared" ref="AJ2243:AJ2306" si="259">AI2243*T2243</f>
        <v>0</v>
      </c>
      <c r="AK2243" s="2">
        <f t="shared" ref="AK2243:AK2306" si="260">T2243-W2243</f>
        <v>2700</v>
      </c>
      <c r="AL2243" s="5">
        <f t="shared" si="257"/>
        <v>1</v>
      </c>
    </row>
    <row r="2244" spans="1:38" x14ac:dyDescent="0.2">
      <c r="A2244" s="2">
        <v>2025</v>
      </c>
      <c r="B2244" s="2">
        <v>11</v>
      </c>
      <c r="D2244" s="2" t="s">
        <v>1950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6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8"/>
        <v>0</v>
      </c>
      <c r="AJ2244" s="2">
        <f t="shared" si="259"/>
        <v>0</v>
      </c>
      <c r="AK2244" s="2">
        <f t="shared" si="260"/>
        <v>18.917999999999999</v>
      </c>
      <c r="AL2244" s="5">
        <f t="shared" si="257"/>
        <v>0.45085795996186839</v>
      </c>
    </row>
    <row r="2245" spans="1:38" x14ac:dyDescent="0.2">
      <c r="A2245" s="2">
        <v>2025</v>
      </c>
      <c r="B2245" s="2">
        <v>11</v>
      </c>
      <c r="D2245" s="2" t="s">
        <v>1950</v>
      </c>
      <c r="P2245" s="2" t="s">
        <v>115</v>
      </c>
      <c r="Q2245" s="2" t="s">
        <v>1336</v>
      </c>
      <c r="R2245" s="2" t="s">
        <v>1337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6"/>
        <v>1</v>
      </c>
      <c r="AF2245" s="2">
        <f t="shared" si="258"/>
        <v>0</v>
      </c>
      <c r="AJ2245" s="2">
        <f t="shared" si="259"/>
        <v>0</v>
      </c>
      <c r="AK2245" s="2">
        <f t="shared" si="260"/>
        <v>60.1</v>
      </c>
      <c r="AL2245" s="5">
        <f t="shared" si="257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6"/>
        <v>0.21904761904761905</v>
      </c>
      <c r="Z2246" s="2" t="s">
        <v>3237</v>
      </c>
      <c r="AA2246" s="2" t="s">
        <v>46</v>
      </c>
      <c r="AB2246" s="2" t="s">
        <v>61</v>
      </c>
      <c r="AC2246" s="2" t="s">
        <v>58</v>
      </c>
      <c r="AF2246" s="2">
        <f t="shared" si="258"/>
        <v>0</v>
      </c>
      <c r="AG2246" s="2">
        <v>8.1999999999999993</v>
      </c>
      <c r="AH2246" s="2">
        <v>13</v>
      </c>
      <c r="AJ2246" s="2">
        <f t="shared" si="259"/>
        <v>0</v>
      </c>
      <c r="AK2246" s="2">
        <f t="shared" si="260"/>
        <v>23</v>
      </c>
      <c r="AL2246" s="5">
        <f t="shared" si="257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6"/>
        <v>0.5243888888888889</v>
      </c>
      <c r="Z2247" s="2" t="s">
        <v>3237</v>
      </c>
      <c r="AA2247" s="2" t="s">
        <v>46</v>
      </c>
      <c r="AB2247" s="2" t="s">
        <v>61</v>
      </c>
      <c r="AC2247" s="2" t="s">
        <v>58</v>
      </c>
      <c r="AF2247" s="2">
        <f t="shared" si="258"/>
        <v>0</v>
      </c>
      <c r="AG2247" s="2">
        <v>0.85609999999999997</v>
      </c>
      <c r="AH2247" s="2">
        <v>1.8</v>
      </c>
      <c r="AJ2247" s="2">
        <f t="shared" si="259"/>
        <v>0</v>
      </c>
      <c r="AK2247" s="2">
        <f t="shared" si="260"/>
        <v>18.878</v>
      </c>
      <c r="AL2247" s="5">
        <f t="shared" si="257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6"/>
        <v>0.46722222222222232</v>
      </c>
      <c r="Z2248" s="2" t="s">
        <v>3237</v>
      </c>
      <c r="AA2248" s="2" t="s">
        <v>46</v>
      </c>
      <c r="AB2248" s="2" t="s">
        <v>61</v>
      </c>
      <c r="AC2248" s="2" t="s">
        <v>58</v>
      </c>
      <c r="AF2248" s="2">
        <f t="shared" si="258"/>
        <v>0</v>
      </c>
      <c r="AJ2248" s="2">
        <f t="shared" si="259"/>
        <v>0</v>
      </c>
      <c r="AK2248" s="2">
        <f t="shared" si="260"/>
        <v>5.0460000000000012</v>
      </c>
      <c r="AL2248" s="5">
        <f t="shared" si="257"/>
        <v>0.46722222222222232</v>
      </c>
    </row>
    <row r="2249" spans="1:38" x14ac:dyDescent="0.2">
      <c r="A2249" s="2">
        <v>2025</v>
      </c>
      <c r="B2249" s="2">
        <v>11</v>
      </c>
      <c r="D2249" s="2" t="s">
        <v>2079</v>
      </c>
      <c r="P2249" s="2" t="s">
        <v>115</v>
      </c>
      <c r="Q2249" s="2" t="s">
        <v>1893</v>
      </c>
      <c r="R2249" s="2" t="s">
        <v>1894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6"/>
        <v>1</v>
      </c>
      <c r="Z2249" s="2" t="s">
        <v>105</v>
      </c>
      <c r="AF2249" s="2">
        <f t="shared" si="258"/>
        <v>0</v>
      </c>
      <c r="AJ2249" s="2">
        <f t="shared" si="259"/>
        <v>0</v>
      </c>
      <c r="AK2249" s="2">
        <f t="shared" si="260"/>
        <v>6670</v>
      </c>
      <c r="AL2249" s="5">
        <f t="shared" si="257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1078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6"/>
        <v>0.35772946859903387</v>
      </c>
      <c r="Z2250" s="2" t="s">
        <v>3237</v>
      </c>
      <c r="AA2250" s="2" t="s">
        <v>76</v>
      </c>
      <c r="AB2250" s="2" t="s">
        <v>77</v>
      </c>
      <c r="AC2250" s="2" t="s">
        <v>78</v>
      </c>
      <c r="AF2250" s="2">
        <f t="shared" si="258"/>
        <v>0</v>
      </c>
      <c r="AG2250" s="2">
        <f>144.14+15.4</f>
        <v>159.54</v>
      </c>
      <c r="AH2250" s="2">
        <v>280</v>
      </c>
      <c r="AJ2250" s="2">
        <f t="shared" si="259"/>
        <v>0</v>
      </c>
      <c r="AK2250" s="2">
        <f t="shared" si="260"/>
        <v>88.860000000000014</v>
      </c>
      <c r="AL2250" s="5">
        <f t="shared" si="257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6"/>
        <v>0</v>
      </c>
      <c r="Z2251" s="2" t="s">
        <v>3237</v>
      </c>
      <c r="AA2251" s="2" t="s">
        <v>97</v>
      </c>
      <c r="AB2251" s="2" t="s">
        <v>77</v>
      </c>
      <c r="AC2251" s="2" t="s">
        <v>94</v>
      </c>
      <c r="AF2251" s="2">
        <f t="shared" si="258"/>
        <v>0</v>
      </c>
      <c r="AJ2251" s="2">
        <f t="shared" si="259"/>
        <v>0</v>
      </c>
      <c r="AK2251" s="2">
        <f t="shared" si="260"/>
        <v>0</v>
      </c>
      <c r="AL2251" s="5">
        <f t="shared" si="257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6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8"/>
        <v>0</v>
      </c>
      <c r="AJ2252" s="2">
        <f t="shared" si="259"/>
        <v>0</v>
      </c>
      <c r="AK2252" s="2">
        <f t="shared" si="260"/>
        <v>25.908000000000001</v>
      </c>
      <c r="AL2252" s="5">
        <f t="shared" si="257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6"/>
        <v>0.44819791666666664</v>
      </c>
      <c r="Z2253" s="2" t="s">
        <v>3237</v>
      </c>
      <c r="AA2253" s="2" t="s">
        <v>46</v>
      </c>
      <c r="AB2253" s="2" t="s">
        <v>47</v>
      </c>
      <c r="AC2253" s="2" t="s">
        <v>48</v>
      </c>
      <c r="AF2253" s="2">
        <f t="shared" si="258"/>
        <v>0</v>
      </c>
      <c r="AG2253" s="2">
        <v>5.2972999999999999</v>
      </c>
      <c r="AH2253" s="2">
        <v>10.8</v>
      </c>
      <c r="AJ2253" s="2">
        <f t="shared" si="259"/>
        <v>0</v>
      </c>
      <c r="AK2253" s="2">
        <f t="shared" si="260"/>
        <v>4.3026999999999997</v>
      </c>
      <c r="AL2253" s="5">
        <f t="shared" si="257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6"/>
        <v>0.24285714285714285</v>
      </c>
      <c r="Z2254" s="2" t="s">
        <v>3237</v>
      </c>
      <c r="AA2254" s="2" t="s">
        <v>46</v>
      </c>
      <c r="AB2254" s="2" t="s">
        <v>57</v>
      </c>
      <c r="AC2254" s="2" t="s">
        <v>58</v>
      </c>
      <c r="AF2254" s="2">
        <f t="shared" si="258"/>
        <v>0</v>
      </c>
      <c r="AG2254" s="2">
        <v>10.6</v>
      </c>
      <c r="AH2254" s="2">
        <v>18</v>
      </c>
      <c r="AJ2254" s="2">
        <f t="shared" si="259"/>
        <v>0</v>
      </c>
      <c r="AK2254" s="2">
        <f t="shared" si="260"/>
        <v>34</v>
      </c>
      <c r="AL2254" s="5">
        <f t="shared" si="257"/>
        <v>0.24285714285714285</v>
      </c>
    </row>
    <row r="2255" spans="1:38" x14ac:dyDescent="0.2">
      <c r="A2255" s="2">
        <v>2025</v>
      </c>
      <c r="B2255" s="2">
        <v>11</v>
      </c>
      <c r="D2255" s="2" t="s">
        <v>2080</v>
      </c>
      <c r="P2255" s="2" t="s">
        <v>283</v>
      </c>
      <c r="Q2255" s="2" t="s">
        <v>1787</v>
      </c>
      <c r="R2255" s="2" t="s">
        <v>1788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6"/>
        <v>1</v>
      </c>
      <c r="Z2255" s="2" t="s">
        <v>105</v>
      </c>
      <c r="AF2255" s="2">
        <f t="shared" si="258"/>
        <v>0</v>
      </c>
      <c r="AJ2255" s="2">
        <f t="shared" si="259"/>
        <v>0</v>
      </c>
      <c r="AK2255" s="2">
        <f t="shared" si="260"/>
        <v>2190</v>
      </c>
      <c r="AL2255" s="5">
        <f t="shared" si="257"/>
        <v>1</v>
      </c>
    </row>
    <row r="2256" spans="1:38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2081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6"/>
        <v>0.24285714285714285</v>
      </c>
      <c r="Z2256" s="2" t="s">
        <v>3237</v>
      </c>
      <c r="AA2256" s="2" t="s">
        <v>46</v>
      </c>
      <c r="AB2256" s="2" t="s">
        <v>57</v>
      </c>
      <c r="AC2256" s="2" t="s">
        <v>58</v>
      </c>
      <c r="AF2256" s="2">
        <f t="shared" si="258"/>
        <v>0</v>
      </c>
      <c r="AG2256" s="2">
        <v>10.6</v>
      </c>
      <c r="AH2256" s="2">
        <v>18</v>
      </c>
      <c r="AJ2256" s="2">
        <f t="shared" si="259"/>
        <v>0</v>
      </c>
      <c r="AK2256" s="2">
        <f t="shared" si="260"/>
        <v>34</v>
      </c>
      <c r="AL2256" s="5">
        <f t="shared" si="257"/>
        <v>0.24285714285714285</v>
      </c>
    </row>
    <row r="2257" spans="1:38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2081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6"/>
        <v>0.21904761904761905</v>
      </c>
      <c r="Z2257" s="2" t="s">
        <v>3237</v>
      </c>
      <c r="AA2257" s="2" t="s">
        <v>46</v>
      </c>
      <c r="AB2257" s="2" t="s">
        <v>61</v>
      </c>
      <c r="AC2257" s="2" t="s">
        <v>58</v>
      </c>
      <c r="AF2257" s="2">
        <f t="shared" si="258"/>
        <v>0</v>
      </c>
      <c r="AG2257" s="2">
        <v>8.1999999999999993</v>
      </c>
      <c r="AH2257" s="2">
        <v>13</v>
      </c>
      <c r="AJ2257" s="2">
        <f t="shared" si="259"/>
        <v>0</v>
      </c>
      <c r="AK2257" s="2">
        <f t="shared" si="260"/>
        <v>23</v>
      </c>
      <c r="AL2257" s="5">
        <f t="shared" si="257"/>
        <v>0.21904761904761905</v>
      </c>
    </row>
    <row r="2258" spans="1:38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2081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6"/>
        <v>1</v>
      </c>
      <c r="Z2258" s="2" t="s">
        <v>3237</v>
      </c>
      <c r="AA2258" s="2" t="s">
        <v>46</v>
      </c>
      <c r="AB2258" s="2" t="s">
        <v>47</v>
      </c>
      <c r="AC2258" s="2" t="s">
        <v>48</v>
      </c>
      <c r="AF2258" s="2">
        <f t="shared" si="258"/>
        <v>0</v>
      </c>
      <c r="AJ2258" s="2">
        <f t="shared" si="259"/>
        <v>0</v>
      </c>
      <c r="AK2258" s="2">
        <f t="shared" si="260"/>
        <v>21</v>
      </c>
      <c r="AL2258" s="5">
        <f t="shared" si="257"/>
        <v>1</v>
      </c>
    </row>
    <row r="2259" spans="1:38" x14ac:dyDescent="0.2">
      <c r="A2259" s="2">
        <v>2025</v>
      </c>
      <c r="B2259" s="2">
        <v>11</v>
      </c>
      <c r="D2259" s="2" t="s">
        <v>1299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1300</v>
      </c>
      <c r="L2259" s="2" t="s">
        <v>340</v>
      </c>
      <c r="P2259" s="2" t="s">
        <v>73</v>
      </c>
      <c r="Q2259" s="2" t="s">
        <v>1452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3237</v>
      </c>
      <c r="AA2259" s="2" t="s">
        <v>76</v>
      </c>
      <c r="AB2259" s="2" t="s">
        <v>77</v>
      </c>
      <c r="AC2259" s="2" t="s">
        <v>78</v>
      </c>
      <c r="AF2259" s="2">
        <f t="shared" si="258"/>
        <v>0</v>
      </c>
      <c r="AJ2259" s="2">
        <f t="shared" si="25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1299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1300</v>
      </c>
      <c r="L2260" s="2" t="s">
        <v>340</v>
      </c>
      <c r="M2260" s="2" t="s">
        <v>81</v>
      </c>
      <c r="O2260" s="2" t="s">
        <v>3213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1">(T2260-W2260)/T2260</f>
        <v>0.45027000490918012</v>
      </c>
      <c r="Z2260" s="2" t="s">
        <v>3237</v>
      </c>
      <c r="AA2260" s="2" t="s">
        <v>76</v>
      </c>
      <c r="AB2260" s="2" t="s">
        <v>77</v>
      </c>
      <c r="AC2260" s="2" t="s">
        <v>78</v>
      </c>
      <c r="AF2260" s="2">
        <f t="shared" si="258"/>
        <v>0</v>
      </c>
      <c r="AG2260" s="2">
        <v>111.98</v>
      </c>
      <c r="AH2260" s="2">
        <v>210</v>
      </c>
      <c r="AJ2260" s="2">
        <f t="shared" si="259"/>
        <v>0</v>
      </c>
      <c r="AK2260" s="2">
        <f t="shared" si="260"/>
        <v>91.719999999999985</v>
      </c>
      <c r="AL2260" s="5">
        <f t="shared" si="257"/>
        <v>0.45027000490918012</v>
      </c>
    </row>
    <row r="2261" spans="1:38" x14ac:dyDescent="0.2">
      <c r="A2261" s="2">
        <v>2025</v>
      </c>
      <c r="B2261" s="2">
        <v>11</v>
      </c>
      <c r="D2261" s="2" t="s">
        <v>1299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1300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3237</v>
      </c>
      <c r="AA2261" s="2" t="s">
        <v>97</v>
      </c>
      <c r="AB2261" s="2" t="s">
        <v>77</v>
      </c>
      <c r="AC2261" s="2" t="s">
        <v>94</v>
      </c>
      <c r="AF2261" s="2">
        <f t="shared" si="258"/>
        <v>0</v>
      </c>
      <c r="AJ2261" s="2">
        <f t="shared" si="259"/>
        <v>0</v>
      </c>
      <c r="AK2261" s="2">
        <f t="shared" si="260"/>
        <v>0</v>
      </c>
      <c r="AL2261" s="5" t="e">
        <f t="shared" si="257"/>
        <v>#DIV/0!</v>
      </c>
    </row>
    <row r="2262" spans="1:38" x14ac:dyDescent="0.2">
      <c r="A2262" s="2">
        <v>2025</v>
      </c>
      <c r="B2262" s="2">
        <v>11</v>
      </c>
      <c r="D2262" s="2" t="s">
        <v>1116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1117</v>
      </c>
      <c r="J2262" s="2" t="s">
        <v>1118</v>
      </c>
      <c r="K2262" s="2">
        <v>914550474</v>
      </c>
      <c r="L2262" s="2" t="s">
        <v>100</v>
      </c>
      <c r="M2262" s="2" t="s">
        <v>81</v>
      </c>
      <c r="O2262" s="2" t="s">
        <v>2082</v>
      </c>
      <c r="P2262" s="2" t="s">
        <v>85</v>
      </c>
      <c r="Q2262" s="2" t="s">
        <v>1801</v>
      </c>
      <c r="R2262" s="2" t="s">
        <v>1802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1"/>
        <v>0.96419999999999995</v>
      </c>
      <c r="Z2262" s="2" t="s">
        <v>3237</v>
      </c>
      <c r="AA2262" s="2" t="s">
        <v>88</v>
      </c>
      <c r="AB2262" s="2" t="s">
        <v>91</v>
      </c>
      <c r="AC2262" s="2" t="s">
        <v>85</v>
      </c>
      <c r="AF2262" s="2">
        <f t="shared" si="258"/>
        <v>0</v>
      </c>
      <c r="AJ2262" s="2">
        <f t="shared" si="259"/>
        <v>0</v>
      </c>
      <c r="AK2262" s="2">
        <f t="shared" si="260"/>
        <v>9.6419999999999995</v>
      </c>
      <c r="AL2262" s="5">
        <f t="shared" si="257"/>
        <v>0.96419999999999995</v>
      </c>
    </row>
    <row r="2263" spans="1:38" x14ac:dyDescent="0.2">
      <c r="A2263" s="2">
        <v>2025</v>
      </c>
      <c r="B2263" s="2">
        <v>11</v>
      </c>
      <c r="D2263" s="2" t="s">
        <v>1116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1117</v>
      </c>
      <c r="J2263" s="2" t="s">
        <v>1118</v>
      </c>
      <c r="K2263" s="2">
        <v>914550474</v>
      </c>
      <c r="L2263" s="2" t="s">
        <v>100</v>
      </c>
      <c r="M2263" s="2" t="s">
        <v>81</v>
      </c>
      <c r="O2263" s="2" t="s">
        <v>2083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1"/>
        <v>0.31399999999999995</v>
      </c>
      <c r="Z2263" s="2" t="s">
        <v>3237</v>
      </c>
      <c r="AA2263" s="2" t="s">
        <v>88</v>
      </c>
      <c r="AB2263" s="2" t="s">
        <v>91</v>
      </c>
      <c r="AC2263" s="2" t="s">
        <v>85</v>
      </c>
      <c r="AF2263" s="2">
        <f t="shared" si="258"/>
        <v>0</v>
      </c>
      <c r="AJ2263" s="2">
        <f t="shared" si="259"/>
        <v>0</v>
      </c>
      <c r="AK2263" s="2">
        <f t="shared" si="260"/>
        <v>3.1399999999999997</v>
      </c>
      <c r="AL2263" s="5">
        <f t="shared" si="257"/>
        <v>0.31399999999999995</v>
      </c>
    </row>
    <row r="2264" spans="1:38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2084</v>
      </c>
      <c r="R2264" s="2" t="s">
        <v>2085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1"/>
        <v>1</v>
      </c>
      <c r="AF2264" s="2">
        <f t="shared" si="258"/>
        <v>0</v>
      </c>
      <c r="AJ2264" s="2">
        <f t="shared" si="259"/>
        <v>0</v>
      </c>
      <c r="AK2264" s="2">
        <f t="shared" si="260"/>
        <v>76.62</v>
      </c>
      <c r="AL2264" s="5">
        <f t="shared" si="257"/>
        <v>1</v>
      </c>
    </row>
    <row r="2265" spans="1:38" x14ac:dyDescent="0.2">
      <c r="A2265" s="2">
        <v>2025</v>
      </c>
      <c r="B2265" s="2">
        <v>11</v>
      </c>
      <c r="D2265" s="2" t="s">
        <v>1666</v>
      </c>
      <c r="P2265" s="2" t="s">
        <v>115</v>
      </c>
      <c r="Q2265" s="2" t="s">
        <v>1887</v>
      </c>
      <c r="R2265" s="2" t="s">
        <v>1888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1"/>
        <v>1</v>
      </c>
      <c r="AF2265" s="2">
        <f t="shared" si="258"/>
        <v>0</v>
      </c>
      <c r="AJ2265" s="2">
        <f t="shared" si="259"/>
        <v>0</v>
      </c>
      <c r="AK2265" s="2">
        <f t="shared" si="260"/>
        <v>1066.25</v>
      </c>
      <c r="AL2265" s="5">
        <f t="shared" si="257"/>
        <v>1</v>
      </c>
    </row>
    <row r="2266" spans="1:38" x14ac:dyDescent="0.2">
      <c r="A2266" s="2">
        <v>2025</v>
      </c>
      <c r="B2266" s="2">
        <v>11</v>
      </c>
      <c r="D2266" s="2" t="s">
        <v>1666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1"/>
        <v>0.6</v>
      </c>
      <c r="Z2266" s="2" t="s">
        <v>118</v>
      </c>
      <c r="AA2266" s="2" t="s">
        <v>191</v>
      </c>
      <c r="AF2266" s="2">
        <f t="shared" si="258"/>
        <v>0</v>
      </c>
      <c r="AJ2266" s="2">
        <f t="shared" si="259"/>
        <v>0</v>
      </c>
      <c r="AK2266" s="2">
        <f t="shared" si="260"/>
        <v>30</v>
      </c>
      <c r="AL2266" s="5">
        <f t="shared" si="257"/>
        <v>0.6</v>
      </c>
    </row>
    <row r="2267" spans="1:38" x14ac:dyDescent="0.2">
      <c r="A2267" s="2">
        <v>2025</v>
      </c>
      <c r="B2267" s="2">
        <v>11</v>
      </c>
      <c r="D2267" s="2" t="s">
        <v>1666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1"/>
        <v>0.5</v>
      </c>
      <c r="Z2267" s="2" t="s">
        <v>118</v>
      </c>
      <c r="AA2267" s="2" t="s">
        <v>191</v>
      </c>
      <c r="AF2267" s="2">
        <f t="shared" si="258"/>
        <v>0</v>
      </c>
      <c r="AJ2267" s="2">
        <f t="shared" si="259"/>
        <v>0</v>
      </c>
      <c r="AK2267" s="2">
        <f t="shared" si="260"/>
        <v>25</v>
      </c>
      <c r="AL2267" s="5">
        <f t="shared" si="257"/>
        <v>0.5</v>
      </c>
    </row>
    <row r="2268" spans="1:38" x14ac:dyDescent="0.2">
      <c r="A2268" s="2">
        <v>2025</v>
      </c>
      <c r="B2268" s="2">
        <v>11</v>
      </c>
      <c r="D2268" s="2" t="s">
        <v>2086</v>
      </c>
      <c r="P2268" s="2" t="s">
        <v>69</v>
      </c>
      <c r="Q2268" s="2" t="s">
        <v>2087</v>
      </c>
      <c r="R2268" s="2" t="s">
        <v>2088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1"/>
        <v>0.5</v>
      </c>
      <c r="Z2268" s="2" t="s">
        <v>105</v>
      </c>
      <c r="AC2268" s="2" t="s">
        <v>3242</v>
      </c>
      <c r="AF2268" s="2">
        <f t="shared" si="258"/>
        <v>0</v>
      </c>
      <c r="AJ2268" s="2">
        <f t="shared" si="259"/>
        <v>0</v>
      </c>
      <c r="AK2268" s="2">
        <f t="shared" si="260"/>
        <v>1174.7950000000001</v>
      </c>
      <c r="AL2268" s="5">
        <f t="shared" si="257"/>
        <v>0.5</v>
      </c>
    </row>
    <row r="2269" spans="1:38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981</v>
      </c>
      <c r="R2269" s="2" t="s">
        <v>982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1"/>
        <v>1</v>
      </c>
      <c r="AF2269" s="2">
        <f t="shared" si="258"/>
        <v>0</v>
      </c>
      <c r="AJ2269" s="2">
        <f t="shared" si="259"/>
        <v>0</v>
      </c>
      <c r="AK2269" s="2">
        <f t="shared" si="260"/>
        <v>79.819999999999993</v>
      </c>
      <c r="AL2269" s="5">
        <f t="shared" si="257"/>
        <v>1</v>
      </c>
    </row>
    <row r="2270" spans="1:38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1"/>
        <v>0.21904761904761905</v>
      </c>
      <c r="Z2270" s="2" t="s">
        <v>3237</v>
      </c>
      <c r="AA2270" s="2" t="s">
        <v>46</v>
      </c>
      <c r="AB2270" s="2" t="s">
        <v>61</v>
      </c>
      <c r="AC2270" s="2" t="s">
        <v>58</v>
      </c>
      <c r="AF2270" s="2">
        <f t="shared" si="258"/>
        <v>0</v>
      </c>
      <c r="AG2270" s="2">
        <v>8.1999999999999993</v>
      </c>
      <c r="AH2270" s="2">
        <v>13</v>
      </c>
      <c r="AJ2270" s="2">
        <f t="shared" si="259"/>
        <v>0</v>
      </c>
      <c r="AK2270" s="2">
        <f t="shared" si="260"/>
        <v>23</v>
      </c>
      <c r="AL2270" s="5">
        <f t="shared" si="257"/>
        <v>0.21904761904761905</v>
      </c>
    </row>
    <row r="2271" spans="1:38" x14ac:dyDescent="0.2">
      <c r="A2271" s="2">
        <v>2025</v>
      </c>
      <c r="B2271" s="2">
        <v>11</v>
      </c>
      <c r="D2271" s="2" t="s">
        <v>1976</v>
      </c>
      <c r="P2271" s="2" t="s">
        <v>73</v>
      </c>
      <c r="Q2271" s="2" t="s">
        <v>1075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1"/>
        <v>0.42987499999999995</v>
      </c>
      <c r="Z2271" s="2" t="s">
        <v>3237</v>
      </c>
      <c r="AA2271" s="2" t="s">
        <v>76</v>
      </c>
      <c r="AB2271" s="2" t="s">
        <v>77</v>
      </c>
      <c r="AC2271" s="2" t="s">
        <v>78</v>
      </c>
      <c r="AF2271" s="2">
        <f t="shared" si="258"/>
        <v>0</v>
      </c>
      <c r="AJ2271" s="2">
        <f t="shared" si="259"/>
        <v>0</v>
      </c>
      <c r="AK2271" s="2">
        <f t="shared" si="260"/>
        <v>103.16999999999999</v>
      </c>
      <c r="AL2271" s="5">
        <f t="shared" si="257"/>
        <v>0.42987499999999995</v>
      </c>
    </row>
    <row r="2272" spans="1:38" x14ac:dyDescent="0.2">
      <c r="A2272" s="2">
        <v>2025</v>
      </c>
      <c r="B2272" s="2">
        <v>11</v>
      </c>
      <c r="D2272" s="2" t="s">
        <v>1976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1"/>
        <v>0</v>
      </c>
      <c r="Z2272" s="2" t="s">
        <v>3237</v>
      </c>
      <c r="AA2272" s="2" t="s">
        <v>97</v>
      </c>
      <c r="AB2272" s="2" t="s">
        <v>77</v>
      </c>
      <c r="AC2272" s="2" t="s">
        <v>94</v>
      </c>
      <c r="AF2272" s="2">
        <f t="shared" si="258"/>
        <v>0</v>
      </c>
      <c r="AJ2272" s="2">
        <f t="shared" si="259"/>
        <v>0</v>
      </c>
      <c r="AK2272" s="2">
        <f t="shared" si="260"/>
        <v>0</v>
      </c>
      <c r="AL2272" s="5">
        <f t="shared" si="257"/>
        <v>0</v>
      </c>
    </row>
    <row r="2273" spans="1:38" x14ac:dyDescent="0.2">
      <c r="A2273" s="2">
        <v>2025</v>
      </c>
      <c r="B2273" s="2">
        <v>11</v>
      </c>
      <c r="D2273" s="2" t="s">
        <v>2089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1"/>
        <v>0.6</v>
      </c>
      <c r="Z2273" s="2" t="s">
        <v>118</v>
      </c>
      <c r="AA2273" s="2" t="s">
        <v>191</v>
      </c>
      <c r="AF2273" s="2">
        <f t="shared" si="258"/>
        <v>0</v>
      </c>
      <c r="AJ2273" s="2">
        <f t="shared" si="259"/>
        <v>0</v>
      </c>
      <c r="AK2273" s="2">
        <f t="shared" si="260"/>
        <v>82.8</v>
      </c>
      <c r="AL2273" s="5">
        <f t="shared" si="257"/>
        <v>0.6</v>
      </c>
    </row>
    <row r="2274" spans="1:38" x14ac:dyDescent="0.2">
      <c r="A2274" s="2">
        <v>2025</v>
      </c>
      <c r="B2274" s="2">
        <v>11</v>
      </c>
      <c r="D2274" s="2" t="s">
        <v>2089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1"/>
        <v>0.5</v>
      </c>
      <c r="Z2274" s="2" t="s">
        <v>118</v>
      </c>
      <c r="AA2274" s="2" t="s">
        <v>191</v>
      </c>
      <c r="AF2274" s="2">
        <f t="shared" si="258"/>
        <v>0</v>
      </c>
      <c r="AJ2274" s="2">
        <f t="shared" si="259"/>
        <v>0</v>
      </c>
      <c r="AK2274" s="2">
        <f t="shared" si="260"/>
        <v>50</v>
      </c>
      <c r="AL2274" s="5">
        <f t="shared" si="257"/>
        <v>0.5</v>
      </c>
    </row>
    <row r="2275" spans="1:38" x14ac:dyDescent="0.2">
      <c r="A2275" s="2">
        <v>2025</v>
      </c>
      <c r="B2275" s="2">
        <v>11</v>
      </c>
      <c r="D2275" s="2" t="s">
        <v>1127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2302</v>
      </c>
      <c r="J2275" s="2" t="s">
        <v>2303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1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8"/>
        <v>0</v>
      </c>
      <c r="AJ2275" s="2">
        <f t="shared" si="259"/>
        <v>0</v>
      </c>
      <c r="AK2275" s="2">
        <f t="shared" si="260"/>
        <v>37.835999999999999</v>
      </c>
      <c r="AL2275" s="5">
        <f t="shared" si="257"/>
        <v>0.45085795996186839</v>
      </c>
    </row>
    <row r="2276" spans="1:38" x14ac:dyDescent="0.2">
      <c r="A2276" s="2">
        <v>2025</v>
      </c>
      <c r="B2276" s="2">
        <v>11</v>
      </c>
      <c r="D2276" s="2" t="s">
        <v>2090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1"/>
        <v>0.6</v>
      </c>
      <c r="Z2276" s="2" t="s">
        <v>118</v>
      </c>
      <c r="AA2276" s="2" t="s">
        <v>191</v>
      </c>
      <c r="AF2276" s="2">
        <f t="shared" si="258"/>
        <v>0</v>
      </c>
      <c r="AJ2276" s="2">
        <f t="shared" si="259"/>
        <v>0</v>
      </c>
      <c r="AK2276" s="2">
        <f t="shared" si="260"/>
        <v>30</v>
      </c>
      <c r="AL2276" s="5">
        <f t="shared" si="257"/>
        <v>0.6</v>
      </c>
    </row>
    <row r="2277" spans="1:38" x14ac:dyDescent="0.2">
      <c r="A2277" s="2">
        <v>2025</v>
      </c>
      <c r="B2277" s="2">
        <v>11</v>
      </c>
      <c r="D2277" s="2" t="s">
        <v>2090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1"/>
        <v>0.5</v>
      </c>
      <c r="Z2277" s="2" t="s">
        <v>118</v>
      </c>
      <c r="AA2277" s="2" t="s">
        <v>191</v>
      </c>
      <c r="AF2277" s="2">
        <f t="shared" si="258"/>
        <v>0</v>
      </c>
      <c r="AJ2277" s="2">
        <f t="shared" si="259"/>
        <v>0</v>
      </c>
      <c r="AK2277" s="2">
        <f t="shared" si="260"/>
        <v>25</v>
      </c>
      <c r="AL2277" s="5">
        <f t="shared" si="257"/>
        <v>0.5</v>
      </c>
    </row>
    <row r="2278" spans="1:38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1"/>
        <v>0.44777500000000003</v>
      </c>
      <c r="Z2278" s="2" t="s">
        <v>3237</v>
      </c>
      <c r="AA2278" s="2" t="s">
        <v>46</v>
      </c>
      <c r="AB2278" s="2" t="s">
        <v>47</v>
      </c>
      <c r="AC2278" s="2" t="s">
        <v>48</v>
      </c>
      <c r="AF2278" s="2">
        <f t="shared" si="258"/>
        <v>0</v>
      </c>
      <c r="AG2278" s="2">
        <v>6.6266999999999996</v>
      </c>
      <c r="AH2278" s="2">
        <v>12</v>
      </c>
      <c r="AJ2278" s="2">
        <f t="shared" si="259"/>
        <v>0</v>
      </c>
      <c r="AK2278" s="2">
        <f t="shared" si="260"/>
        <v>42.986400000000003</v>
      </c>
      <c r="AL2278" s="5">
        <f t="shared" si="257"/>
        <v>0.44777500000000003</v>
      </c>
    </row>
    <row r="2279" spans="1:38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1"/>
        <v>0.52105128205128204</v>
      </c>
      <c r="Z2279" s="2" t="s">
        <v>3237</v>
      </c>
      <c r="AA2279" s="2" t="s">
        <v>46</v>
      </c>
      <c r="AB2279" s="2" t="s">
        <v>47</v>
      </c>
      <c r="AC2279" s="2" t="s">
        <v>48</v>
      </c>
      <c r="AF2279" s="2">
        <f t="shared" si="258"/>
        <v>0</v>
      </c>
      <c r="AG2279" s="2">
        <v>3.7357999999999998</v>
      </c>
      <c r="AH2279" s="2">
        <v>9</v>
      </c>
      <c r="AJ2279" s="2">
        <f t="shared" si="259"/>
        <v>0</v>
      </c>
      <c r="AK2279" s="2">
        <f t="shared" si="260"/>
        <v>4.0641999999999996</v>
      </c>
      <c r="AL2279" s="5">
        <f t="shared" si="257"/>
        <v>0.52105128205128204</v>
      </c>
    </row>
    <row r="2280" spans="1:38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1"/>
        <v>0.44819791666666664</v>
      </c>
      <c r="Z2280" s="2" t="s">
        <v>3237</v>
      </c>
      <c r="AA2280" s="2" t="s">
        <v>46</v>
      </c>
      <c r="AB2280" s="2" t="s">
        <v>47</v>
      </c>
      <c r="AC2280" s="2" t="s">
        <v>48</v>
      </c>
      <c r="AF2280" s="2">
        <f t="shared" si="258"/>
        <v>0</v>
      </c>
      <c r="AG2280" s="2">
        <v>5.2972999999999999</v>
      </c>
      <c r="AH2280" s="2">
        <v>10.8</v>
      </c>
      <c r="AJ2280" s="2">
        <f t="shared" si="259"/>
        <v>0</v>
      </c>
      <c r="AK2280" s="2">
        <f t="shared" si="260"/>
        <v>8.6053999999999995</v>
      </c>
      <c r="AL2280" s="5">
        <f t="shared" si="257"/>
        <v>0.44819791666666664</v>
      </c>
    </row>
    <row r="2281" spans="1:38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1"/>
        <v>0.50777499999999998</v>
      </c>
      <c r="Z2281" s="2" t="s">
        <v>3237</v>
      </c>
      <c r="AA2281" s="2" t="s">
        <v>46</v>
      </c>
      <c r="AB2281" s="2" t="s">
        <v>57</v>
      </c>
      <c r="AC2281" s="2" t="s">
        <v>58</v>
      </c>
      <c r="AF2281" s="2">
        <f t="shared" si="258"/>
        <v>0</v>
      </c>
      <c r="AG2281" s="2">
        <v>5.9066999999999998</v>
      </c>
      <c r="AH2281" s="2">
        <v>12.6</v>
      </c>
      <c r="AJ2281" s="2">
        <f t="shared" si="259"/>
        <v>0</v>
      </c>
      <c r="AK2281" s="2">
        <f t="shared" si="260"/>
        <v>6.0933000000000002</v>
      </c>
      <c r="AL2281" s="5">
        <f t="shared" si="257"/>
        <v>0.50777499999999998</v>
      </c>
    </row>
    <row r="2282" spans="1:38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1"/>
        <v>0.45290151515151511</v>
      </c>
      <c r="Z2282" s="2" t="s">
        <v>3237</v>
      </c>
      <c r="AA2282" s="2" t="s">
        <v>46</v>
      </c>
      <c r="AB2282" s="2" t="s">
        <v>57</v>
      </c>
      <c r="AC2282" s="2" t="s">
        <v>58</v>
      </c>
      <c r="AF2282" s="2">
        <f t="shared" si="258"/>
        <v>0</v>
      </c>
      <c r="AG2282" s="2">
        <v>7.2217000000000002</v>
      </c>
      <c r="AH2282" s="2">
        <v>14.4</v>
      </c>
      <c r="AJ2282" s="2">
        <f t="shared" si="259"/>
        <v>0</v>
      </c>
      <c r="AK2282" s="2">
        <f t="shared" si="260"/>
        <v>5.9782999999999991</v>
      </c>
      <c r="AL2282" s="5">
        <f t="shared" si="257"/>
        <v>0.45290151515151511</v>
      </c>
    </row>
    <row r="2283" spans="1:38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1"/>
        <v>1</v>
      </c>
      <c r="Z2283" s="2" t="s">
        <v>3237</v>
      </c>
      <c r="AA2283" s="2" t="s">
        <v>46</v>
      </c>
      <c r="AB2283" s="2" t="s">
        <v>57</v>
      </c>
      <c r="AC2283" s="2" t="s">
        <v>58</v>
      </c>
      <c r="AF2283" s="2">
        <f t="shared" si="258"/>
        <v>0</v>
      </c>
      <c r="AJ2283" s="2">
        <f t="shared" si="259"/>
        <v>0</v>
      </c>
      <c r="AK2283" s="2">
        <f t="shared" si="260"/>
        <v>19.8</v>
      </c>
      <c r="AL2283" s="5">
        <f t="shared" si="257"/>
        <v>1</v>
      </c>
    </row>
    <row r="2284" spans="1:38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1"/>
        <v>1</v>
      </c>
      <c r="Z2284" s="2" t="s">
        <v>3237</v>
      </c>
      <c r="AA2284" s="2" t="s">
        <v>46</v>
      </c>
      <c r="AB2284" s="2" t="s">
        <v>57</v>
      </c>
      <c r="AC2284" s="2" t="s">
        <v>58</v>
      </c>
      <c r="AF2284" s="2">
        <f t="shared" si="258"/>
        <v>0</v>
      </c>
      <c r="AJ2284" s="2">
        <f t="shared" si="259"/>
        <v>0</v>
      </c>
      <c r="AK2284" s="2">
        <f t="shared" si="260"/>
        <v>24</v>
      </c>
      <c r="AL2284" s="5">
        <f t="shared" si="257"/>
        <v>1</v>
      </c>
    </row>
    <row r="2285" spans="1:38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1"/>
        <v>1</v>
      </c>
      <c r="Z2285" s="2" t="s">
        <v>3237</v>
      </c>
      <c r="AA2285" s="2" t="s">
        <v>46</v>
      </c>
      <c r="AB2285" s="2" t="s">
        <v>57</v>
      </c>
      <c r="AC2285" s="2" t="s">
        <v>58</v>
      </c>
      <c r="AF2285" s="2">
        <f t="shared" si="258"/>
        <v>0</v>
      </c>
      <c r="AJ2285" s="2">
        <f t="shared" si="259"/>
        <v>0</v>
      </c>
      <c r="AK2285" s="2">
        <f t="shared" si="260"/>
        <v>28.8</v>
      </c>
      <c r="AL2285" s="5">
        <f t="shared" si="257"/>
        <v>1</v>
      </c>
    </row>
    <row r="2286" spans="1:38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1"/>
        <v>1</v>
      </c>
      <c r="Z2286" s="2" t="s">
        <v>3237</v>
      </c>
      <c r="AA2286" s="2" t="s">
        <v>46</v>
      </c>
      <c r="AB2286" s="2" t="s">
        <v>57</v>
      </c>
      <c r="AC2286" s="2" t="s">
        <v>58</v>
      </c>
      <c r="AF2286" s="2">
        <f t="shared" si="258"/>
        <v>0</v>
      </c>
      <c r="AJ2286" s="2">
        <f t="shared" si="259"/>
        <v>0</v>
      </c>
      <c r="AK2286" s="2">
        <f t="shared" si="260"/>
        <v>16.8</v>
      </c>
      <c r="AL2286" s="5">
        <f t="shared" si="257"/>
        <v>1</v>
      </c>
    </row>
    <row r="2287" spans="1:38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1"/>
        <v>1</v>
      </c>
      <c r="Z2287" s="2" t="s">
        <v>3237</v>
      </c>
      <c r="AA2287" s="2" t="s">
        <v>46</v>
      </c>
      <c r="AB2287" s="2" t="s">
        <v>57</v>
      </c>
      <c r="AC2287" s="2" t="s">
        <v>58</v>
      </c>
      <c r="AF2287" s="2">
        <f t="shared" si="258"/>
        <v>0</v>
      </c>
      <c r="AJ2287" s="2">
        <f t="shared" si="259"/>
        <v>0</v>
      </c>
      <c r="AK2287" s="2">
        <f t="shared" si="260"/>
        <v>19.2</v>
      </c>
      <c r="AL2287" s="5">
        <f t="shared" si="257"/>
        <v>1</v>
      </c>
    </row>
    <row r="2288" spans="1:38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1"/>
        <v>1</v>
      </c>
      <c r="Z2288" s="2" t="s">
        <v>3237</v>
      </c>
      <c r="AA2288" s="2" t="s">
        <v>46</v>
      </c>
      <c r="AB2288" s="2" t="s">
        <v>57</v>
      </c>
      <c r="AC2288" s="2" t="s">
        <v>58</v>
      </c>
      <c r="AF2288" s="2">
        <f t="shared" si="258"/>
        <v>0</v>
      </c>
      <c r="AJ2288" s="2">
        <f t="shared" si="259"/>
        <v>0</v>
      </c>
      <c r="AK2288" s="2">
        <f t="shared" si="260"/>
        <v>22.2</v>
      </c>
      <c r="AL2288" s="5">
        <f t="shared" si="257"/>
        <v>1</v>
      </c>
    </row>
    <row r="2289" spans="1:38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1"/>
        <v>0.21904761904761905</v>
      </c>
      <c r="Z2289" s="2" t="s">
        <v>3237</v>
      </c>
      <c r="AA2289" s="2" t="s">
        <v>46</v>
      </c>
      <c r="AB2289" s="2" t="s">
        <v>61</v>
      </c>
      <c r="AC2289" s="2" t="s">
        <v>58</v>
      </c>
      <c r="AF2289" s="2">
        <f t="shared" si="258"/>
        <v>0</v>
      </c>
      <c r="AG2289" s="2">
        <v>8.1999999999999993</v>
      </c>
      <c r="AH2289" s="2">
        <v>13</v>
      </c>
      <c r="AJ2289" s="2">
        <f t="shared" si="259"/>
        <v>0</v>
      </c>
      <c r="AK2289" s="2">
        <f t="shared" si="260"/>
        <v>23</v>
      </c>
      <c r="AL2289" s="5">
        <f t="shared" si="257"/>
        <v>0.21904761904761905</v>
      </c>
    </row>
    <row r="2290" spans="1:38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W2290" s="2">
        <f>11*S2290</f>
        <v>11</v>
      </c>
      <c r="X2290" s="5">
        <f t="shared" si="261"/>
        <v>0.54166666666666663</v>
      </c>
      <c r="Z2290" s="2" t="s">
        <v>3237</v>
      </c>
      <c r="AA2290" s="2" t="s">
        <v>46</v>
      </c>
      <c r="AB2290" s="2" t="s">
        <v>47</v>
      </c>
      <c r="AC2290" s="2" t="s">
        <v>48</v>
      </c>
      <c r="AF2290" s="2">
        <f t="shared" si="258"/>
        <v>0</v>
      </c>
      <c r="AJ2290" s="2">
        <f t="shared" si="259"/>
        <v>0</v>
      </c>
      <c r="AK2290" s="2">
        <f t="shared" si="260"/>
        <v>13</v>
      </c>
      <c r="AL2290" s="5">
        <f t="shared" si="257"/>
        <v>0.54166666666666663</v>
      </c>
    </row>
    <row r="2291" spans="1:38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1"/>
        <v>0.43104924242424236</v>
      </c>
      <c r="Z2291" s="2" t="s">
        <v>3237</v>
      </c>
      <c r="AA2291" s="2" t="s">
        <v>46</v>
      </c>
      <c r="AB2291" s="2" t="s">
        <v>68</v>
      </c>
      <c r="AC2291" s="2" t="s">
        <v>58</v>
      </c>
      <c r="AF2291" s="2">
        <f t="shared" si="258"/>
        <v>0</v>
      </c>
      <c r="AG2291" s="2">
        <v>15.020300000000001</v>
      </c>
      <c r="AH2291" s="2">
        <v>27.6</v>
      </c>
      <c r="AJ2291" s="2">
        <f t="shared" si="259"/>
        <v>0</v>
      </c>
      <c r="AK2291" s="2">
        <f t="shared" si="260"/>
        <v>11.379699999999998</v>
      </c>
      <c r="AL2291" s="5">
        <f t="shared" ref="AL2291:AL2354" si="262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1"/>
        <v>0.32745098039215681</v>
      </c>
      <c r="Z2292" s="2" t="s">
        <v>3237</v>
      </c>
      <c r="AA2292" s="2" t="s">
        <v>88</v>
      </c>
      <c r="AB2292" s="2" t="s">
        <v>91</v>
      </c>
      <c r="AC2292" s="2" t="s">
        <v>85</v>
      </c>
      <c r="AF2292" s="2">
        <f t="shared" si="258"/>
        <v>0</v>
      </c>
      <c r="AJ2292" s="2">
        <f t="shared" si="259"/>
        <v>0</v>
      </c>
      <c r="AK2292" s="2">
        <f t="shared" si="260"/>
        <v>3.339999999999999</v>
      </c>
      <c r="AL2292" s="5">
        <f t="shared" si="262"/>
        <v>0.32745098039215681</v>
      </c>
    </row>
    <row r="2293" spans="1:38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1"/>
        <v>0.51</v>
      </c>
      <c r="Z2293" s="2" t="s">
        <v>3237</v>
      </c>
      <c r="AA2293" s="2" t="s">
        <v>88</v>
      </c>
      <c r="AB2293" s="2" t="s">
        <v>91</v>
      </c>
      <c r="AC2293" s="2" t="s">
        <v>85</v>
      </c>
      <c r="AF2293" s="2">
        <f t="shared" si="258"/>
        <v>0</v>
      </c>
      <c r="AJ2293" s="2">
        <f t="shared" si="259"/>
        <v>0</v>
      </c>
      <c r="AK2293" s="2">
        <f t="shared" si="260"/>
        <v>3.06</v>
      </c>
      <c r="AL2293" s="5">
        <f t="shared" si="262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2045</v>
      </c>
      <c r="R2294" s="2" t="s">
        <v>2046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1"/>
        <v>1</v>
      </c>
      <c r="Z2294" s="2" t="s">
        <v>3237</v>
      </c>
      <c r="AF2294" s="2">
        <f t="shared" si="258"/>
        <v>0</v>
      </c>
      <c r="AJ2294" s="2">
        <f t="shared" si="259"/>
        <v>0</v>
      </c>
      <c r="AK2294" s="2">
        <f t="shared" si="260"/>
        <v>30</v>
      </c>
      <c r="AL2294" s="5">
        <f t="shared" si="262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1"/>
        <v>0.13000000000000006</v>
      </c>
      <c r="Z2295" s="2" t="s">
        <v>3237</v>
      </c>
      <c r="AA2295" s="2" t="s">
        <v>46</v>
      </c>
      <c r="AB2295" s="2" t="s">
        <v>61</v>
      </c>
      <c r="AC2295" s="2" t="s">
        <v>3343</v>
      </c>
      <c r="AF2295" s="2">
        <f t="shared" si="258"/>
        <v>0</v>
      </c>
      <c r="AJ2295" s="2">
        <f t="shared" si="259"/>
        <v>0</v>
      </c>
      <c r="AK2295" s="2">
        <f t="shared" si="260"/>
        <v>7.8000000000000043</v>
      </c>
      <c r="AL2295" s="5">
        <f t="shared" si="262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1"/>
        <v>0.13000000000000006</v>
      </c>
      <c r="Z2296" s="2" t="s">
        <v>3237</v>
      </c>
      <c r="AA2296" s="2" t="s">
        <v>46</v>
      </c>
      <c r="AB2296" s="2" t="s">
        <v>61</v>
      </c>
      <c r="AC2296" s="2" t="s">
        <v>3343</v>
      </c>
      <c r="AF2296" s="2">
        <f t="shared" si="258"/>
        <v>0</v>
      </c>
      <c r="AJ2296" s="2">
        <f t="shared" si="259"/>
        <v>0</v>
      </c>
      <c r="AK2296" s="2">
        <f t="shared" si="260"/>
        <v>7.8000000000000043</v>
      </c>
      <c r="AL2296" s="5">
        <f t="shared" si="262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2091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1"/>
        <v>0.5</v>
      </c>
      <c r="Z2297" s="2" t="s">
        <v>3237</v>
      </c>
      <c r="AA2297" s="2" t="s">
        <v>46</v>
      </c>
      <c r="AB2297" s="2" t="s">
        <v>47</v>
      </c>
      <c r="AC2297" s="2" t="s">
        <v>48</v>
      </c>
      <c r="AF2297" s="2">
        <f t="shared" si="258"/>
        <v>0</v>
      </c>
      <c r="AG2297" s="2">
        <v>9.3000000000000007</v>
      </c>
      <c r="AH2297" s="2">
        <v>21</v>
      </c>
      <c r="AJ2297" s="2">
        <f t="shared" si="259"/>
        <v>0</v>
      </c>
      <c r="AK2297" s="2">
        <f t="shared" si="260"/>
        <v>18.600000000000001</v>
      </c>
      <c r="AL2297" s="5">
        <f t="shared" si="262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1"/>
        <v>0.58333333333333337</v>
      </c>
      <c r="Z2298" s="2" t="s">
        <v>3237</v>
      </c>
      <c r="AA2298" s="2" t="s">
        <v>46</v>
      </c>
      <c r="AB2298" s="2" t="s">
        <v>47</v>
      </c>
      <c r="AC2298" s="2" t="s">
        <v>48</v>
      </c>
      <c r="AF2298" s="2">
        <f t="shared" si="258"/>
        <v>0</v>
      </c>
      <c r="AJ2298" s="2">
        <f t="shared" si="259"/>
        <v>0</v>
      </c>
      <c r="AK2298" s="2">
        <f t="shared" si="260"/>
        <v>11.2</v>
      </c>
      <c r="AL2298" s="5">
        <f t="shared" si="262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1"/>
        <v>0.52105128205128204</v>
      </c>
      <c r="Z2299" s="2" t="s">
        <v>3237</v>
      </c>
      <c r="AA2299" s="2" t="s">
        <v>46</v>
      </c>
      <c r="AB2299" s="2" t="s">
        <v>47</v>
      </c>
      <c r="AC2299" s="2" t="s">
        <v>48</v>
      </c>
      <c r="AF2299" s="2">
        <f t="shared" si="258"/>
        <v>0</v>
      </c>
      <c r="AG2299" s="2">
        <v>3.7357999999999998</v>
      </c>
      <c r="AH2299" s="2">
        <v>9</v>
      </c>
      <c r="AJ2299" s="2">
        <f t="shared" si="259"/>
        <v>0</v>
      </c>
      <c r="AK2299" s="2">
        <f t="shared" si="260"/>
        <v>12.192599999999999</v>
      </c>
      <c r="AL2299" s="5">
        <f t="shared" si="262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1"/>
        <v>0.14054054054054055</v>
      </c>
      <c r="Z2300" s="2" t="s">
        <v>3237</v>
      </c>
      <c r="AA2300" s="2" t="s">
        <v>46</v>
      </c>
      <c r="AB2300" s="2" t="s">
        <v>57</v>
      </c>
      <c r="AC2300" s="2" t="s">
        <v>58</v>
      </c>
      <c r="AF2300" s="2">
        <f t="shared" si="258"/>
        <v>0</v>
      </c>
      <c r="AG2300" s="2">
        <v>10.6</v>
      </c>
      <c r="AH2300" s="2">
        <v>18</v>
      </c>
      <c r="AJ2300" s="2">
        <f t="shared" si="259"/>
        <v>0</v>
      </c>
      <c r="AK2300" s="2">
        <f t="shared" si="260"/>
        <v>52</v>
      </c>
      <c r="AL2300" s="5">
        <f t="shared" si="262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1038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1"/>
        <v>0.56246621882480119</v>
      </c>
      <c r="Z2301" s="2" t="s">
        <v>3237</v>
      </c>
      <c r="AA2301" s="2" t="s">
        <v>76</v>
      </c>
      <c r="AB2301" s="2" t="s">
        <v>77</v>
      </c>
      <c r="AC2301" s="2" t="s">
        <v>78</v>
      </c>
      <c r="AF2301" s="2">
        <f t="shared" si="258"/>
        <v>0</v>
      </c>
      <c r="AG2301" s="2">
        <v>113.33</v>
      </c>
      <c r="AH2301" s="2">
        <v>220</v>
      </c>
      <c r="AJ2301" s="2">
        <f t="shared" si="259"/>
        <v>0</v>
      </c>
      <c r="AK2301" s="2">
        <f t="shared" si="260"/>
        <v>145.69</v>
      </c>
      <c r="AL2301" s="5">
        <f t="shared" si="262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1041</v>
      </c>
      <c r="Q2302" s="2" t="s">
        <v>1576</v>
      </c>
      <c r="R2302" s="2" t="s">
        <v>1577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1"/>
        <v>0.4878924731182796</v>
      </c>
      <c r="Z2302" s="2" t="s">
        <v>3237</v>
      </c>
      <c r="AA2302" s="2" t="s">
        <v>76</v>
      </c>
      <c r="AB2302" s="2" t="s">
        <v>77</v>
      </c>
      <c r="AC2302" s="2" t="s">
        <v>1041</v>
      </c>
      <c r="AF2302" s="2">
        <f t="shared" si="258"/>
        <v>0</v>
      </c>
      <c r="AJ2302" s="2">
        <f t="shared" si="259"/>
        <v>0</v>
      </c>
      <c r="AK2302" s="2">
        <f t="shared" si="260"/>
        <v>226.87</v>
      </c>
      <c r="AL2302" s="5">
        <f t="shared" si="262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3398</v>
      </c>
      <c r="Q2303" s="2" t="s">
        <v>2092</v>
      </c>
      <c r="R2303" s="2" t="s">
        <v>2093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1"/>
        <v>0</v>
      </c>
      <c r="Z2303" s="2" t="s">
        <v>3237</v>
      </c>
      <c r="AA2303" s="2" t="s">
        <v>2175</v>
      </c>
      <c r="AB2303" s="2" t="s">
        <v>2255</v>
      </c>
      <c r="AC2303" s="2" t="s">
        <v>3398</v>
      </c>
      <c r="AF2303" s="2">
        <f t="shared" si="258"/>
        <v>0</v>
      </c>
      <c r="AJ2303" s="2">
        <f t="shared" si="259"/>
        <v>0</v>
      </c>
      <c r="AK2303" s="2">
        <f t="shared" si="260"/>
        <v>0</v>
      </c>
      <c r="AL2303" s="5">
        <f t="shared" si="262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3399</v>
      </c>
      <c r="Q2304" s="2" t="s">
        <v>2094</v>
      </c>
      <c r="R2304" s="2" t="s">
        <v>2095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1"/>
        <v>0</v>
      </c>
      <c r="Z2304" s="2" t="s">
        <v>3237</v>
      </c>
      <c r="AA2304" s="2" t="s">
        <v>1044</v>
      </c>
      <c r="AB2304" s="2" t="s">
        <v>1274</v>
      </c>
      <c r="AC2304" s="2" t="s">
        <v>3399</v>
      </c>
      <c r="AF2304" s="2">
        <f t="shared" si="258"/>
        <v>0</v>
      </c>
      <c r="AJ2304" s="2">
        <f t="shared" si="259"/>
        <v>0</v>
      </c>
      <c r="AK2304" s="2">
        <f t="shared" si="260"/>
        <v>0</v>
      </c>
      <c r="AL2304" s="5">
        <f t="shared" si="262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3399</v>
      </c>
      <c r="Q2305" s="2" t="s">
        <v>2096</v>
      </c>
      <c r="R2305" s="2" t="s">
        <v>2097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1"/>
        <v>0</v>
      </c>
      <c r="Z2305" s="2" t="s">
        <v>3237</v>
      </c>
      <c r="AA2305" s="2" t="s">
        <v>1044</v>
      </c>
      <c r="AB2305" s="2" t="s">
        <v>1274</v>
      </c>
      <c r="AC2305" s="2" t="s">
        <v>3399</v>
      </c>
      <c r="AF2305" s="2">
        <f t="shared" si="258"/>
        <v>0</v>
      </c>
      <c r="AJ2305" s="2">
        <f t="shared" si="259"/>
        <v>0</v>
      </c>
      <c r="AK2305" s="2">
        <f t="shared" si="260"/>
        <v>0</v>
      </c>
      <c r="AL2305" s="5">
        <f t="shared" si="262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3399</v>
      </c>
      <c r="Q2306" s="2" t="s">
        <v>2098</v>
      </c>
      <c r="R2306" s="2" t="s">
        <v>2099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1"/>
        <v>0</v>
      </c>
      <c r="Z2306" s="2" t="s">
        <v>3237</v>
      </c>
      <c r="AA2306" s="2" t="s">
        <v>1044</v>
      </c>
      <c r="AB2306" s="2" t="s">
        <v>1274</v>
      </c>
      <c r="AC2306" s="2" t="s">
        <v>3399</v>
      </c>
      <c r="AF2306" s="2">
        <f t="shared" si="258"/>
        <v>0</v>
      </c>
      <c r="AJ2306" s="2">
        <f t="shared" si="259"/>
        <v>0</v>
      </c>
      <c r="AK2306" s="2">
        <f t="shared" si="260"/>
        <v>0</v>
      </c>
      <c r="AL2306" s="5">
        <f t="shared" si="262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3398</v>
      </c>
      <c r="Q2307" s="2" t="s">
        <v>2100</v>
      </c>
      <c r="R2307" s="2" t="s">
        <v>2101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1"/>
        <v>0</v>
      </c>
      <c r="Z2307" s="2" t="s">
        <v>3237</v>
      </c>
      <c r="AA2307" s="2" t="s">
        <v>2175</v>
      </c>
      <c r="AB2307" s="2" t="s">
        <v>2255</v>
      </c>
      <c r="AC2307" s="2" t="s">
        <v>3398</v>
      </c>
      <c r="AF2307" s="2">
        <f t="shared" ref="AF2307:AF2370" si="263">AJ2307</f>
        <v>0</v>
      </c>
      <c r="AJ2307" s="2">
        <f t="shared" ref="AJ2307:AJ2370" si="264">AI2307*T2307</f>
        <v>0</v>
      </c>
      <c r="AK2307" s="2">
        <f t="shared" ref="AK2307:AK2370" si="265">T2307-W2307</f>
        <v>0</v>
      </c>
      <c r="AL2307" s="5">
        <f t="shared" si="262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1"/>
        <v>0.23333333333333334</v>
      </c>
      <c r="Z2308" s="2" t="s">
        <v>170</v>
      </c>
      <c r="AA2308" s="2" t="s">
        <v>170</v>
      </c>
      <c r="AF2308" s="2">
        <f t="shared" si="263"/>
        <v>0</v>
      </c>
      <c r="AJ2308" s="2">
        <f t="shared" si="264"/>
        <v>0</v>
      </c>
      <c r="AK2308" s="2">
        <f t="shared" si="265"/>
        <v>7</v>
      </c>
      <c r="AL2308" s="5">
        <f t="shared" si="262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1"/>
        <v>0</v>
      </c>
      <c r="Z2309" s="2" t="s">
        <v>3237</v>
      </c>
      <c r="AA2309" s="2" t="s">
        <v>97</v>
      </c>
      <c r="AB2309" s="2" t="s">
        <v>77</v>
      </c>
      <c r="AC2309" s="2" t="s">
        <v>94</v>
      </c>
      <c r="AF2309" s="2">
        <f t="shared" si="263"/>
        <v>0</v>
      </c>
      <c r="AJ2309" s="2">
        <f t="shared" si="264"/>
        <v>0</v>
      </c>
      <c r="AK2309" s="2">
        <f t="shared" si="265"/>
        <v>0</v>
      </c>
      <c r="AL2309" s="5">
        <f t="shared" si="262"/>
        <v>0</v>
      </c>
    </row>
    <row r="2310" spans="1:38" x14ac:dyDescent="0.2">
      <c r="A2310" s="2">
        <v>2025</v>
      </c>
      <c r="B2310" s="2">
        <v>12</v>
      </c>
      <c r="D2310" s="2" t="s">
        <v>1148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1149</v>
      </c>
      <c r="J2310" s="2" t="s">
        <v>1150</v>
      </c>
      <c r="L2310" s="2" t="s">
        <v>134</v>
      </c>
      <c r="M2310" s="2" t="s">
        <v>41</v>
      </c>
      <c r="O2310" s="2" t="s">
        <v>2102</v>
      </c>
      <c r="P2310" s="2" t="s">
        <v>115</v>
      </c>
      <c r="Q2310" s="16" t="s">
        <v>711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61"/>
        <v>1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3"/>
        <v>0</v>
      </c>
      <c r="AJ2310" s="2">
        <f t="shared" si="264"/>
        <v>0</v>
      </c>
      <c r="AK2310" s="2">
        <f t="shared" si="265"/>
        <v>1790</v>
      </c>
      <c r="AL2310" s="5">
        <f t="shared" si="262"/>
        <v>1</v>
      </c>
    </row>
    <row r="2311" spans="1:38" x14ac:dyDescent="0.2">
      <c r="A2311" s="2">
        <v>2025</v>
      </c>
      <c r="B2311" s="2">
        <v>12</v>
      </c>
      <c r="D2311" s="2" t="s">
        <v>1148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1149</v>
      </c>
      <c r="J2311" s="2" t="s">
        <v>1150</v>
      </c>
      <c r="L2311" s="2" t="s">
        <v>134</v>
      </c>
      <c r="M2311" s="2" t="s">
        <v>41</v>
      </c>
      <c r="O2311" s="2" t="s">
        <v>2102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1"/>
        <v>1</v>
      </c>
      <c r="Z2311" s="2" t="s">
        <v>105</v>
      </c>
      <c r="AA2311" s="2" t="s">
        <v>617</v>
      </c>
      <c r="AC2311" s="2" t="s">
        <v>115</v>
      </c>
      <c r="AF2311" s="2">
        <f t="shared" si="263"/>
        <v>0</v>
      </c>
      <c r="AJ2311" s="2">
        <f t="shared" si="264"/>
        <v>0</v>
      </c>
      <c r="AK2311" s="2">
        <f t="shared" si="265"/>
        <v>4599</v>
      </c>
      <c r="AL2311" s="5">
        <f t="shared" si="262"/>
        <v>1</v>
      </c>
    </row>
    <row r="2312" spans="1:38" x14ac:dyDescent="0.2">
      <c r="A2312" s="2">
        <v>2025</v>
      </c>
      <c r="B2312" s="2">
        <v>12</v>
      </c>
      <c r="D2312" s="2" t="s">
        <v>1148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1149</v>
      </c>
      <c r="J2312" s="2" t="s">
        <v>1150</v>
      </c>
      <c r="L2312" s="2" t="s">
        <v>134</v>
      </c>
      <c r="M2312" s="2" t="s">
        <v>41</v>
      </c>
      <c r="O2312" s="2" t="s">
        <v>2102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1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3"/>
        <v>0</v>
      </c>
      <c r="AJ2312" s="2">
        <f t="shared" si="264"/>
        <v>0</v>
      </c>
      <c r="AK2312" s="2">
        <f t="shared" si="265"/>
        <v>754.875</v>
      </c>
      <c r="AL2312" s="5">
        <f t="shared" si="262"/>
        <v>0.18411585365853658</v>
      </c>
    </row>
    <row r="2313" spans="1:38" x14ac:dyDescent="0.2">
      <c r="A2313" s="2">
        <v>2025</v>
      </c>
      <c r="B2313" s="2">
        <v>12</v>
      </c>
      <c r="D2313" s="2" t="s">
        <v>1148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1149</v>
      </c>
      <c r="J2313" s="2" t="s">
        <v>1150</v>
      </c>
      <c r="L2313" s="2" t="s">
        <v>134</v>
      </c>
      <c r="M2313" s="2" t="s">
        <v>41</v>
      </c>
      <c r="O2313" s="2" t="s">
        <v>2102</v>
      </c>
      <c r="P2313" s="2" t="s">
        <v>69</v>
      </c>
      <c r="Q2313" s="2" t="s">
        <v>1626</v>
      </c>
      <c r="R2313" s="2" t="s">
        <v>1627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1"/>
        <v>1</v>
      </c>
      <c r="Z2313" s="2" t="s">
        <v>105</v>
      </c>
      <c r="AA2313" s="2" t="s">
        <v>2103</v>
      </c>
      <c r="AC2313" s="2" t="s">
        <v>3242</v>
      </c>
      <c r="AF2313" s="2">
        <f t="shared" si="263"/>
        <v>0</v>
      </c>
      <c r="AJ2313" s="2">
        <f t="shared" si="264"/>
        <v>0</v>
      </c>
      <c r="AK2313" s="2">
        <f t="shared" si="265"/>
        <v>2100</v>
      </c>
      <c r="AL2313" s="5">
        <f t="shared" si="262"/>
        <v>1</v>
      </c>
    </row>
    <row r="2314" spans="1:38" x14ac:dyDescent="0.2">
      <c r="A2314" s="2">
        <v>2025</v>
      </c>
      <c r="B2314" s="2">
        <v>12</v>
      </c>
      <c r="D2314" s="2" t="s">
        <v>1148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1149</v>
      </c>
      <c r="J2314" s="2" t="s">
        <v>1150</v>
      </c>
      <c r="L2314" s="2" t="s">
        <v>134</v>
      </c>
      <c r="M2314" s="2" t="s">
        <v>41</v>
      </c>
      <c r="O2314" s="2" t="s">
        <v>2102</v>
      </c>
      <c r="P2314" s="2" t="s">
        <v>1197</v>
      </c>
      <c r="Q2314" s="2" t="s">
        <v>1719</v>
      </c>
      <c r="R2314" s="2" t="s">
        <v>1720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1"/>
        <v>1</v>
      </c>
      <c r="Z2314" s="2" t="s">
        <v>105</v>
      </c>
      <c r="AA2314" s="2" t="s">
        <v>1202</v>
      </c>
      <c r="AB2314" s="2" t="s">
        <v>120</v>
      </c>
      <c r="AC2314" s="2" t="s">
        <v>1197</v>
      </c>
      <c r="AF2314" s="2">
        <f t="shared" si="263"/>
        <v>0</v>
      </c>
      <c r="AJ2314" s="2">
        <f t="shared" si="264"/>
        <v>0</v>
      </c>
      <c r="AK2314" s="2">
        <f t="shared" si="265"/>
        <v>2750</v>
      </c>
      <c r="AL2314" s="5">
        <f t="shared" si="262"/>
        <v>1</v>
      </c>
    </row>
    <row r="2315" spans="1:38" x14ac:dyDescent="0.2">
      <c r="A2315" s="2">
        <v>2025</v>
      </c>
      <c r="B2315" s="2">
        <v>12</v>
      </c>
      <c r="D2315" s="2" t="s">
        <v>1148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1149</v>
      </c>
      <c r="J2315" s="2" t="s">
        <v>1150</v>
      </c>
      <c r="L2315" s="2" t="s">
        <v>134</v>
      </c>
      <c r="M2315" s="2" t="s">
        <v>41</v>
      </c>
      <c r="O2315" s="2" t="s">
        <v>2102</v>
      </c>
      <c r="P2315" s="2" t="s">
        <v>1197</v>
      </c>
      <c r="Q2315" s="2" t="s">
        <v>1200</v>
      </c>
      <c r="R2315" s="2" t="s">
        <v>1201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1"/>
        <v>1</v>
      </c>
      <c r="Z2315" s="2" t="s">
        <v>105</v>
      </c>
      <c r="AA2315" s="2" t="s">
        <v>1202</v>
      </c>
      <c r="AB2315" s="2" t="s">
        <v>120</v>
      </c>
      <c r="AC2315" s="2" t="s">
        <v>1197</v>
      </c>
      <c r="AF2315" s="2">
        <f t="shared" si="263"/>
        <v>0</v>
      </c>
      <c r="AJ2315" s="2">
        <f t="shared" si="264"/>
        <v>0</v>
      </c>
      <c r="AK2315" s="2">
        <f t="shared" si="265"/>
        <v>500</v>
      </c>
      <c r="AL2315" s="5">
        <f t="shared" si="262"/>
        <v>1</v>
      </c>
    </row>
    <row r="2316" spans="1:38" x14ac:dyDescent="0.2">
      <c r="A2316" s="2">
        <v>2025</v>
      </c>
      <c r="B2316" s="2">
        <v>12</v>
      </c>
      <c r="D2316" s="2" t="s">
        <v>1153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1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3"/>
        <v>0</v>
      </c>
      <c r="AJ2316" s="2">
        <f t="shared" si="264"/>
        <v>0</v>
      </c>
      <c r="AK2316" s="2">
        <f t="shared" si="265"/>
        <v>252.82999999999998</v>
      </c>
      <c r="AL2316" s="5">
        <f t="shared" si="262"/>
        <v>0.42180513847180512</v>
      </c>
    </row>
    <row r="2317" spans="1:38" x14ac:dyDescent="0.2">
      <c r="A2317" s="2">
        <v>2025</v>
      </c>
      <c r="B2317" s="2">
        <v>12</v>
      </c>
      <c r="D2317" s="2" t="s">
        <v>1153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1"/>
        <v>0.6</v>
      </c>
      <c r="Z2317" s="2" t="s">
        <v>118</v>
      </c>
      <c r="AA2317" s="2" t="s">
        <v>191</v>
      </c>
      <c r="AF2317" s="2">
        <f t="shared" si="263"/>
        <v>0</v>
      </c>
      <c r="AJ2317" s="2">
        <f t="shared" si="264"/>
        <v>0</v>
      </c>
      <c r="AK2317" s="2">
        <f t="shared" si="265"/>
        <v>50.82</v>
      </c>
      <c r="AL2317" s="5">
        <f t="shared" si="262"/>
        <v>0.6</v>
      </c>
    </row>
    <row r="2318" spans="1:38" x14ac:dyDescent="0.2">
      <c r="A2318" s="2">
        <v>2025</v>
      </c>
      <c r="B2318" s="2">
        <v>12</v>
      </c>
      <c r="D2318" s="2" t="s">
        <v>1153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1"/>
        <v>0.5</v>
      </c>
      <c r="Z2318" s="2" t="s">
        <v>118</v>
      </c>
      <c r="AA2318" s="2" t="s">
        <v>191</v>
      </c>
      <c r="AF2318" s="2">
        <f t="shared" si="263"/>
        <v>0</v>
      </c>
      <c r="AJ2318" s="2">
        <f t="shared" si="264"/>
        <v>0</v>
      </c>
      <c r="AK2318" s="2">
        <f t="shared" si="265"/>
        <v>17.5</v>
      </c>
      <c r="AL2318" s="5">
        <f t="shared" si="262"/>
        <v>0.5</v>
      </c>
    </row>
    <row r="2319" spans="1:38" x14ac:dyDescent="0.2">
      <c r="A2319" s="2">
        <v>2025</v>
      </c>
      <c r="B2319" s="2">
        <v>12</v>
      </c>
      <c r="D2319" s="2" t="s">
        <v>2104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1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3"/>
        <v>0</v>
      </c>
      <c r="AJ2319" s="2">
        <f t="shared" si="264"/>
        <v>0</v>
      </c>
      <c r="AK2319" s="2">
        <f t="shared" si="265"/>
        <v>246.74660000000006</v>
      </c>
      <c r="AL2319" s="5">
        <f t="shared" si="262"/>
        <v>0.4168368950080244</v>
      </c>
    </row>
    <row r="2320" spans="1:38" x14ac:dyDescent="0.2">
      <c r="A2320" s="2">
        <v>2025</v>
      </c>
      <c r="B2320" s="2">
        <v>12</v>
      </c>
      <c r="D2320" s="2" t="s">
        <v>2104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1"/>
        <v>0.6</v>
      </c>
      <c r="Z2320" s="2" t="s">
        <v>118</v>
      </c>
      <c r="AA2320" s="2" t="s">
        <v>191</v>
      </c>
      <c r="AF2320" s="2">
        <f t="shared" si="263"/>
        <v>0</v>
      </c>
      <c r="AJ2320" s="2">
        <f t="shared" si="264"/>
        <v>0</v>
      </c>
      <c r="AK2320" s="2">
        <f t="shared" si="265"/>
        <v>30</v>
      </c>
      <c r="AL2320" s="5">
        <f t="shared" si="262"/>
        <v>0.6</v>
      </c>
    </row>
    <row r="2321" spans="1:38" x14ac:dyDescent="0.2">
      <c r="A2321" s="2">
        <v>2025</v>
      </c>
      <c r="B2321" s="2">
        <v>12</v>
      </c>
      <c r="D2321" s="2" t="s">
        <v>2104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1"/>
        <v>0.5</v>
      </c>
      <c r="Z2321" s="2" t="s">
        <v>118</v>
      </c>
      <c r="AA2321" s="2" t="s">
        <v>191</v>
      </c>
      <c r="AF2321" s="2">
        <f t="shared" si="263"/>
        <v>0</v>
      </c>
      <c r="AJ2321" s="2">
        <f t="shared" si="264"/>
        <v>0</v>
      </c>
      <c r="AK2321" s="2">
        <f t="shared" si="265"/>
        <v>25</v>
      </c>
      <c r="AL2321" s="5">
        <f t="shared" si="262"/>
        <v>0.5</v>
      </c>
    </row>
    <row r="2322" spans="1:38" x14ac:dyDescent="0.2">
      <c r="A2322" s="2">
        <v>2025</v>
      </c>
      <c r="B2322" s="2">
        <v>12</v>
      </c>
      <c r="D2322" s="2" t="s">
        <v>2104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1"/>
        <v>1</v>
      </c>
      <c r="Z2322" s="2" t="s">
        <v>120</v>
      </c>
      <c r="AA2322" s="2" t="s">
        <v>3392</v>
      </c>
      <c r="AF2322" s="2">
        <f t="shared" si="263"/>
        <v>0</v>
      </c>
      <c r="AJ2322" s="2">
        <f t="shared" si="264"/>
        <v>0</v>
      </c>
      <c r="AK2322" s="2">
        <f t="shared" si="265"/>
        <v>297</v>
      </c>
      <c r="AL2322" s="5">
        <f t="shared" si="262"/>
        <v>1</v>
      </c>
    </row>
    <row r="2323" spans="1:38" x14ac:dyDescent="0.2">
      <c r="A2323" s="2">
        <v>2025</v>
      </c>
      <c r="B2323" s="2">
        <v>12</v>
      </c>
      <c r="D2323" s="2" t="s">
        <v>1480</v>
      </c>
      <c r="E2323" s="2" t="s">
        <v>754</v>
      </c>
      <c r="F2323" s="2" t="s">
        <v>1481</v>
      </c>
      <c r="G2323" s="2">
        <v>506123758</v>
      </c>
      <c r="H2323" s="2" t="s">
        <v>110</v>
      </c>
      <c r="I2323" s="2" t="s">
        <v>1482</v>
      </c>
      <c r="J2323" s="2" t="s">
        <v>1483</v>
      </c>
      <c r="K2323" s="2">
        <v>936406952</v>
      </c>
      <c r="L2323" s="2" t="s">
        <v>462</v>
      </c>
      <c r="M2323" s="2" t="s">
        <v>40</v>
      </c>
      <c r="O2323" s="2" t="s">
        <v>2105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6">(T2323-W2323)/T2323</f>
        <v>0.6</v>
      </c>
      <c r="Z2323" s="2" t="s">
        <v>118</v>
      </c>
      <c r="AA2323" s="2" t="s">
        <v>191</v>
      </c>
      <c r="AF2323" s="2">
        <f t="shared" si="263"/>
        <v>0</v>
      </c>
      <c r="AJ2323" s="2">
        <f t="shared" si="264"/>
        <v>0</v>
      </c>
      <c r="AK2323" s="2">
        <f t="shared" si="265"/>
        <v>111.6</v>
      </c>
      <c r="AL2323" s="5">
        <f t="shared" si="262"/>
        <v>0.6</v>
      </c>
    </row>
    <row r="2324" spans="1:38" x14ac:dyDescent="0.2">
      <c r="A2324" s="2">
        <v>2025</v>
      </c>
      <c r="B2324" s="2">
        <v>12</v>
      </c>
      <c r="D2324" s="2" t="s">
        <v>1480</v>
      </c>
      <c r="E2324" s="2" t="s">
        <v>754</v>
      </c>
      <c r="F2324" s="2" t="s">
        <v>1481</v>
      </c>
      <c r="G2324" s="2">
        <v>506123758</v>
      </c>
      <c r="H2324" s="2" t="s">
        <v>110</v>
      </c>
      <c r="I2324" s="2" t="s">
        <v>1482</v>
      </c>
      <c r="J2324" s="2" t="s">
        <v>1483</v>
      </c>
      <c r="K2324" s="2">
        <v>936406952</v>
      </c>
      <c r="L2324" s="2" t="s">
        <v>462</v>
      </c>
      <c r="M2324" s="2" t="s">
        <v>40</v>
      </c>
      <c r="O2324" s="2" t="s">
        <v>2105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6"/>
        <v>0.5</v>
      </c>
      <c r="Z2324" s="2" t="s">
        <v>118</v>
      </c>
      <c r="AA2324" s="2" t="s">
        <v>191</v>
      </c>
      <c r="AF2324" s="2">
        <f t="shared" si="263"/>
        <v>0</v>
      </c>
      <c r="AJ2324" s="2">
        <f t="shared" si="264"/>
        <v>0</v>
      </c>
      <c r="AK2324" s="2">
        <f t="shared" si="265"/>
        <v>25</v>
      </c>
      <c r="AL2324" s="5">
        <f t="shared" si="262"/>
        <v>0.5</v>
      </c>
    </row>
    <row r="2325" spans="1:38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6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3"/>
        <v>0</v>
      </c>
      <c r="AJ2325" s="2">
        <f t="shared" si="264"/>
        <v>0</v>
      </c>
      <c r="AK2325" s="2">
        <f t="shared" si="265"/>
        <v>273.13</v>
      </c>
      <c r="AL2325" s="5">
        <f t="shared" si="262"/>
        <v>1</v>
      </c>
    </row>
    <row r="2326" spans="1:38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2106</v>
      </c>
      <c r="P2326" s="2" t="s">
        <v>115</v>
      </c>
      <c r="Q2326" s="2" t="s">
        <v>2107</v>
      </c>
      <c r="R2326" s="2" t="s">
        <v>2108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6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3"/>
        <v>0</v>
      </c>
      <c r="AG2326" s="2">
        <v>42.23</v>
      </c>
      <c r="AJ2326" s="2">
        <f t="shared" si="264"/>
        <v>0</v>
      </c>
      <c r="AK2326" s="2">
        <f t="shared" si="265"/>
        <v>12.900000000000006</v>
      </c>
      <c r="AL2326" s="5">
        <f t="shared" si="262"/>
        <v>0.23399238164338845</v>
      </c>
    </row>
    <row r="2327" spans="1:38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2106</v>
      </c>
      <c r="P2327" s="2" t="s">
        <v>115</v>
      </c>
      <c r="Q2327" s="2" t="s">
        <v>1428</v>
      </c>
      <c r="R2327" s="2" t="s">
        <v>1429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6"/>
        <v>1</v>
      </c>
      <c r="AF2327" s="2">
        <f t="shared" si="263"/>
        <v>0</v>
      </c>
      <c r="AJ2327" s="2">
        <f t="shared" si="264"/>
        <v>0</v>
      </c>
      <c r="AK2327" s="2">
        <f t="shared" si="265"/>
        <v>1867.81</v>
      </c>
      <c r="AL2327" s="5">
        <f t="shared" si="262"/>
        <v>1</v>
      </c>
    </row>
    <row r="2328" spans="1:38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2109</v>
      </c>
      <c r="P2328" s="2" t="s">
        <v>115</v>
      </c>
      <c r="Q2328" s="2" t="s">
        <v>1893</v>
      </c>
      <c r="R2328" s="2" t="s">
        <v>1894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6"/>
        <v>1</v>
      </c>
      <c r="Z2328" s="2" t="s">
        <v>105</v>
      </c>
      <c r="AF2328" s="2">
        <f t="shared" si="263"/>
        <v>0</v>
      </c>
      <c r="AJ2328" s="2">
        <f t="shared" si="264"/>
        <v>0</v>
      </c>
      <c r="AK2328" s="2">
        <f t="shared" si="265"/>
        <v>4700</v>
      </c>
      <c r="AL2328" s="5">
        <f t="shared" si="262"/>
        <v>1</v>
      </c>
    </row>
    <row r="2329" spans="1:38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2110</v>
      </c>
      <c r="P2329" s="2" t="s">
        <v>283</v>
      </c>
      <c r="Q2329" s="2" t="s">
        <v>1072</v>
      </c>
      <c r="R2329" s="2" t="s">
        <v>1073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6"/>
        <v>0.33387665198237887</v>
      </c>
      <c r="Z2329" s="2" t="s">
        <v>3237</v>
      </c>
      <c r="AA2329" s="2" t="s">
        <v>72</v>
      </c>
      <c r="AB2329" s="2" t="s">
        <v>120</v>
      </c>
      <c r="AC2329" s="2" t="s">
        <v>120</v>
      </c>
      <c r="AF2329" s="2">
        <f t="shared" si="263"/>
        <v>0</v>
      </c>
      <c r="AJ2329" s="2">
        <f t="shared" si="264"/>
        <v>0</v>
      </c>
      <c r="AK2329" s="2">
        <f t="shared" si="265"/>
        <v>6.0632000000000001</v>
      </c>
      <c r="AL2329" s="5">
        <f t="shared" si="262"/>
        <v>0.33387665198237887</v>
      </c>
    </row>
    <row r="2330" spans="1:38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2110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66"/>
        <v>0.24999999999999994</v>
      </c>
      <c r="Z2330" s="2" t="s">
        <v>3237</v>
      </c>
      <c r="AA2330" s="2" t="s">
        <v>46</v>
      </c>
      <c r="AB2330" s="2" t="s">
        <v>47</v>
      </c>
      <c r="AC2330" s="2" t="s">
        <v>48</v>
      </c>
      <c r="AF2330" s="2">
        <f t="shared" si="263"/>
        <v>0</v>
      </c>
      <c r="AG2330" s="2">
        <v>10.2346</v>
      </c>
      <c r="AH2330" s="2">
        <v>18</v>
      </c>
      <c r="AJ2330" s="2">
        <f t="shared" si="264"/>
        <v>0</v>
      </c>
      <c r="AK2330" s="2">
        <f t="shared" si="265"/>
        <v>9.5999999999999979</v>
      </c>
      <c r="AL2330" s="5">
        <f t="shared" si="262"/>
        <v>0.24999999999999994</v>
      </c>
    </row>
    <row r="2331" spans="1:38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2110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66"/>
        <v>0.58333333333333337</v>
      </c>
      <c r="Z2331" s="2" t="s">
        <v>3237</v>
      </c>
      <c r="AA2331" s="2" t="s">
        <v>46</v>
      </c>
      <c r="AB2331" s="2" t="s">
        <v>47</v>
      </c>
      <c r="AC2331" s="2" t="s">
        <v>48</v>
      </c>
      <c r="AF2331" s="2">
        <f t="shared" si="263"/>
        <v>0</v>
      </c>
      <c r="AJ2331" s="2">
        <f t="shared" si="264"/>
        <v>0</v>
      </c>
      <c r="AK2331" s="2">
        <f t="shared" si="265"/>
        <v>22.4</v>
      </c>
      <c r="AL2331" s="5">
        <f t="shared" si="262"/>
        <v>0.58333333333333337</v>
      </c>
    </row>
    <row r="2332" spans="1:38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2110</v>
      </c>
      <c r="P2332" s="2" t="s">
        <v>43</v>
      </c>
      <c r="Q2332" s="2" t="s">
        <v>1168</v>
      </c>
      <c r="R2332" s="2" t="s">
        <v>1169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66"/>
        <v>0.43636363636363634</v>
      </c>
      <c r="Z2332" s="2" t="s">
        <v>3237</v>
      </c>
      <c r="AA2332" s="2" t="s">
        <v>46</v>
      </c>
      <c r="AB2332" s="2" t="s">
        <v>47</v>
      </c>
      <c r="AC2332" s="2" t="s">
        <v>48</v>
      </c>
      <c r="AF2332" s="2">
        <f t="shared" si="263"/>
        <v>0</v>
      </c>
      <c r="AJ2332" s="2">
        <f t="shared" si="264"/>
        <v>0</v>
      </c>
      <c r="AK2332" s="2">
        <f t="shared" si="265"/>
        <v>14.399999999999999</v>
      </c>
      <c r="AL2332" s="5">
        <f t="shared" si="262"/>
        <v>0.43636363636363634</v>
      </c>
    </row>
    <row r="2333" spans="1:38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2106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6"/>
        <v>0.6</v>
      </c>
      <c r="Z2333" s="2" t="s">
        <v>118</v>
      </c>
      <c r="AA2333" s="2" t="s">
        <v>191</v>
      </c>
      <c r="AF2333" s="2">
        <f t="shared" si="263"/>
        <v>0</v>
      </c>
      <c r="AJ2333" s="2">
        <f t="shared" si="264"/>
        <v>0</v>
      </c>
      <c r="AK2333" s="2">
        <f t="shared" si="265"/>
        <v>47.4</v>
      </c>
      <c r="AL2333" s="5">
        <f t="shared" si="262"/>
        <v>0.6</v>
      </c>
    </row>
    <row r="2334" spans="1:38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2106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6"/>
        <v>0.5</v>
      </c>
      <c r="Z2334" s="2" t="s">
        <v>118</v>
      </c>
      <c r="AA2334" s="2" t="s">
        <v>191</v>
      </c>
      <c r="AF2334" s="2">
        <f t="shared" si="263"/>
        <v>0</v>
      </c>
      <c r="AJ2334" s="2">
        <f t="shared" si="264"/>
        <v>0</v>
      </c>
      <c r="AK2334" s="2">
        <f t="shared" si="265"/>
        <v>50</v>
      </c>
      <c r="AL2334" s="5">
        <f t="shared" si="262"/>
        <v>0.5</v>
      </c>
    </row>
    <row r="2335" spans="1:38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2109</v>
      </c>
      <c r="P2335" s="2" t="s">
        <v>188</v>
      </c>
      <c r="Q2335" s="2" t="s">
        <v>1312</v>
      </c>
      <c r="R2335" s="2" t="s">
        <v>1313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1314</v>
      </c>
      <c r="AF2335" s="2">
        <f t="shared" si="263"/>
        <v>0</v>
      </c>
      <c r="AJ2335" s="2">
        <f t="shared" si="264"/>
        <v>0</v>
      </c>
      <c r="AK2335" s="2">
        <f t="shared" si="265"/>
        <v>0</v>
      </c>
      <c r="AL2335" s="5" t="e">
        <f t="shared" si="262"/>
        <v>#DIV/0!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2111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7">(T2336-W2336)/T2336</f>
        <v>0.430969696969697</v>
      </c>
      <c r="Z2336" s="2" t="s">
        <v>3237</v>
      </c>
      <c r="AA2336" s="2" t="s">
        <v>46</v>
      </c>
      <c r="AB2336" s="2" t="s">
        <v>61</v>
      </c>
      <c r="AC2336" s="2" t="s">
        <v>58</v>
      </c>
      <c r="AF2336" s="2">
        <f t="shared" si="263"/>
        <v>0</v>
      </c>
      <c r="AG2336" s="2">
        <v>3.7555999999999998</v>
      </c>
      <c r="AH2336" s="2">
        <v>7.2</v>
      </c>
      <c r="AJ2336" s="2">
        <f t="shared" si="264"/>
        <v>0</v>
      </c>
      <c r="AK2336" s="2">
        <f t="shared" si="265"/>
        <v>34.132800000000003</v>
      </c>
      <c r="AL2336" s="5">
        <f t="shared" si="262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2111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7"/>
        <v>0.5243888888888889</v>
      </c>
      <c r="Z2337" s="2" t="s">
        <v>3237</v>
      </c>
      <c r="AA2337" s="2" t="s">
        <v>46</v>
      </c>
      <c r="AB2337" s="2" t="s">
        <v>61</v>
      </c>
      <c r="AC2337" s="2" t="s">
        <v>58</v>
      </c>
      <c r="AF2337" s="2">
        <f t="shared" si="263"/>
        <v>0</v>
      </c>
      <c r="AG2337" s="2">
        <v>0.85609999999999997</v>
      </c>
      <c r="AH2337" s="2">
        <v>1.8</v>
      </c>
      <c r="AJ2337" s="2">
        <f t="shared" si="264"/>
        <v>0</v>
      </c>
      <c r="AK2337" s="2">
        <f t="shared" si="265"/>
        <v>11.326800000000002</v>
      </c>
      <c r="AL2337" s="5">
        <f t="shared" si="262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2111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7"/>
        <v>0.62926666666666664</v>
      </c>
      <c r="Z2338" s="2" t="s">
        <v>3237</v>
      </c>
      <c r="AA2338" s="2" t="s">
        <v>46</v>
      </c>
      <c r="AB2338" s="2" t="s">
        <v>61</v>
      </c>
      <c r="AC2338" s="2" t="s">
        <v>58</v>
      </c>
      <c r="AF2338" s="2">
        <f t="shared" si="263"/>
        <v>0</v>
      </c>
      <c r="AG2338" s="2">
        <v>1.1122000000000001</v>
      </c>
      <c r="AH2338" s="2">
        <v>3</v>
      </c>
      <c r="AJ2338" s="2">
        <f t="shared" si="264"/>
        <v>0</v>
      </c>
      <c r="AK2338" s="2">
        <f t="shared" si="265"/>
        <v>18.878</v>
      </c>
      <c r="AL2338" s="5">
        <f t="shared" si="262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2112</v>
      </c>
      <c r="P2339" s="2" t="s">
        <v>115</v>
      </c>
      <c r="Q2339" s="2" t="s">
        <v>1521</v>
      </c>
      <c r="R2339" s="2" t="s">
        <v>1522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7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3"/>
        <v>0</v>
      </c>
      <c r="AJ2339" s="2">
        <f t="shared" si="264"/>
        <v>0</v>
      </c>
      <c r="AK2339" s="2">
        <f t="shared" si="265"/>
        <v>33.33</v>
      </c>
      <c r="AL2339" s="5">
        <f t="shared" si="262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2112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7"/>
        <v>0.59999999999999987</v>
      </c>
      <c r="Z2340" s="2" t="s">
        <v>118</v>
      </c>
      <c r="AA2340" s="2" t="s">
        <v>191</v>
      </c>
      <c r="AF2340" s="2">
        <f t="shared" si="263"/>
        <v>0</v>
      </c>
      <c r="AJ2340" s="2">
        <f t="shared" si="264"/>
        <v>0</v>
      </c>
      <c r="AK2340" s="2">
        <f t="shared" si="265"/>
        <v>36.599999999999994</v>
      </c>
      <c r="AL2340" s="5">
        <f t="shared" si="262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2112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7"/>
        <v>0.5</v>
      </c>
      <c r="Z2341" s="2" t="s">
        <v>118</v>
      </c>
      <c r="AA2341" s="2" t="s">
        <v>191</v>
      </c>
      <c r="AF2341" s="2">
        <f t="shared" si="263"/>
        <v>0</v>
      </c>
      <c r="AJ2341" s="2">
        <f t="shared" si="264"/>
        <v>0</v>
      </c>
      <c r="AK2341" s="2">
        <f t="shared" si="265"/>
        <v>62.5</v>
      </c>
      <c r="AL2341" s="5">
        <f t="shared" si="262"/>
        <v>0.5</v>
      </c>
    </row>
    <row r="2342" spans="1:38" x14ac:dyDescent="0.2">
      <c r="A2342" s="2">
        <v>2025</v>
      </c>
      <c r="B2342" s="2">
        <v>12</v>
      </c>
      <c r="D2342" s="2" t="s">
        <v>2113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7"/>
        <v>0.59999999999999987</v>
      </c>
      <c r="Z2342" s="2" t="s">
        <v>118</v>
      </c>
      <c r="AA2342" s="2" t="s">
        <v>191</v>
      </c>
      <c r="AF2342" s="2">
        <f t="shared" si="263"/>
        <v>0</v>
      </c>
      <c r="AJ2342" s="2">
        <f t="shared" si="264"/>
        <v>0</v>
      </c>
      <c r="AK2342" s="2">
        <f t="shared" si="265"/>
        <v>42.599999999999994</v>
      </c>
      <c r="AL2342" s="5">
        <f t="shared" si="262"/>
        <v>0.59999999999999987</v>
      </c>
    </row>
    <row r="2343" spans="1:38" x14ac:dyDescent="0.2">
      <c r="A2343" s="2">
        <v>2025</v>
      </c>
      <c r="B2343" s="2">
        <v>12</v>
      </c>
      <c r="D2343" s="2" t="s">
        <v>2113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7"/>
        <v>0.5</v>
      </c>
      <c r="Z2343" s="2" t="s">
        <v>118</v>
      </c>
      <c r="AA2343" s="2" t="s">
        <v>191</v>
      </c>
      <c r="AF2343" s="2">
        <f t="shared" si="263"/>
        <v>0</v>
      </c>
      <c r="AJ2343" s="2">
        <f t="shared" si="264"/>
        <v>0</v>
      </c>
      <c r="AK2343" s="2">
        <f t="shared" si="265"/>
        <v>25</v>
      </c>
      <c r="AL2343" s="5">
        <f t="shared" si="262"/>
        <v>0.5</v>
      </c>
    </row>
    <row r="2344" spans="1:38" x14ac:dyDescent="0.2">
      <c r="A2344" s="2">
        <v>2025</v>
      </c>
      <c r="B2344" s="2">
        <v>12</v>
      </c>
      <c r="D2344" s="2" t="s">
        <v>2113</v>
      </c>
      <c r="P2344" s="2" t="s">
        <v>188</v>
      </c>
      <c r="Q2344" s="2" t="s">
        <v>1312</v>
      </c>
      <c r="R2344" s="2" t="s">
        <v>1313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7"/>
        <v>1</v>
      </c>
      <c r="Z2344" s="2" t="s">
        <v>118</v>
      </c>
      <c r="AA2344" s="2" t="s">
        <v>1314</v>
      </c>
      <c r="AF2344" s="2">
        <f t="shared" si="263"/>
        <v>0</v>
      </c>
      <c r="AJ2344" s="2">
        <f t="shared" si="264"/>
        <v>0</v>
      </c>
      <c r="AK2344" s="2">
        <f t="shared" si="265"/>
        <v>45</v>
      </c>
      <c r="AL2344" s="5">
        <f t="shared" si="262"/>
        <v>1</v>
      </c>
    </row>
    <row r="2345" spans="1:38" x14ac:dyDescent="0.2">
      <c r="A2345" s="2">
        <v>2025</v>
      </c>
      <c r="B2345" s="2">
        <v>12</v>
      </c>
      <c r="D2345" s="2" t="s">
        <v>1171</v>
      </c>
      <c r="E2345" s="2" t="s">
        <v>754</v>
      </c>
      <c r="F2345" s="2" t="s">
        <v>1172</v>
      </c>
      <c r="G2345" s="2">
        <v>505760088</v>
      </c>
      <c r="H2345" s="2" t="s">
        <v>291</v>
      </c>
      <c r="I2345" s="2" t="s">
        <v>1173</v>
      </c>
      <c r="J2345" s="2" t="s">
        <v>1174</v>
      </c>
      <c r="L2345" s="2" t="s">
        <v>340</v>
      </c>
      <c r="M2345" s="2" t="s">
        <v>1175</v>
      </c>
      <c r="O2345" s="2" t="s">
        <v>2114</v>
      </c>
      <c r="P2345" s="2" t="s">
        <v>43</v>
      </c>
      <c r="Q2345" s="2" t="s">
        <v>974</v>
      </c>
      <c r="R2345" s="2" t="s">
        <v>975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7"/>
        <v>0.36885999999999997</v>
      </c>
      <c r="Z2345" s="2" t="s">
        <v>3237</v>
      </c>
      <c r="AA2345" s="2" t="s">
        <v>46</v>
      </c>
      <c r="AB2345" s="2" t="s">
        <v>61</v>
      </c>
      <c r="AC2345" s="2" t="s">
        <v>58</v>
      </c>
      <c r="AF2345" s="2">
        <f t="shared" si="263"/>
        <v>0</v>
      </c>
      <c r="AG2345" s="2">
        <v>18.934200000000001</v>
      </c>
      <c r="AH2345" s="2">
        <v>29</v>
      </c>
      <c r="AJ2345" s="2">
        <f t="shared" si="264"/>
        <v>0</v>
      </c>
      <c r="AK2345" s="2">
        <f t="shared" si="265"/>
        <v>44.263199999999998</v>
      </c>
      <c r="AL2345" s="5">
        <f t="shared" si="262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7"/>
        <v>0.6</v>
      </c>
      <c r="Z2346" s="2" t="s">
        <v>118</v>
      </c>
      <c r="AA2346" s="2" t="s">
        <v>191</v>
      </c>
      <c r="AF2346" s="2">
        <f t="shared" si="263"/>
        <v>0</v>
      </c>
      <c r="AJ2346" s="2">
        <f t="shared" si="264"/>
        <v>0</v>
      </c>
      <c r="AK2346" s="2">
        <f t="shared" si="265"/>
        <v>34.799999999999997</v>
      </c>
      <c r="AL2346" s="5">
        <f t="shared" si="262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7"/>
        <v>0.5</v>
      </c>
      <c r="Z2347" s="2" t="s">
        <v>118</v>
      </c>
      <c r="AA2347" s="2" t="s">
        <v>191</v>
      </c>
      <c r="AF2347" s="2">
        <f t="shared" si="263"/>
        <v>0</v>
      </c>
      <c r="AJ2347" s="2">
        <f t="shared" si="264"/>
        <v>0</v>
      </c>
      <c r="AK2347" s="2">
        <f t="shared" si="265"/>
        <v>18.75</v>
      </c>
      <c r="AL2347" s="5">
        <f t="shared" si="262"/>
        <v>0.5</v>
      </c>
    </row>
    <row r="2348" spans="1:38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7"/>
        <v>0.41191666666666665</v>
      </c>
      <c r="Z2348" s="2" t="s">
        <v>3237</v>
      </c>
      <c r="AA2348" s="2" t="s">
        <v>46</v>
      </c>
      <c r="AB2348" s="2" t="s">
        <v>61</v>
      </c>
      <c r="AC2348" s="2" t="s">
        <v>58</v>
      </c>
      <c r="AF2348" s="2">
        <f t="shared" si="263"/>
        <v>0</v>
      </c>
      <c r="AG2348" s="2">
        <v>1.4114</v>
      </c>
      <c r="AH2348" s="2">
        <v>3</v>
      </c>
      <c r="AJ2348" s="2">
        <f t="shared" si="264"/>
        <v>0</v>
      </c>
      <c r="AK2348" s="2">
        <f t="shared" si="265"/>
        <v>3.9543999999999997</v>
      </c>
      <c r="AL2348" s="5">
        <f t="shared" si="262"/>
        <v>0.41191666666666665</v>
      </c>
    </row>
    <row r="2349" spans="1:38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2115</v>
      </c>
      <c r="P2349" s="2" t="s">
        <v>43</v>
      </c>
      <c r="Q2349" s="2" t="s">
        <v>2116</v>
      </c>
      <c r="R2349" s="2" t="s">
        <v>2117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7"/>
        <v>0.49208333333333326</v>
      </c>
      <c r="Z2349" s="2" t="s">
        <v>3237</v>
      </c>
      <c r="AA2349" s="2" t="s">
        <v>46</v>
      </c>
      <c r="AB2349" s="2" t="s">
        <v>61</v>
      </c>
      <c r="AC2349" s="2" t="s">
        <v>58</v>
      </c>
      <c r="AF2349" s="2">
        <f t="shared" si="263"/>
        <v>0</v>
      </c>
      <c r="AG2349" s="2">
        <v>1.2190000000000001</v>
      </c>
      <c r="AH2349" s="2">
        <v>3</v>
      </c>
      <c r="AJ2349" s="2">
        <f t="shared" si="264"/>
        <v>0</v>
      </c>
      <c r="AK2349" s="2">
        <f t="shared" si="265"/>
        <v>4.7239999999999993</v>
      </c>
      <c r="AL2349" s="5">
        <f t="shared" si="262"/>
        <v>0.49208333333333326</v>
      </c>
    </row>
    <row r="2350" spans="1:38" x14ac:dyDescent="0.2">
      <c r="A2350" s="2">
        <v>2025</v>
      </c>
      <c r="B2350" s="2">
        <v>12</v>
      </c>
      <c r="D2350" s="2" t="s">
        <v>2118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7"/>
        <v>1</v>
      </c>
      <c r="Z2350" s="2" t="s">
        <v>120</v>
      </c>
      <c r="AA2350" s="2" t="s">
        <v>3392</v>
      </c>
      <c r="AF2350" s="2">
        <f t="shared" si="263"/>
        <v>0</v>
      </c>
      <c r="AJ2350" s="2">
        <f t="shared" si="264"/>
        <v>0</v>
      </c>
      <c r="AK2350" s="2">
        <f t="shared" si="265"/>
        <v>18.260000000000002</v>
      </c>
      <c r="AL2350" s="5">
        <f t="shared" si="262"/>
        <v>1</v>
      </c>
    </row>
    <row r="2351" spans="1:38" x14ac:dyDescent="0.2">
      <c r="A2351" s="2">
        <v>2025</v>
      </c>
      <c r="B2351" s="2">
        <v>12</v>
      </c>
      <c r="D2351" s="2" t="s">
        <v>2119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3392</v>
      </c>
      <c r="AF2351" s="2">
        <f t="shared" si="263"/>
        <v>0</v>
      </c>
      <c r="AJ2351" s="2">
        <f t="shared" si="264"/>
        <v>0</v>
      </c>
    </row>
    <row r="2352" spans="1:38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2120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7"/>
        <v>0.6</v>
      </c>
      <c r="Z2352" s="2" t="s">
        <v>118</v>
      </c>
      <c r="AA2352" s="2" t="s">
        <v>191</v>
      </c>
      <c r="AF2352" s="2">
        <f t="shared" si="263"/>
        <v>0</v>
      </c>
      <c r="AJ2352" s="2">
        <f t="shared" si="264"/>
        <v>0</v>
      </c>
      <c r="AK2352" s="2">
        <f t="shared" si="265"/>
        <v>58.949999999999996</v>
      </c>
      <c r="AL2352" s="5">
        <f t="shared" si="262"/>
        <v>0.6</v>
      </c>
    </row>
    <row r="2353" spans="1:38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2120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7"/>
        <v>0.5</v>
      </c>
      <c r="Z2353" s="2" t="s">
        <v>118</v>
      </c>
      <c r="AA2353" s="2" t="s">
        <v>191</v>
      </c>
      <c r="AF2353" s="2">
        <f t="shared" si="263"/>
        <v>0</v>
      </c>
      <c r="AJ2353" s="2">
        <f t="shared" si="264"/>
        <v>0</v>
      </c>
      <c r="AK2353" s="2">
        <f t="shared" si="265"/>
        <v>16.875</v>
      </c>
      <c r="AL2353" s="5">
        <f t="shared" si="262"/>
        <v>0.5</v>
      </c>
    </row>
    <row r="2354" spans="1:38" x14ac:dyDescent="0.2">
      <c r="A2354" s="2">
        <v>2025</v>
      </c>
      <c r="B2354" s="2">
        <v>12</v>
      </c>
      <c r="D2354" s="2" t="s">
        <v>2121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7"/>
        <v>#DIV/0!</v>
      </c>
      <c r="AF2354" s="2">
        <f t="shared" si="263"/>
        <v>0</v>
      </c>
      <c r="AJ2354" s="2">
        <f t="shared" si="264"/>
        <v>0</v>
      </c>
      <c r="AK2354" s="2">
        <f t="shared" si="265"/>
        <v>0</v>
      </c>
      <c r="AL2354" s="5" t="e">
        <f t="shared" si="262"/>
        <v>#DIV/0!</v>
      </c>
    </row>
    <row r="2355" spans="1:38" x14ac:dyDescent="0.2">
      <c r="A2355" s="2">
        <v>2025</v>
      </c>
      <c r="B2355" s="2">
        <v>12</v>
      </c>
      <c r="D2355" s="2" t="s">
        <v>2121</v>
      </c>
      <c r="P2355" s="2" t="s">
        <v>115</v>
      </c>
      <c r="Q2355" s="2" t="s">
        <v>2122</v>
      </c>
      <c r="R2355" s="2" t="s">
        <v>2123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7"/>
        <v>1</v>
      </c>
      <c r="AF2355" s="2">
        <f t="shared" si="263"/>
        <v>0</v>
      </c>
      <c r="AJ2355" s="2">
        <f t="shared" si="264"/>
        <v>0</v>
      </c>
      <c r="AK2355" s="2">
        <f t="shared" si="265"/>
        <v>669.3</v>
      </c>
      <c r="AL2355" s="5">
        <f t="shared" ref="AL2355:AL2418" si="268">(T2355-W2355)/T2355</f>
        <v>1</v>
      </c>
    </row>
    <row r="2356" spans="1:38" x14ac:dyDescent="0.2">
      <c r="A2356" s="2">
        <v>2025</v>
      </c>
      <c r="B2356" s="2">
        <v>12</v>
      </c>
      <c r="D2356" s="2" t="s">
        <v>2121</v>
      </c>
      <c r="P2356" s="2" t="s">
        <v>115</v>
      </c>
      <c r="Q2356" s="2" t="s">
        <v>1186</v>
      </c>
      <c r="R2356" s="2" t="s">
        <v>1187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7"/>
        <v>1</v>
      </c>
      <c r="Z2356" s="2" t="s">
        <v>105</v>
      </c>
      <c r="AF2356" s="2">
        <f t="shared" si="263"/>
        <v>0</v>
      </c>
      <c r="AJ2356" s="2">
        <f t="shared" si="264"/>
        <v>0</v>
      </c>
      <c r="AK2356" s="2">
        <f t="shared" si="265"/>
        <v>11834</v>
      </c>
      <c r="AL2356" s="5">
        <f t="shared" si="268"/>
        <v>1</v>
      </c>
    </row>
    <row r="2357" spans="1:38" x14ac:dyDescent="0.2">
      <c r="A2357" s="2">
        <v>2025</v>
      </c>
      <c r="B2357" s="2">
        <v>12</v>
      </c>
      <c r="D2357" s="2" t="s">
        <v>2124</v>
      </c>
      <c r="Q2357" s="2" t="s">
        <v>2125</v>
      </c>
      <c r="R2357" s="2" t="s">
        <v>2126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7"/>
        <v>#DIV/0!</v>
      </c>
      <c r="Z2357" s="2" t="s">
        <v>105</v>
      </c>
      <c r="AF2357" s="2">
        <f t="shared" si="263"/>
        <v>0</v>
      </c>
      <c r="AJ2357" s="2">
        <f t="shared" si="264"/>
        <v>0</v>
      </c>
      <c r="AK2357" s="2">
        <f t="shared" si="265"/>
        <v>0</v>
      </c>
      <c r="AL2357" s="5" t="e">
        <f t="shared" si="268"/>
        <v>#DIV/0!</v>
      </c>
    </row>
    <row r="2358" spans="1:38" x14ac:dyDescent="0.2">
      <c r="A2358" s="2">
        <v>2025</v>
      </c>
      <c r="B2358" s="2">
        <v>12</v>
      </c>
      <c r="D2358" s="2" t="s">
        <v>2124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7"/>
        <v>1</v>
      </c>
      <c r="Z2358" s="2" t="s">
        <v>120</v>
      </c>
      <c r="AA2358" s="2" t="s">
        <v>3392</v>
      </c>
      <c r="AF2358" s="2">
        <f t="shared" si="263"/>
        <v>0</v>
      </c>
      <c r="AJ2358" s="2">
        <f t="shared" si="264"/>
        <v>0</v>
      </c>
      <c r="AK2358" s="2">
        <f t="shared" si="265"/>
        <v>5000</v>
      </c>
      <c r="AL2358" s="5">
        <f t="shared" si="268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7"/>
        <v>0.6</v>
      </c>
      <c r="Z2359" s="2" t="s">
        <v>118</v>
      </c>
      <c r="AA2359" s="2" t="s">
        <v>191</v>
      </c>
      <c r="AF2359" s="2">
        <f t="shared" si="263"/>
        <v>0</v>
      </c>
      <c r="AJ2359" s="2">
        <f t="shared" si="264"/>
        <v>0</v>
      </c>
      <c r="AK2359" s="2">
        <f t="shared" si="265"/>
        <v>22.5</v>
      </c>
      <c r="AL2359" s="5">
        <f t="shared" si="268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7"/>
        <v>0.5</v>
      </c>
      <c r="Z2360" s="2" t="s">
        <v>118</v>
      </c>
      <c r="AA2360" s="2" t="s">
        <v>191</v>
      </c>
      <c r="AF2360" s="2">
        <f t="shared" si="263"/>
        <v>0</v>
      </c>
      <c r="AJ2360" s="2">
        <f t="shared" si="264"/>
        <v>0</v>
      </c>
      <c r="AK2360" s="2">
        <f t="shared" si="265"/>
        <v>18</v>
      </c>
      <c r="AL2360" s="5">
        <f t="shared" si="268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2127</v>
      </c>
      <c r="P2361" s="2" t="s">
        <v>43</v>
      </c>
      <c r="Q2361" s="2" t="s">
        <v>972</v>
      </c>
      <c r="R2361" s="2" t="s">
        <v>973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7"/>
        <v>1</v>
      </c>
      <c r="Z2361" s="2" t="s">
        <v>3237</v>
      </c>
      <c r="AA2361" s="2" t="s">
        <v>46</v>
      </c>
      <c r="AB2361" s="2" t="s">
        <v>61</v>
      </c>
      <c r="AC2361" s="2" t="s">
        <v>58</v>
      </c>
      <c r="AF2361" s="2">
        <f t="shared" si="263"/>
        <v>0</v>
      </c>
      <c r="AJ2361" s="2">
        <f t="shared" si="264"/>
        <v>0</v>
      </c>
      <c r="AK2361" s="2">
        <f t="shared" si="265"/>
        <v>648</v>
      </c>
      <c r="AL2361" s="5">
        <f t="shared" si="268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2128</v>
      </c>
      <c r="P2362" s="2" t="s">
        <v>43</v>
      </c>
      <c r="Q2362" s="2" t="s">
        <v>974</v>
      </c>
      <c r="R2362" s="2" t="s">
        <v>975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7"/>
        <v>1</v>
      </c>
      <c r="Z2362" s="2" t="s">
        <v>3237</v>
      </c>
      <c r="AA2362" s="2" t="s">
        <v>46</v>
      </c>
      <c r="AB2362" s="2" t="s">
        <v>61</v>
      </c>
      <c r="AC2362" s="2" t="s">
        <v>58</v>
      </c>
      <c r="AF2362" s="2">
        <f t="shared" si="263"/>
        <v>0</v>
      </c>
      <c r="AJ2362" s="2">
        <f t="shared" si="264"/>
        <v>0</v>
      </c>
      <c r="AK2362" s="2">
        <f t="shared" si="265"/>
        <v>648</v>
      </c>
      <c r="AL2362" s="5">
        <f t="shared" si="268"/>
        <v>1</v>
      </c>
    </row>
    <row r="2363" spans="1:38" x14ac:dyDescent="0.2">
      <c r="A2363" s="2">
        <v>2025</v>
      </c>
      <c r="B2363" s="2">
        <v>12</v>
      </c>
      <c r="D2363" s="2" t="s">
        <v>2129</v>
      </c>
      <c r="P2363" s="2" t="s">
        <v>283</v>
      </c>
      <c r="Q2363" s="2" t="s">
        <v>1554</v>
      </c>
      <c r="R2363" s="2" t="s">
        <v>1555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7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3"/>
        <v>0</v>
      </c>
      <c r="AJ2363" s="2">
        <f t="shared" si="264"/>
        <v>0</v>
      </c>
      <c r="AK2363" s="2">
        <f t="shared" si="265"/>
        <v>109</v>
      </c>
      <c r="AL2363" s="5">
        <f t="shared" si="268"/>
        <v>0.26847290640394089</v>
      </c>
    </row>
    <row r="2364" spans="1:38" x14ac:dyDescent="0.2">
      <c r="A2364" s="2">
        <v>2025</v>
      </c>
      <c r="B2364" s="2">
        <v>12</v>
      </c>
      <c r="D2364" s="2" t="s">
        <v>2130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7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3"/>
        <v>0</v>
      </c>
      <c r="AJ2364" s="2">
        <f t="shared" si="264"/>
        <v>0</v>
      </c>
      <c r="AK2364" s="2">
        <f t="shared" si="265"/>
        <v>4320.6000000000004</v>
      </c>
      <c r="AL2364" s="5">
        <f t="shared" si="268"/>
        <v>0.28823215476984659</v>
      </c>
    </row>
    <row r="2365" spans="1:38" x14ac:dyDescent="0.2">
      <c r="A2365" s="2">
        <v>2025</v>
      </c>
      <c r="B2365" s="2">
        <v>12</v>
      </c>
      <c r="D2365" s="2" t="s">
        <v>2131</v>
      </c>
      <c r="P2365" s="2" t="s">
        <v>283</v>
      </c>
      <c r="Q2365" s="2" t="s">
        <v>2132</v>
      </c>
      <c r="R2365" s="2" t="s">
        <v>2133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7"/>
        <v>1</v>
      </c>
      <c r="Z2365" s="2" t="s">
        <v>3237</v>
      </c>
      <c r="AF2365" s="2">
        <f t="shared" si="263"/>
        <v>0</v>
      </c>
      <c r="AJ2365" s="2">
        <f t="shared" si="264"/>
        <v>0</v>
      </c>
      <c r="AK2365" s="2">
        <f t="shared" si="265"/>
        <v>239.8</v>
      </c>
      <c r="AL2365" s="5">
        <f t="shared" si="268"/>
        <v>1</v>
      </c>
    </row>
    <row r="2366" spans="1:38" x14ac:dyDescent="0.2">
      <c r="A2366" s="2">
        <v>2025</v>
      </c>
      <c r="B2366" s="2">
        <v>12</v>
      </c>
      <c r="D2366" s="2" t="s">
        <v>2131</v>
      </c>
      <c r="P2366" s="2" t="s">
        <v>283</v>
      </c>
      <c r="Q2366" s="2" t="s">
        <v>1710</v>
      </c>
      <c r="R2366" s="2" t="s">
        <v>1711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7"/>
        <v>1</v>
      </c>
      <c r="Z2366" s="2" t="s">
        <v>3237</v>
      </c>
      <c r="AF2366" s="2">
        <f t="shared" si="263"/>
        <v>0</v>
      </c>
      <c r="AJ2366" s="2">
        <f t="shared" si="264"/>
        <v>0</v>
      </c>
      <c r="AK2366" s="2">
        <f t="shared" si="265"/>
        <v>759</v>
      </c>
      <c r="AL2366" s="5">
        <f t="shared" si="268"/>
        <v>1</v>
      </c>
    </row>
    <row r="2367" spans="1:38" x14ac:dyDescent="0.2">
      <c r="A2367" s="2">
        <v>2025</v>
      </c>
      <c r="B2367" s="2">
        <v>12</v>
      </c>
      <c r="D2367" s="2" t="s">
        <v>2134</v>
      </c>
      <c r="P2367" s="2" t="s">
        <v>283</v>
      </c>
      <c r="Q2367" s="2" t="s">
        <v>1157</v>
      </c>
      <c r="R2367" s="2" t="s">
        <v>1158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7"/>
        <v>0.30476190476190479</v>
      </c>
      <c r="Z2367" s="2" t="s">
        <v>105</v>
      </c>
      <c r="AA2367" s="2" t="s">
        <v>1581</v>
      </c>
      <c r="AB2367" s="2" t="s">
        <v>389</v>
      </c>
      <c r="AC2367" s="2" t="s">
        <v>1331</v>
      </c>
      <c r="AF2367" s="2">
        <f t="shared" si="263"/>
        <v>0</v>
      </c>
      <c r="AJ2367" s="2">
        <f t="shared" si="264"/>
        <v>0</v>
      </c>
      <c r="AK2367" s="2">
        <f t="shared" si="265"/>
        <v>960</v>
      </c>
      <c r="AL2367" s="5">
        <f t="shared" si="268"/>
        <v>0.30476190476190479</v>
      </c>
    </row>
    <row r="2368" spans="1:38" x14ac:dyDescent="0.2">
      <c r="A2368" s="2">
        <v>2025</v>
      </c>
      <c r="B2368" s="2">
        <v>12</v>
      </c>
      <c r="D2368" s="2" t="s">
        <v>2134</v>
      </c>
      <c r="P2368" s="2" t="s">
        <v>283</v>
      </c>
      <c r="Q2368" s="2" t="s">
        <v>1161</v>
      </c>
      <c r="R2368" s="2" t="s">
        <v>1162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9">(T2368-W2368)/T2368</f>
        <v>#DIV/0!</v>
      </c>
      <c r="AF2368" s="2">
        <f t="shared" si="263"/>
        <v>0</v>
      </c>
      <c r="AJ2368" s="2">
        <f t="shared" si="264"/>
        <v>0</v>
      </c>
      <c r="AK2368" s="2">
        <f t="shared" si="265"/>
        <v>0</v>
      </c>
      <c r="AL2368" s="5" t="e">
        <f t="shared" si="268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9"/>
        <v>0.5243888888888889</v>
      </c>
      <c r="Z2369" s="2" t="s">
        <v>3237</v>
      </c>
      <c r="AA2369" s="2" t="s">
        <v>46</v>
      </c>
      <c r="AB2369" s="2" t="s">
        <v>61</v>
      </c>
      <c r="AC2369" s="2" t="s">
        <v>58</v>
      </c>
      <c r="AF2369" s="2">
        <f t="shared" si="263"/>
        <v>0</v>
      </c>
      <c r="AG2369" s="2">
        <v>0.85609999999999997</v>
      </c>
      <c r="AH2369" s="2">
        <v>1.8</v>
      </c>
      <c r="AJ2369" s="2">
        <f t="shared" si="264"/>
        <v>0</v>
      </c>
      <c r="AK2369" s="2">
        <f t="shared" si="265"/>
        <v>18.878</v>
      </c>
      <c r="AL2369" s="5">
        <f t="shared" si="268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9"/>
        <v>0.34694347826086952</v>
      </c>
      <c r="Z2370" s="2" t="s">
        <v>3237</v>
      </c>
      <c r="AA2370" s="2" t="s">
        <v>46</v>
      </c>
      <c r="AB2370" s="2" t="s">
        <v>68</v>
      </c>
      <c r="AC2370" s="2" t="s">
        <v>58</v>
      </c>
      <c r="AF2370" s="2">
        <f t="shared" si="263"/>
        <v>0</v>
      </c>
      <c r="AG2370" s="2">
        <v>15.020300000000001</v>
      </c>
      <c r="AH2370" s="2">
        <v>27.6</v>
      </c>
      <c r="AJ2370" s="2">
        <f t="shared" si="264"/>
        <v>0</v>
      </c>
      <c r="AK2370" s="2">
        <f t="shared" si="265"/>
        <v>31.918799999999997</v>
      </c>
      <c r="AL2370" s="5">
        <f t="shared" si="268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69"/>
        <v>0.62349999999999994</v>
      </c>
      <c r="Z2371" s="2" t="s">
        <v>3237</v>
      </c>
      <c r="AA2371" s="2" t="s">
        <v>46</v>
      </c>
      <c r="AB2371" s="2" t="s">
        <v>47</v>
      </c>
      <c r="AC2371" s="2" t="s">
        <v>48</v>
      </c>
      <c r="AF2371" s="2">
        <f t="shared" ref="AF2371:AF2434" si="270">AJ2371</f>
        <v>0</v>
      </c>
      <c r="AG2371" s="2">
        <v>11.295</v>
      </c>
      <c r="AJ2371" s="2">
        <f t="shared" ref="AJ2371:AJ2434" si="271">AI2371*T2371</f>
        <v>0</v>
      </c>
      <c r="AK2371" s="2">
        <f t="shared" ref="AK2371:AK2434" si="272">T2371-W2371</f>
        <v>18.704999999999998</v>
      </c>
      <c r="AL2371" s="5">
        <f t="shared" si="268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9"/>
        <v>0.45290151515151511</v>
      </c>
      <c r="Z2372" s="2" t="s">
        <v>3237</v>
      </c>
      <c r="AA2372" s="2" t="s">
        <v>46</v>
      </c>
      <c r="AB2372" s="2" t="s">
        <v>57</v>
      </c>
      <c r="AC2372" s="2" t="s">
        <v>58</v>
      </c>
      <c r="AF2372" s="2">
        <f t="shared" si="270"/>
        <v>0</v>
      </c>
      <c r="AG2372" s="2">
        <v>7.2217000000000002</v>
      </c>
      <c r="AH2372" s="2">
        <v>14.4</v>
      </c>
      <c r="AJ2372" s="2">
        <f t="shared" si="271"/>
        <v>0</v>
      </c>
      <c r="AK2372" s="2">
        <f t="shared" si="272"/>
        <v>5.9782999999999991</v>
      </c>
      <c r="AL2372" s="5">
        <f t="shared" si="268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9"/>
        <v>1</v>
      </c>
      <c r="Z2373" s="2" t="s">
        <v>3237</v>
      </c>
      <c r="AA2373" s="2" t="s">
        <v>46</v>
      </c>
      <c r="AB2373" s="2" t="s">
        <v>57</v>
      </c>
      <c r="AC2373" s="2" t="s">
        <v>58</v>
      </c>
      <c r="AF2373" s="2">
        <f t="shared" si="270"/>
        <v>0</v>
      </c>
      <c r="AJ2373" s="2">
        <f t="shared" si="271"/>
        <v>0</v>
      </c>
      <c r="AK2373" s="2">
        <f t="shared" si="272"/>
        <v>24</v>
      </c>
      <c r="AL2373" s="5">
        <f t="shared" si="268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9"/>
        <v>1</v>
      </c>
      <c r="Z2374" s="2" t="s">
        <v>3237</v>
      </c>
      <c r="AA2374" s="2" t="s">
        <v>46</v>
      </c>
      <c r="AB2374" s="2" t="s">
        <v>57</v>
      </c>
      <c r="AC2374" s="2" t="s">
        <v>58</v>
      </c>
      <c r="AF2374" s="2">
        <f t="shared" si="270"/>
        <v>0</v>
      </c>
      <c r="AJ2374" s="2">
        <f t="shared" si="271"/>
        <v>0</v>
      </c>
      <c r="AK2374" s="2">
        <f t="shared" si="272"/>
        <v>57.6</v>
      </c>
      <c r="AL2374" s="5">
        <f t="shared" si="268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9"/>
        <v>1</v>
      </c>
      <c r="Z2375" s="2" t="s">
        <v>3237</v>
      </c>
      <c r="AA2375" s="2" t="s">
        <v>46</v>
      </c>
      <c r="AB2375" s="2" t="s">
        <v>57</v>
      </c>
      <c r="AC2375" s="2" t="s">
        <v>58</v>
      </c>
      <c r="AF2375" s="2">
        <f t="shared" si="270"/>
        <v>0</v>
      </c>
      <c r="AJ2375" s="2">
        <f t="shared" si="271"/>
        <v>0</v>
      </c>
      <c r="AK2375" s="2">
        <f t="shared" si="272"/>
        <v>33.6</v>
      </c>
      <c r="AL2375" s="5">
        <f t="shared" si="268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9"/>
        <v>0.80399999999999994</v>
      </c>
      <c r="Z2376" s="2" t="s">
        <v>3237</v>
      </c>
      <c r="AA2376" s="2" t="s">
        <v>46</v>
      </c>
      <c r="AB2376" s="2" t="s">
        <v>91</v>
      </c>
      <c r="AC2376" s="2" t="s">
        <v>58</v>
      </c>
      <c r="AF2376" s="2">
        <f t="shared" si="270"/>
        <v>0</v>
      </c>
      <c r="AG2376" s="2">
        <v>0.98</v>
      </c>
      <c r="AH2376" s="2">
        <v>3</v>
      </c>
      <c r="AJ2376" s="2">
        <f t="shared" si="271"/>
        <v>0</v>
      </c>
      <c r="AK2376" s="2">
        <f t="shared" si="272"/>
        <v>4.0199999999999996</v>
      </c>
      <c r="AL2376" s="5">
        <f t="shared" si="268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1979</v>
      </c>
      <c r="R2377" s="2" t="s">
        <v>1980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9"/>
        <v>0.54033333333333333</v>
      </c>
      <c r="Z2377" s="2" t="s">
        <v>3237</v>
      </c>
      <c r="AA2377" s="2" t="s">
        <v>88</v>
      </c>
      <c r="AB2377" s="2" t="s">
        <v>91</v>
      </c>
      <c r="AC2377" s="2" t="s">
        <v>85</v>
      </c>
      <c r="AF2377" s="2">
        <f t="shared" si="270"/>
        <v>0</v>
      </c>
      <c r="AG2377" s="2">
        <v>6.8949999999999996</v>
      </c>
      <c r="AJ2377" s="2">
        <f t="shared" si="271"/>
        <v>0</v>
      </c>
      <c r="AK2377" s="2">
        <f t="shared" si="272"/>
        <v>8.1050000000000004</v>
      </c>
      <c r="AL2377" s="5">
        <f t="shared" si="268"/>
        <v>0.54033333333333333</v>
      </c>
    </row>
    <row r="2378" spans="1:38" x14ac:dyDescent="0.2">
      <c r="A2378" s="2">
        <v>2025</v>
      </c>
      <c r="B2378" s="2">
        <v>12</v>
      </c>
      <c r="D2378" s="2" t="s">
        <v>1358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70"/>
        <v>0</v>
      </c>
      <c r="AJ2378" s="2">
        <f t="shared" si="271"/>
        <v>0</v>
      </c>
      <c r="AK2378" s="2">
        <f t="shared" si="27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1358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9"/>
        <v>0.5</v>
      </c>
      <c r="Z2379" s="2" t="s">
        <v>118</v>
      </c>
      <c r="AA2379" s="2" t="s">
        <v>191</v>
      </c>
      <c r="AF2379" s="2">
        <f t="shared" si="270"/>
        <v>0</v>
      </c>
      <c r="AJ2379" s="2">
        <f t="shared" si="271"/>
        <v>0</v>
      </c>
      <c r="AK2379" s="2">
        <f t="shared" si="272"/>
        <v>12.5</v>
      </c>
      <c r="AL2379" s="5">
        <f t="shared" si="268"/>
        <v>0.5</v>
      </c>
    </row>
    <row r="2380" spans="1:38" x14ac:dyDescent="0.2">
      <c r="A2380" s="2">
        <v>2025</v>
      </c>
      <c r="B2380" s="2">
        <v>12</v>
      </c>
      <c r="D2380" s="2" t="s">
        <v>1359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1360</v>
      </c>
      <c r="L2380" s="2" t="s">
        <v>419</v>
      </c>
      <c r="P2380" s="2" t="s">
        <v>283</v>
      </c>
      <c r="Q2380" s="2" t="s">
        <v>1669</v>
      </c>
      <c r="R2380" s="2" t="s">
        <v>1670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9"/>
        <v>0.4018181818181818</v>
      </c>
      <c r="Z2380" s="2" t="s">
        <v>105</v>
      </c>
      <c r="AA2380" s="2" t="s">
        <v>388</v>
      </c>
      <c r="AB2380" s="2" t="s">
        <v>2649</v>
      </c>
      <c r="AC2380" s="2" t="s">
        <v>1331</v>
      </c>
      <c r="AF2380" s="2">
        <f t="shared" si="270"/>
        <v>0</v>
      </c>
      <c r="AJ2380" s="2">
        <f t="shared" si="271"/>
        <v>0</v>
      </c>
      <c r="AK2380" s="2">
        <f t="shared" si="272"/>
        <v>2210</v>
      </c>
      <c r="AL2380" s="5">
        <f t="shared" si="268"/>
        <v>0.4018181818181818</v>
      </c>
    </row>
    <row r="2381" spans="1:38" x14ac:dyDescent="0.2">
      <c r="A2381" s="2">
        <v>2025</v>
      </c>
      <c r="B2381" s="2">
        <v>12</v>
      </c>
      <c r="D2381" s="2" t="s">
        <v>1359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1360</v>
      </c>
      <c r="L2381" s="2" t="s">
        <v>419</v>
      </c>
      <c r="P2381" s="2" t="s">
        <v>283</v>
      </c>
      <c r="Q2381" s="2" t="s">
        <v>1671</v>
      </c>
      <c r="R2381" s="2" t="s">
        <v>1672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2649</v>
      </c>
      <c r="AC2381" s="2" t="s">
        <v>1331</v>
      </c>
      <c r="AF2381" s="2">
        <f t="shared" si="270"/>
        <v>0</v>
      </c>
      <c r="AJ2381" s="2">
        <f t="shared" si="271"/>
        <v>0</v>
      </c>
      <c r="AK2381" s="2">
        <f t="shared" si="272"/>
        <v>0</v>
      </c>
      <c r="AL2381" s="5" t="e">
        <f t="shared" si="268"/>
        <v>#DIV/0!</v>
      </c>
    </row>
    <row r="2382" spans="1:38" x14ac:dyDescent="0.2">
      <c r="A2382" s="2">
        <v>2025</v>
      </c>
      <c r="B2382" s="2">
        <v>12</v>
      </c>
      <c r="D2382" s="2" t="s">
        <v>1359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1360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9"/>
        <v>0.49025384615384621</v>
      </c>
      <c r="Z2382" s="2" t="s">
        <v>3237</v>
      </c>
      <c r="AA2382" s="2" t="s">
        <v>46</v>
      </c>
      <c r="AB2382" s="2" t="s">
        <v>47</v>
      </c>
      <c r="AC2382" s="2" t="s">
        <v>48</v>
      </c>
      <c r="AF2382" s="2">
        <f t="shared" si="270"/>
        <v>0</v>
      </c>
      <c r="AG2382" s="2">
        <v>6.6266999999999996</v>
      </c>
      <c r="AH2382" s="2">
        <v>12</v>
      </c>
      <c r="AJ2382" s="2">
        <f t="shared" si="271"/>
        <v>0</v>
      </c>
      <c r="AK2382" s="2">
        <f t="shared" si="272"/>
        <v>6.3733000000000004</v>
      </c>
      <c r="AL2382" s="5">
        <f t="shared" si="268"/>
        <v>0.49025384615384621</v>
      </c>
    </row>
    <row r="2383" spans="1:38" x14ac:dyDescent="0.2">
      <c r="A2383" s="2">
        <v>2025</v>
      </c>
      <c r="B2383" s="2">
        <v>12</v>
      </c>
      <c r="D2383" s="2" t="s">
        <v>1359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1360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9"/>
        <v>0.58000000000000007</v>
      </c>
      <c r="Z2383" s="2" t="s">
        <v>3237</v>
      </c>
      <c r="AA2383" s="2" t="s">
        <v>88</v>
      </c>
      <c r="AB2383" s="2" t="s">
        <v>91</v>
      </c>
      <c r="AC2383" s="2" t="s">
        <v>85</v>
      </c>
      <c r="AF2383" s="2">
        <f t="shared" si="270"/>
        <v>0</v>
      </c>
      <c r="AJ2383" s="2">
        <f t="shared" si="271"/>
        <v>0</v>
      </c>
      <c r="AK2383" s="2">
        <f t="shared" si="272"/>
        <v>4.0600000000000005</v>
      </c>
      <c r="AL2383" s="5">
        <f t="shared" si="268"/>
        <v>0.58000000000000007</v>
      </c>
    </row>
    <row r="2384" spans="1:38" x14ac:dyDescent="0.2">
      <c r="A2384" s="2">
        <v>2025</v>
      </c>
      <c r="B2384" s="2">
        <v>12</v>
      </c>
      <c r="D2384" s="2" t="s">
        <v>1359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1360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9"/>
        <v>1</v>
      </c>
      <c r="Z2384" s="2" t="s">
        <v>3237</v>
      </c>
      <c r="AA2384" s="2" t="s">
        <v>88</v>
      </c>
      <c r="AB2384" s="2" t="s">
        <v>91</v>
      </c>
      <c r="AC2384" s="2" t="s">
        <v>85</v>
      </c>
      <c r="AF2384" s="2">
        <f t="shared" si="270"/>
        <v>0</v>
      </c>
      <c r="AJ2384" s="2">
        <f t="shared" si="271"/>
        <v>0</v>
      </c>
      <c r="AK2384" s="2">
        <f t="shared" si="272"/>
        <v>7</v>
      </c>
      <c r="AL2384" s="5">
        <f t="shared" si="268"/>
        <v>1</v>
      </c>
    </row>
    <row r="2385" spans="1:38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9"/>
        <v>1</v>
      </c>
      <c r="Z2385" s="2" t="s">
        <v>120</v>
      </c>
      <c r="AA2385" s="2" t="s">
        <v>3392</v>
      </c>
      <c r="AF2385" s="2">
        <f t="shared" si="270"/>
        <v>0</v>
      </c>
      <c r="AJ2385" s="2">
        <f t="shared" si="271"/>
        <v>0</v>
      </c>
      <c r="AK2385" s="2">
        <f t="shared" si="272"/>
        <v>440</v>
      </c>
      <c r="AL2385" s="5">
        <f t="shared" si="268"/>
        <v>1</v>
      </c>
    </row>
    <row r="2386" spans="1:38" x14ac:dyDescent="0.2">
      <c r="A2386" s="2">
        <v>2025</v>
      </c>
      <c r="B2386" s="2">
        <v>12</v>
      </c>
      <c r="D2386" s="2" t="s">
        <v>2135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9"/>
        <v>0.6</v>
      </c>
      <c r="Z2386" s="2" t="s">
        <v>118</v>
      </c>
      <c r="AA2386" s="2" t="s">
        <v>191</v>
      </c>
      <c r="AF2386" s="2">
        <f t="shared" si="270"/>
        <v>0</v>
      </c>
      <c r="AJ2386" s="2">
        <f t="shared" si="271"/>
        <v>0</v>
      </c>
      <c r="AK2386" s="2">
        <f t="shared" si="272"/>
        <v>102</v>
      </c>
      <c r="AL2386" s="5">
        <f t="shared" si="268"/>
        <v>0.6</v>
      </c>
    </row>
    <row r="2387" spans="1:38" x14ac:dyDescent="0.2">
      <c r="A2387" s="2">
        <v>2025</v>
      </c>
      <c r="B2387" s="2">
        <v>12</v>
      </c>
      <c r="D2387" s="2" t="s">
        <v>2135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9"/>
        <v>0.5</v>
      </c>
      <c r="Z2387" s="2" t="s">
        <v>118</v>
      </c>
      <c r="AA2387" s="2" t="s">
        <v>191</v>
      </c>
      <c r="AF2387" s="2">
        <f t="shared" si="270"/>
        <v>0</v>
      </c>
      <c r="AJ2387" s="2">
        <f t="shared" si="271"/>
        <v>0</v>
      </c>
      <c r="AK2387" s="2">
        <f t="shared" si="272"/>
        <v>18.75</v>
      </c>
      <c r="AL2387" s="5">
        <f t="shared" si="268"/>
        <v>0.5</v>
      </c>
    </row>
    <row r="2388" spans="1:38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9"/>
        <v>0.6</v>
      </c>
      <c r="Z2388" s="2" t="s">
        <v>118</v>
      </c>
      <c r="AA2388" s="2" t="s">
        <v>191</v>
      </c>
      <c r="AF2388" s="2">
        <f t="shared" si="270"/>
        <v>0</v>
      </c>
      <c r="AJ2388" s="2">
        <f t="shared" si="271"/>
        <v>0</v>
      </c>
      <c r="AK2388" s="2">
        <f t="shared" si="272"/>
        <v>110.39999999999999</v>
      </c>
      <c r="AL2388" s="5">
        <f t="shared" si="268"/>
        <v>0.6</v>
      </c>
    </row>
    <row r="2389" spans="1:38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9"/>
        <v>0.5</v>
      </c>
      <c r="Z2389" s="2" t="s">
        <v>118</v>
      </c>
      <c r="AA2389" s="2" t="s">
        <v>191</v>
      </c>
      <c r="AF2389" s="2">
        <f t="shared" si="270"/>
        <v>0</v>
      </c>
      <c r="AJ2389" s="2">
        <f t="shared" si="271"/>
        <v>0</v>
      </c>
      <c r="AK2389" s="2">
        <f t="shared" si="272"/>
        <v>62.5</v>
      </c>
      <c r="AL2389" s="5">
        <f t="shared" si="268"/>
        <v>0.5</v>
      </c>
    </row>
    <row r="2390" spans="1:38" x14ac:dyDescent="0.2">
      <c r="A2390" s="2">
        <v>2025</v>
      </c>
      <c r="B2390" s="2">
        <v>12</v>
      </c>
      <c r="D2390" s="2" t="s">
        <v>1701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9"/>
        <v>0.6</v>
      </c>
      <c r="Z2390" s="2" t="s">
        <v>118</v>
      </c>
      <c r="AA2390" s="2" t="s">
        <v>191</v>
      </c>
      <c r="AF2390" s="2">
        <f t="shared" si="270"/>
        <v>0</v>
      </c>
      <c r="AJ2390" s="2">
        <f t="shared" si="271"/>
        <v>0</v>
      </c>
      <c r="AK2390" s="2">
        <f t="shared" si="272"/>
        <v>57</v>
      </c>
      <c r="AL2390" s="5">
        <f t="shared" si="268"/>
        <v>0.6</v>
      </c>
    </row>
    <row r="2391" spans="1:38" x14ac:dyDescent="0.2">
      <c r="A2391" s="2">
        <v>2025</v>
      </c>
      <c r="B2391" s="2">
        <v>12</v>
      </c>
      <c r="D2391" s="2" t="s">
        <v>1701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9"/>
        <v>0.5</v>
      </c>
      <c r="Z2391" s="2" t="s">
        <v>118</v>
      </c>
      <c r="AA2391" s="2" t="s">
        <v>191</v>
      </c>
      <c r="AF2391" s="2">
        <f t="shared" si="270"/>
        <v>0</v>
      </c>
      <c r="AJ2391" s="2">
        <f t="shared" si="271"/>
        <v>0</v>
      </c>
      <c r="AK2391" s="2">
        <f t="shared" si="272"/>
        <v>25</v>
      </c>
      <c r="AL2391" s="5">
        <f t="shared" si="268"/>
        <v>0.5</v>
      </c>
    </row>
    <row r="2392" spans="1:38" x14ac:dyDescent="0.2">
      <c r="A2392" s="2">
        <v>2025</v>
      </c>
      <c r="B2392" s="2">
        <v>12</v>
      </c>
      <c r="D2392" s="2" t="s">
        <v>1701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9"/>
        <v>1</v>
      </c>
      <c r="Z2392" s="2" t="s">
        <v>120</v>
      </c>
      <c r="AA2392" s="2" t="s">
        <v>3392</v>
      </c>
      <c r="AF2392" s="2">
        <f t="shared" si="270"/>
        <v>0</v>
      </c>
      <c r="AJ2392" s="2">
        <f t="shared" si="271"/>
        <v>0</v>
      </c>
      <c r="AK2392" s="2">
        <f t="shared" si="272"/>
        <v>99.75</v>
      </c>
      <c r="AL2392" s="5">
        <f t="shared" si="268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3129</v>
      </c>
      <c r="K2393" s="2">
        <v>917575485</v>
      </c>
      <c r="L2393" s="2" t="s">
        <v>462</v>
      </c>
      <c r="M2393" s="2" t="s">
        <v>40</v>
      </c>
      <c r="O2393" s="2" t="s">
        <v>3130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9"/>
        <v>1</v>
      </c>
      <c r="Z2393" s="2" t="s">
        <v>118</v>
      </c>
      <c r="AA2393" s="2" t="s">
        <v>318</v>
      </c>
      <c r="AF2393" s="2">
        <f t="shared" si="270"/>
        <v>0</v>
      </c>
      <c r="AJ2393" s="2">
        <f t="shared" si="271"/>
        <v>0</v>
      </c>
      <c r="AK2393" s="2">
        <f t="shared" si="272"/>
        <v>723.1</v>
      </c>
      <c r="AL2393" s="5">
        <f t="shared" si="268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3129</v>
      </c>
      <c r="K2394" s="2">
        <v>917575485</v>
      </c>
      <c r="L2394" s="2" t="s">
        <v>462</v>
      </c>
      <c r="M2394" s="2" t="s">
        <v>40</v>
      </c>
      <c r="O2394" s="2" t="s">
        <v>3130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0"/>
        <v>0</v>
      </c>
      <c r="AJ2394" s="2">
        <f t="shared" si="271"/>
        <v>0</v>
      </c>
      <c r="AK2394" s="2">
        <f t="shared" si="272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2136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9"/>
        <v>0.46612272727272724</v>
      </c>
      <c r="Z2395" s="2" t="s">
        <v>3237</v>
      </c>
      <c r="AA2395" s="2" t="s">
        <v>76</v>
      </c>
      <c r="AB2395" s="2" t="s">
        <v>77</v>
      </c>
      <c r="AC2395" s="2" t="s">
        <v>78</v>
      </c>
      <c r="AF2395" s="2">
        <f t="shared" si="270"/>
        <v>0</v>
      </c>
      <c r="AG2395" s="2">
        <v>117.453</v>
      </c>
      <c r="AH2395" s="2">
        <v>220</v>
      </c>
      <c r="AJ2395" s="2">
        <f t="shared" si="271"/>
        <v>0</v>
      </c>
      <c r="AK2395" s="2">
        <f t="shared" si="272"/>
        <v>102.547</v>
      </c>
      <c r="AL2395" s="5">
        <f t="shared" si="268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2136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9"/>
        <v>0</v>
      </c>
      <c r="Z2396" s="2" t="s">
        <v>3237</v>
      </c>
      <c r="AA2396" s="2" t="s">
        <v>97</v>
      </c>
      <c r="AB2396" s="2" t="s">
        <v>77</v>
      </c>
      <c r="AC2396" s="2" t="s">
        <v>94</v>
      </c>
      <c r="AF2396" s="2">
        <f t="shared" si="270"/>
        <v>0</v>
      </c>
      <c r="AJ2396" s="2">
        <f t="shared" si="271"/>
        <v>0</v>
      </c>
      <c r="AK2396" s="2">
        <f t="shared" si="272"/>
        <v>0</v>
      </c>
      <c r="AL2396" s="5">
        <f t="shared" si="268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2137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9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0"/>
        <v>0</v>
      </c>
      <c r="AJ2397" s="2">
        <f t="shared" si="271"/>
        <v>0</v>
      </c>
      <c r="AK2397" s="2">
        <f t="shared" si="272"/>
        <v>25.908000000000001</v>
      </c>
      <c r="AL2397" s="5">
        <f t="shared" si="268"/>
        <v>0.52927477017364655</v>
      </c>
    </row>
    <row r="2398" spans="1:38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2138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9"/>
        <v>0.47912698412698412</v>
      </c>
      <c r="Z2398" s="2" t="s">
        <v>3237</v>
      </c>
      <c r="AA2398" s="2" t="s">
        <v>46</v>
      </c>
      <c r="AB2398" s="2" t="s">
        <v>57</v>
      </c>
      <c r="AC2398" s="2" t="s">
        <v>58</v>
      </c>
      <c r="AF2398" s="2">
        <f t="shared" si="270"/>
        <v>0</v>
      </c>
      <c r="AG2398" s="2">
        <v>5.9066999999999998</v>
      </c>
      <c r="AH2398" s="2">
        <v>12.6</v>
      </c>
      <c r="AJ2398" s="2">
        <f t="shared" si="271"/>
        <v>0</v>
      </c>
      <c r="AK2398" s="2">
        <f t="shared" si="272"/>
        <v>5.4333</v>
      </c>
      <c r="AL2398" s="5">
        <f t="shared" si="268"/>
        <v>0.47912698412698412</v>
      </c>
    </row>
    <row r="2399" spans="1:38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2138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9"/>
        <v>0.48580074487895719</v>
      </c>
      <c r="Z2399" s="2" t="s">
        <v>3237</v>
      </c>
      <c r="AA2399" s="2" t="s">
        <v>46</v>
      </c>
      <c r="AB2399" s="2" t="s">
        <v>57</v>
      </c>
      <c r="AC2399" s="2" t="s">
        <v>58</v>
      </c>
      <c r="AF2399" s="2">
        <f t="shared" si="270"/>
        <v>0</v>
      </c>
      <c r="AG2399" s="2">
        <v>11.045</v>
      </c>
      <c r="AJ2399" s="2">
        <f t="shared" si="271"/>
        <v>0</v>
      </c>
      <c r="AK2399" s="2">
        <f t="shared" si="272"/>
        <v>10.435</v>
      </c>
      <c r="AL2399" s="5">
        <f t="shared" si="268"/>
        <v>0.48580074487895719</v>
      </c>
    </row>
    <row r="2400" spans="1:38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2138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3">(T2400-W2400)/T2400</f>
        <v>0.37647058823529411</v>
      </c>
      <c r="Z2400" s="2" t="s">
        <v>3237</v>
      </c>
      <c r="AA2400" s="2" t="s">
        <v>46</v>
      </c>
      <c r="AB2400" s="2" t="s">
        <v>57</v>
      </c>
      <c r="AC2400" s="2" t="s">
        <v>58</v>
      </c>
      <c r="AF2400" s="2">
        <f t="shared" si="270"/>
        <v>0</v>
      </c>
      <c r="AG2400" s="2">
        <v>10.6</v>
      </c>
      <c r="AH2400" s="2">
        <v>18</v>
      </c>
      <c r="AJ2400" s="2">
        <f t="shared" si="271"/>
        <v>0</v>
      </c>
      <c r="AK2400" s="2">
        <f t="shared" si="272"/>
        <v>64</v>
      </c>
      <c r="AL2400" s="5">
        <f t="shared" si="268"/>
        <v>0.37647058823529411</v>
      </c>
    </row>
    <row r="2401" spans="1:38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2138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3"/>
        <v>0.31666666666666665</v>
      </c>
      <c r="Z2401" s="2" t="s">
        <v>3237</v>
      </c>
      <c r="AA2401" s="2" t="s">
        <v>46</v>
      </c>
      <c r="AB2401" s="2" t="s">
        <v>61</v>
      </c>
      <c r="AC2401" s="2" t="s">
        <v>58</v>
      </c>
      <c r="AF2401" s="2">
        <f t="shared" si="270"/>
        <v>0</v>
      </c>
      <c r="AG2401" s="2">
        <v>8.1999999999999993</v>
      </c>
      <c r="AH2401" s="2">
        <v>13</v>
      </c>
      <c r="AJ2401" s="2">
        <f t="shared" si="271"/>
        <v>0</v>
      </c>
      <c r="AK2401" s="2">
        <f t="shared" si="272"/>
        <v>19</v>
      </c>
      <c r="AL2401" s="5">
        <f t="shared" si="268"/>
        <v>0.31666666666666665</v>
      </c>
    </row>
    <row r="2402" spans="1:38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2138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3"/>
        <v>0.45283848797250864</v>
      </c>
      <c r="Z2402" s="2" t="s">
        <v>3237</v>
      </c>
      <c r="AA2402" s="2" t="s">
        <v>46</v>
      </c>
      <c r="AB2402" s="2" t="s">
        <v>68</v>
      </c>
      <c r="AC2402" s="2" t="s">
        <v>58</v>
      </c>
      <c r="AF2402" s="2">
        <f t="shared" si="270"/>
        <v>0</v>
      </c>
      <c r="AG2402" s="2">
        <v>7.9611999999999998</v>
      </c>
      <c r="AH2402" s="2">
        <v>14.4</v>
      </c>
      <c r="AJ2402" s="2">
        <f t="shared" si="271"/>
        <v>0</v>
      </c>
      <c r="AK2402" s="2">
        <f t="shared" si="272"/>
        <v>6.5888000000000009</v>
      </c>
      <c r="AL2402" s="5">
        <f t="shared" si="268"/>
        <v>0.45283848797250864</v>
      </c>
    </row>
    <row r="2403" spans="1:38" x14ac:dyDescent="0.2">
      <c r="A2403" s="2">
        <v>2025</v>
      </c>
      <c r="B2403" s="2">
        <v>12</v>
      </c>
      <c r="D2403" s="2" t="s">
        <v>2139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3"/>
        <v>0.59999999999999987</v>
      </c>
      <c r="Z2403" s="2" t="s">
        <v>118</v>
      </c>
      <c r="AA2403" s="2" t="s">
        <v>191</v>
      </c>
      <c r="AF2403" s="2">
        <f t="shared" si="270"/>
        <v>0</v>
      </c>
      <c r="AJ2403" s="2">
        <f t="shared" si="271"/>
        <v>0</v>
      </c>
      <c r="AK2403" s="2">
        <f t="shared" si="272"/>
        <v>164.39999999999998</v>
      </c>
      <c r="AL2403" s="5">
        <f t="shared" si="268"/>
        <v>0.59999999999999987</v>
      </c>
    </row>
    <row r="2404" spans="1:38" x14ac:dyDescent="0.2">
      <c r="A2404" s="2">
        <v>2025</v>
      </c>
      <c r="B2404" s="2">
        <v>12</v>
      </c>
      <c r="D2404" s="2" t="s">
        <v>2139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3"/>
        <v>0.5</v>
      </c>
      <c r="Z2404" s="2" t="s">
        <v>118</v>
      </c>
      <c r="AA2404" s="2" t="s">
        <v>191</v>
      </c>
      <c r="AF2404" s="2">
        <f t="shared" si="270"/>
        <v>0</v>
      </c>
      <c r="AJ2404" s="2">
        <f t="shared" si="271"/>
        <v>0</v>
      </c>
      <c r="AK2404" s="2">
        <f t="shared" si="272"/>
        <v>31.25</v>
      </c>
      <c r="AL2404" s="5">
        <f t="shared" si="268"/>
        <v>0.5</v>
      </c>
    </row>
    <row r="2405" spans="1:38" x14ac:dyDescent="0.2">
      <c r="A2405" s="2">
        <v>2025</v>
      </c>
      <c r="B2405" s="2">
        <v>12</v>
      </c>
      <c r="D2405" s="2" t="s">
        <v>2140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3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0"/>
        <v>0</v>
      </c>
      <c r="AJ2405" s="2">
        <f t="shared" si="271"/>
        <v>0</v>
      </c>
      <c r="AK2405" s="2">
        <f t="shared" si="272"/>
        <v>354.09659999999997</v>
      </c>
      <c r="AL2405" s="5">
        <f t="shared" si="268"/>
        <v>0.50635864435864431</v>
      </c>
    </row>
    <row r="2406" spans="1:38" x14ac:dyDescent="0.2">
      <c r="A2406" s="2">
        <v>2025</v>
      </c>
      <c r="B2406" s="2">
        <v>12</v>
      </c>
      <c r="D2406" s="2" t="s">
        <v>2140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3"/>
        <v>0.6</v>
      </c>
      <c r="Z2406" s="2" t="s">
        <v>118</v>
      </c>
      <c r="AA2406" s="2" t="s">
        <v>191</v>
      </c>
      <c r="AF2406" s="2">
        <f t="shared" si="270"/>
        <v>0</v>
      </c>
      <c r="AJ2406" s="2">
        <f t="shared" si="271"/>
        <v>0</v>
      </c>
      <c r="AK2406" s="2">
        <f t="shared" si="272"/>
        <v>104.39999999999999</v>
      </c>
      <c r="AL2406" s="5">
        <f t="shared" si="268"/>
        <v>0.6</v>
      </c>
    </row>
    <row r="2407" spans="1:38" x14ac:dyDescent="0.2">
      <c r="A2407" s="2">
        <v>2025</v>
      </c>
      <c r="B2407" s="2">
        <v>12</v>
      </c>
      <c r="D2407" s="2" t="s">
        <v>2140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3"/>
        <v>0.5</v>
      </c>
      <c r="Z2407" s="2" t="s">
        <v>118</v>
      </c>
      <c r="AA2407" s="2" t="s">
        <v>191</v>
      </c>
      <c r="AF2407" s="2">
        <f t="shared" si="270"/>
        <v>0</v>
      </c>
      <c r="AJ2407" s="2">
        <f t="shared" si="271"/>
        <v>0</v>
      </c>
      <c r="AK2407" s="2">
        <f t="shared" si="272"/>
        <v>50</v>
      </c>
      <c r="AL2407" s="5">
        <f t="shared" si="268"/>
        <v>0.5</v>
      </c>
    </row>
    <row r="2408" spans="1:38" x14ac:dyDescent="0.2">
      <c r="A2408" s="2">
        <v>2025</v>
      </c>
      <c r="B2408" s="2">
        <v>12</v>
      </c>
      <c r="D2408" s="2" t="s">
        <v>1895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3"/>
        <v>1</v>
      </c>
      <c r="Z2408" s="2" t="s">
        <v>3237</v>
      </c>
      <c r="AA2408" s="2" t="s">
        <v>88</v>
      </c>
      <c r="AB2408" s="2" t="s">
        <v>91</v>
      </c>
      <c r="AC2408" s="2" t="s">
        <v>85</v>
      </c>
      <c r="AF2408" s="2">
        <f t="shared" si="270"/>
        <v>0</v>
      </c>
      <c r="AJ2408" s="2">
        <f t="shared" si="271"/>
        <v>0</v>
      </c>
      <c r="AK2408" s="2">
        <f t="shared" si="272"/>
        <v>6</v>
      </c>
      <c r="AL2408" s="5">
        <f t="shared" si="268"/>
        <v>1</v>
      </c>
    </row>
    <row r="2409" spans="1:38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2141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3"/>
        <v>0.6</v>
      </c>
      <c r="Z2409" s="2" t="s">
        <v>118</v>
      </c>
      <c r="AA2409" s="2" t="s">
        <v>191</v>
      </c>
      <c r="AF2409" s="2">
        <f t="shared" si="270"/>
        <v>0</v>
      </c>
      <c r="AJ2409" s="2">
        <f t="shared" si="271"/>
        <v>0</v>
      </c>
      <c r="AK2409" s="2">
        <f t="shared" si="272"/>
        <v>30</v>
      </c>
      <c r="AL2409" s="5">
        <f t="shared" si="268"/>
        <v>0.6</v>
      </c>
    </row>
    <row r="2410" spans="1:38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2141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3"/>
        <v>0.5</v>
      </c>
      <c r="Z2410" s="2" t="s">
        <v>118</v>
      </c>
      <c r="AA2410" s="2" t="s">
        <v>191</v>
      </c>
      <c r="AF2410" s="2">
        <f t="shared" si="270"/>
        <v>0</v>
      </c>
      <c r="AJ2410" s="2">
        <f t="shared" si="271"/>
        <v>0</v>
      </c>
      <c r="AK2410" s="2">
        <f t="shared" si="272"/>
        <v>31.25</v>
      </c>
      <c r="AL2410" s="5">
        <f t="shared" si="268"/>
        <v>0.5</v>
      </c>
    </row>
    <row r="2411" spans="1:38" x14ac:dyDescent="0.2">
      <c r="A2411" s="2">
        <v>2025</v>
      </c>
      <c r="B2411" s="2">
        <v>12</v>
      </c>
      <c r="D2411" s="2" t="s">
        <v>2016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3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0"/>
        <v>0</v>
      </c>
      <c r="AJ2411" s="2">
        <f t="shared" si="271"/>
        <v>0</v>
      </c>
      <c r="AK2411" s="2">
        <f t="shared" si="272"/>
        <v>25.908000000000001</v>
      </c>
      <c r="AL2411" s="5">
        <f t="shared" si="268"/>
        <v>0.52927477017364655</v>
      </c>
    </row>
    <row r="2412" spans="1:38" x14ac:dyDescent="0.2">
      <c r="A2412" s="2">
        <v>2025</v>
      </c>
      <c r="B2412" s="2">
        <v>12</v>
      </c>
      <c r="D2412" s="2" t="s">
        <v>2016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3"/>
        <v>0.41692380952380953</v>
      </c>
      <c r="Z2412" s="2" t="s">
        <v>3237</v>
      </c>
      <c r="AA2412" s="2" t="s">
        <v>76</v>
      </c>
      <c r="AB2412" s="2" t="s">
        <v>77</v>
      </c>
      <c r="AC2412" s="2" t="s">
        <v>78</v>
      </c>
      <c r="AF2412" s="2">
        <f t="shared" si="270"/>
        <v>0</v>
      </c>
      <c r="AG2412" s="2">
        <v>122.446</v>
      </c>
      <c r="AH2412" s="2">
        <v>230</v>
      </c>
      <c r="AJ2412" s="2">
        <f t="shared" si="271"/>
        <v>0</v>
      </c>
      <c r="AK2412" s="2">
        <f t="shared" si="272"/>
        <v>87.554000000000002</v>
      </c>
      <c r="AL2412" s="5">
        <f t="shared" si="268"/>
        <v>0.41692380952380953</v>
      </c>
    </row>
    <row r="2413" spans="1:38" x14ac:dyDescent="0.2">
      <c r="A2413" s="2">
        <v>2025</v>
      </c>
      <c r="B2413" s="2">
        <v>12</v>
      </c>
      <c r="D2413" s="2" t="s">
        <v>2016</v>
      </c>
      <c r="P2413" s="2" t="s">
        <v>1041</v>
      </c>
      <c r="Q2413" s="2" t="s">
        <v>2142</v>
      </c>
      <c r="R2413" s="2" t="s">
        <v>2143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3"/>
        <v>0.38626086956521738</v>
      </c>
      <c r="Z2413" s="2" t="s">
        <v>3237</v>
      </c>
      <c r="AA2413" s="2" t="s">
        <v>76</v>
      </c>
      <c r="AB2413" s="2" t="s">
        <v>77</v>
      </c>
      <c r="AC2413" s="2" t="s">
        <v>1041</v>
      </c>
      <c r="AF2413" s="2">
        <f t="shared" si="270"/>
        <v>0</v>
      </c>
      <c r="AJ2413" s="2">
        <f t="shared" si="271"/>
        <v>0</v>
      </c>
      <c r="AK2413" s="2">
        <f t="shared" si="272"/>
        <v>88.84</v>
      </c>
      <c r="AL2413" s="5">
        <f t="shared" si="268"/>
        <v>0.38626086956521738</v>
      </c>
    </row>
    <row r="2414" spans="1:38" x14ac:dyDescent="0.2">
      <c r="A2414" s="2">
        <v>2025</v>
      </c>
      <c r="B2414" s="2">
        <v>12</v>
      </c>
      <c r="D2414" s="2" t="s">
        <v>2016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3"/>
        <v>0.25</v>
      </c>
      <c r="Z2414" s="2" t="s">
        <v>170</v>
      </c>
      <c r="AA2414" s="2" t="s">
        <v>170</v>
      </c>
      <c r="AF2414" s="2">
        <f t="shared" si="270"/>
        <v>0</v>
      </c>
      <c r="AJ2414" s="2">
        <f t="shared" si="271"/>
        <v>0</v>
      </c>
      <c r="AK2414" s="2">
        <f t="shared" si="272"/>
        <v>10</v>
      </c>
      <c r="AL2414" s="5">
        <f t="shared" si="268"/>
        <v>0.25</v>
      </c>
    </row>
    <row r="2415" spans="1:38" x14ac:dyDescent="0.2">
      <c r="A2415" s="2">
        <v>2025</v>
      </c>
      <c r="B2415" s="2">
        <v>12</v>
      </c>
      <c r="D2415" s="2" t="s">
        <v>2016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3"/>
        <v>0</v>
      </c>
      <c r="Z2415" s="2" t="s">
        <v>3237</v>
      </c>
      <c r="AA2415" s="2" t="s">
        <v>97</v>
      </c>
      <c r="AB2415" s="2" t="s">
        <v>77</v>
      </c>
      <c r="AC2415" s="2" t="s">
        <v>94</v>
      </c>
      <c r="AF2415" s="2">
        <f t="shared" si="270"/>
        <v>0</v>
      </c>
      <c r="AJ2415" s="2">
        <f t="shared" si="271"/>
        <v>0</v>
      </c>
      <c r="AK2415" s="2">
        <f t="shared" si="272"/>
        <v>0</v>
      </c>
      <c r="AL2415" s="5">
        <f t="shared" si="268"/>
        <v>0</v>
      </c>
    </row>
    <row r="2416" spans="1:38" x14ac:dyDescent="0.2">
      <c r="A2416" s="2">
        <v>2025</v>
      </c>
      <c r="B2416" s="2">
        <v>12</v>
      </c>
      <c r="D2416" s="2" t="s">
        <v>1012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1013</v>
      </c>
      <c r="J2416" s="2" t="s">
        <v>1014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3"/>
        <v>0.46612272727272724</v>
      </c>
      <c r="Z2416" s="2" t="s">
        <v>3237</v>
      </c>
      <c r="AA2416" s="2" t="s">
        <v>76</v>
      </c>
      <c r="AB2416" s="2" t="s">
        <v>77</v>
      </c>
      <c r="AC2416" s="2" t="s">
        <v>78</v>
      </c>
      <c r="AF2416" s="2">
        <f t="shared" si="270"/>
        <v>0</v>
      </c>
      <c r="AG2416" s="2">
        <v>117.453</v>
      </c>
      <c r="AH2416" s="2">
        <v>220</v>
      </c>
      <c r="AJ2416" s="2">
        <f t="shared" si="271"/>
        <v>0</v>
      </c>
      <c r="AK2416" s="2">
        <f t="shared" si="272"/>
        <v>102.547</v>
      </c>
      <c r="AL2416" s="5">
        <f t="shared" si="268"/>
        <v>0.46612272727272724</v>
      </c>
    </row>
    <row r="2417" spans="1:38" x14ac:dyDescent="0.2">
      <c r="A2417" s="2">
        <v>2025</v>
      </c>
      <c r="B2417" s="2">
        <v>12</v>
      </c>
      <c r="D2417" s="2" t="s">
        <v>1012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1013</v>
      </c>
      <c r="J2417" s="2" t="s">
        <v>1014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3"/>
        <v>0.6</v>
      </c>
      <c r="Z2417" s="2" t="s">
        <v>118</v>
      </c>
      <c r="AA2417" s="2" t="s">
        <v>191</v>
      </c>
      <c r="AF2417" s="2">
        <f t="shared" si="270"/>
        <v>0</v>
      </c>
      <c r="AJ2417" s="2">
        <f t="shared" si="271"/>
        <v>0</v>
      </c>
      <c r="AK2417" s="2">
        <f t="shared" si="272"/>
        <v>24.75</v>
      </c>
      <c r="AL2417" s="5">
        <f t="shared" si="268"/>
        <v>0.6</v>
      </c>
    </row>
    <row r="2418" spans="1:38" x14ac:dyDescent="0.2">
      <c r="A2418" s="2">
        <v>2025</v>
      </c>
      <c r="B2418" s="2">
        <v>12</v>
      </c>
      <c r="D2418" s="2" t="s">
        <v>1012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1013</v>
      </c>
      <c r="J2418" s="2" t="s">
        <v>1014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3"/>
        <v>0.5</v>
      </c>
      <c r="Z2418" s="2" t="s">
        <v>118</v>
      </c>
      <c r="AA2418" s="2" t="s">
        <v>191</v>
      </c>
      <c r="AF2418" s="2">
        <f t="shared" si="270"/>
        <v>0</v>
      </c>
      <c r="AJ2418" s="2">
        <f t="shared" si="271"/>
        <v>0</v>
      </c>
      <c r="AK2418" s="2">
        <f t="shared" si="272"/>
        <v>22.5</v>
      </c>
      <c r="AL2418" s="5">
        <f t="shared" si="268"/>
        <v>0.5</v>
      </c>
    </row>
    <row r="2419" spans="1:38" x14ac:dyDescent="0.2">
      <c r="A2419" s="2">
        <v>2025</v>
      </c>
      <c r="B2419" s="2">
        <v>12</v>
      </c>
      <c r="D2419" s="2" t="s">
        <v>1012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1013</v>
      </c>
      <c r="J2419" s="2" t="s">
        <v>1014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3"/>
        <v>0</v>
      </c>
      <c r="Z2419" s="2" t="s">
        <v>3237</v>
      </c>
      <c r="AA2419" s="2" t="s">
        <v>97</v>
      </c>
      <c r="AB2419" s="2" t="s">
        <v>77</v>
      </c>
      <c r="AC2419" s="2" t="s">
        <v>94</v>
      </c>
      <c r="AF2419" s="2">
        <f t="shared" si="270"/>
        <v>0</v>
      </c>
      <c r="AJ2419" s="2">
        <f t="shared" si="271"/>
        <v>0</v>
      </c>
      <c r="AK2419" s="2">
        <f t="shared" si="272"/>
        <v>0</v>
      </c>
      <c r="AL2419" s="5">
        <f t="shared" ref="AL2419:AL2482" si="274">(T2419-W2419)/T2419</f>
        <v>0</v>
      </c>
    </row>
    <row r="2420" spans="1:38" x14ac:dyDescent="0.2">
      <c r="A2420" s="2">
        <v>2025</v>
      </c>
      <c r="B2420" s="2">
        <v>12</v>
      </c>
      <c r="D2420" s="2" t="s">
        <v>1012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1013</v>
      </c>
      <c r="J2420" s="2" t="s">
        <v>1014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3"/>
        <v>1</v>
      </c>
      <c r="Z2420" s="2" t="s">
        <v>120</v>
      </c>
      <c r="AA2420" s="2" t="s">
        <v>3392</v>
      </c>
      <c r="AF2420" s="2">
        <f t="shared" si="270"/>
        <v>0</v>
      </c>
      <c r="AJ2420" s="2">
        <f t="shared" si="271"/>
        <v>0</v>
      </c>
      <c r="AK2420" s="2">
        <f t="shared" si="272"/>
        <v>28.5</v>
      </c>
      <c r="AL2420" s="5">
        <f t="shared" si="274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2484</v>
      </c>
      <c r="J2421" s="2" t="s">
        <v>3132</v>
      </c>
      <c r="K2421" s="2">
        <v>965864665</v>
      </c>
      <c r="L2421" s="2" t="s">
        <v>345</v>
      </c>
      <c r="M2421" s="2" t="s">
        <v>40</v>
      </c>
      <c r="O2421" s="2" t="s">
        <v>3137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3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0"/>
        <v>0</v>
      </c>
      <c r="AG2421" s="2">
        <v>10669.4</v>
      </c>
      <c r="AJ2421" s="2">
        <f t="shared" si="271"/>
        <v>0</v>
      </c>
      <c r="AK2421" s="2">
        <f t="shared" si="272"/>
        <v>4320.6000000000004</v>
      </c>
      <c r="AL2421" s="5">
        <f t="shared" si="274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3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0"/>
        <v>0</v>
      </c>
      <c r="AJ2422" s="2">
        <f t="shared" si="271"/>
        <v>0</v>
      </c>
      <c r="AK2422" s="2">
        <f t="shared" si="272"/>
        <v>25.908000000000001</v>
      </c>
      <c r="AL2422" s="5">
        <f t="shared" si="274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3"/>
        <v>0.43096969696969695</v>
      </c>
      <c r="Z2423" s="2" t="s">
        <v>3237</v>
      </c>
      <c r="AA2423" s="2" t="s">
        <v>46</v>
      </c>
      <c r="AB2423" s="2" t="s">
        <v>61</v>
      </c>
      <c r="AC2423" s="2" t="s">
        <v>58</v>
      </c>
      <c r="AF2423" s="2">
        <f t="shared" si="270"/>
        <v>0</v>
      </c>
      <c r="AG2423" s="2">
        <v>3.7555999999999998</v>
      </c>
      <c r="AH2423" s="2">
        <v>7.2</v>
      </c>
      <c r="AJ2423" s="2">
        <f t="shared" si="271"/>
        <v>0</v>
      </c>
      <c r="AK2423" s="2">
        <f t="shared" si="272"/>
        <v>22.755199999999999</v>
      </c>
      <c r="AL2423" s="5">
        <f t="shared" si="274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3"/>
        <v>1</v>
      </c>
      <c r="Z2424" s="2" t="s">
        <v>170</v>
      </c>
      <c r="AA2424" s="2" t="s">
        <v>170</v>
      </c>
      <c r="AF2424" s="2">
        <f t="shared" si="270"/>
        <v>0</v>
      </c>
      <c r="AJ2424" s="2">
        <f t="shared" si="271"/>
        <v>0</v>
      </c>
      <c r="AK2424" s="2">
        <f t="shared" si="272"/>
        <v>13.5</v>
      </c>
      <c r="AL2424" s="5">
        <f t="shared" si="274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3"/>
        <v>0.36923076923076914</v>
      </c>
      <c r="Z2425" s="2" t="s">
        <v>3237</v>
      </c>
      <c r="AA2425" s="2" t="s">
        <v>46</v>
      </c>
      <c r="AB2425" s="2" t="s">
        <v>61</v>
      </c>
      <c r="AC2425" s="2" t="s">
        <v>58</v>
      </c>
      <c r="AF2425" s="2">
        <f t="shared" si="270"/>
        <v>0</v>
      </c>
      <c r="AG2425" s="2">
        <v>8.1999999999999993</v>
      </c>
      <c r="AH2425" s="2">
        <v>13</v>
      </c>
      <c r="AJ2425" s="2">
        <f t="shared" si="271"/>
        <v>0</v>
      </c>
      <c r="AK2425" s="2">
        <f t="shared" si="272"/>
        <v>9.5999999999999979</v>
      </c>
      <c r="AL2425" s="5">
        <f t="shared" si="274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3"/>
        <v>0.41111111111111115</v>
      </c>
      <c r="Z2426" s="2" t="s">
        <v>3237</v>
      </c>
      <c r="AA2426" s="2" t="s">
        <v>46</v>
      </c>
      <c r="AB2426" s="2" t="s">
        <v>57</v>
      </c>
      <c r="AC2426" s="2" t="s">
        <v>58</v>
      </c>
      <c r="AF2426" s="2">
        <f t="shared" si="270"/>
        <v>0</v>
      </c>
      <c r="AG2426" s="2">
        <v>10.6</v>
      </c>
      <c r="AH2426" s="2">
        <v>18</v>
      </c>
      <c r="AJ2426" s="2">
        <f t="shared" si="271"/>
        <v>0</v>
      </c>
      <c r="AK2426" s="2">
        <f t="shared" si="272"/>
        <v>7.4</v>
      </c>
      <c r="AL2426" s="5">
        <f t="shared" si="274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3"/>
        <v>0.36923076923076914</v>
      </c>
      <c r="Z2427" s="2" t="s">
        <v>3237</v>
      </c>
      <c r="AA2427" s="2" t="s">
        <v>46</v>
      </c>
      <c r="AB2427" s="2" t="s">
        <v>61</v>
      </c>
      <c r="AC2427" s="2" t="s">
        <v>58</v>
      </c>
      <c r="AF2427" s="2">
        <f t="shared" si="270"/>
        <v>0</v>
      </c>
      <c r="AG2427" s="2">
        <v>8.1999999999999993</v>
      </c>
      <c r="AH2427" s="2">
        <v>13</v>
      </c>
      <c r="AJ2427" s="2">
        <f t="shared" si="271"/>
        <v>0</v>
      </c>
      <c r="AK2427" s="2">
        <f t="shared" si="272"/>
        <v>4.7999999999999989</v>
      </c>
      <c r="AL2427" s="5">
        <f t="shared" si="274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3"/>
        <v>0.43104924242424236</v>
      </c>
      <c r="Z2428" s="2" t="s">
        <v>3237</v>
      </c>
      <c r="AA2428" s="2" t="s">
        <v>46</v>
      </c>
      <c r="AB2428" s="2" t="s">
        <v>68</v>
      </c>
      <c r="AC2428" s="2" t="s">
        <v>58</v>
      </c>
      <c r="AF2428" s="2">
        <f t="shared" si="270"/>
        <v>0</v>
      </c>
      <c r="AG2428" s="2">
        <v>15.020300000000001</v>
      </c>
      <c r="AH2428" s="2">
        <v>27.6</v>
      </c>
      <c r="AJ2428" s="2">
        <f t="shared" si="271"/>
        <v>0</v>
      </c>
      <c r="AK2428" s="2">
        <f t="shared" si="272"/>
        <v>11.379699999999998</v>
      </c>
      <c r="AL2428" s="5">
        <f t="shared" si="274"/>
        <v>0.43104924242424236</v>
      </c>
    </row>
    <row r="2429" spans="1:38" x14ac:dyDescent="0.2">
      <c r="A2429" s="2">
        <v>2025</v>
      </c>
      <c r="B2429" s="2">
        <v>12</v>
      </c>
      <c r="D2429" s="2" t="s">
        <v>2144</v>
      </c>
      <c r="P2429" s="2" t="s">
        <v>115</v>
      </c>
      <c r="Q2429" s="2" t="s">
        <v>2145</v>
      </c>
      <c r="R2429" s="2" t="s">
        <v>2146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3"/>
        <v>1</v>
      </c>
      <c r="AF2429" s="2">
        <f t="shared" si="270"/>
        <v>0</v>
      </c>
      <c r="AJ2429" s="2">
        <f t="shared" si="271"/>
        <v>0</v>
      </c>
      <c r="AK2429" s="2">
        <f t="shared" si="272"/>
        <v>13500</v>
      </c>
      <c r="AL2429" s="5">
        <f t="shared" si="274"/>
        <v>1</v>
      </c>
    </row>
    <row r="2430" spans="1:38" x14ac:dyDescent="0.2">
      <c r="A2430" s="2">
        <v>2025</v>
      </c>
      <c r="B2430" s="2">
        <v>12</v>
      </c>
      <c r="D2430" s="2" t="s">
        <v>1380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3"/>
        <v>0.46612272727272724</v>
      </c>
      <c r="Z2430" s="2" t="s">
        <v>3237</v>
      </c>
      <c r="AA2430" s="2" t="s">
        <v>76</v>
      </c>
      <c r="AB2430" s="2" t="s">
        <v>77</v>
      </c>
      <c r="AC2430" s="2" t="s">
        <v>78</v>
      </c>
      <c r="AF2430" s="2">
        <f t="shared" si="270"/>
        <v>0</v>
      </c>
      <c r="AG2430" s="2">
        <v>117.453</v>
      </c>
      <c r="AH2430" s="2">
        <v>220</v>
      </c>
      <c r="AJ2430" s="2">
        <f t="shared" si="271"/>
        <v>0</v>
      </c>
      <c r="AK2430" s="2">
        <f t="shared" si="272"/>
        <v>102.547</v>
      </c>
      <c r="AL2430" s="5">
        <f t="shared" si="274"/>
        <v>0.46612272727272724</v>
      </c>
    </row>
    <row r="2431" spans="1:38" x14ac:dyDescent="0.2">
      <c r="A2431" s="2">
        <v>2025</v>
      </c>
      <c r="B2431" s="2">
        <v>12</v>
      </c>
      <c r="D2431" s="2" t="s">
        <v>1380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3"/>
        <v>0</v>
      </c>
      <c r="Z2431" s="2" t="s">
        <v>3237</v>
      </c>
      <c r="AA2431" s="2" t="s">
        <v>97</v>
      </c>
      <c r="AB2431" s="2" t="s">
        <v>77</v>
      </c>
      <c r="AC2431" s="2" t="s">
        <v>94</v>
      </c>
      <c r="AF2431" s="2">
        <f t="shared" si="270"/>
        <v>0</v>
      </c>
      <c r="AJ2431" s="2">
        <f t="shared" si="271"/>
        <v>0</v>
      </c>
      <c r="AK2431" s="2">
        <f t="shared" si="272"/>
        <v>0</v>
      </c>
      <c r="AL2431" s="5">
        <f t="shared" si="274"/>
        <v>0</v>
      </c>
    </row>
    <row r="2432" spans="1:38" x14ac:dyDescent="0.2">
      <c r="A2432" s="2">
        <v>2025</v>
      </c>
      <c r="B2432" s="2">
        <v>12</v>
      </c>
      <c r="D2432" s="2" t="s">
        <v>2025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5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0"/>
        <v>0</v>
      </c>
      <c r="AJ2432" s="2">
        <f t="shared" si="271"/>
        <v>0</v>
      </c>
      <c r="AK2432" s="2">
        <f t="shared" si="272"/>
        <v>354.09659999999997</v>
      </c>
      <c r="AL2432" s="5">
        <f t="shared" si="274"/>
        <v>0.50635864435864431</v>
      </c>
    </row>
    <row r="2433" spans="1:38" x14ac:dyDescent="0.2">
      <c r="A2433" s="2">
        <v>2025</v>
      </c>
      <c r="B2433" s="2">
        <v>12</v>
      </c>
      <c r="D2433" s="2" t="s">
        <v>2025</v>
      </c>
      <c r="M2433" s="2" t="s">
        <v>41</v>
      </c>
      <c r="O2433" s="2" t="s">
        <v>2147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5"/>
        <v>0.45454545454545453</v>
      </c>
      <c r="Z2433" s="2" t="s">
        <v>3237</v>
      </c>
      <c r="AA2433" s="2" t="s">
        <v>46</v>
      </c>
      <c r="AB2433" s="2" t="s">
        <v>47</v>
      </c>
      <c r="AC2433" s="2" t="s">
        <v>48</v>
      </c>
      <c r="AF2433" s="2">
        <f t="shared" si="270"/>
        <v>0</v>
      </c>
      <c r="AG2433" s="2">
        <v>9.3000000000000007</v>
      </c>
      <c r="AH2433" s="2">
        <v>21</v>
      </c>
      <c r="AJ2433" s="2">
        <f t="shared" si="271"/>
        <v>0</v>
      </c>
      <c r="AK2433" s="2">
        <f t="shared" si="272"/>
        <v>7.75</v>
      </c>
      <c r="AL2433" s="5">
        <f t="shared" si="274"/>
        <v>0.45454545454545453</v>
      </c>
    </row>
    <row r="2434" spans="1:38" x14ac:dyDescent="0.2">
      <c r="A2434" s="2">
        <v>2025</v>
      </c>
      <c r="B2434" s="2">
        <v>12</v>
      </c>
      <c r="D2434" s="2" t="s">
        <v>2025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5"/>
        <v>0.44777500000000003</v>
      </c>
      <c r="Z2434" s="2" t="s">
        <v>3237</v>
      </c>
      <c r="AA2434" s="2" t="s">
        <v>46</v>
      </c>
      <c r="AB2434" s="2" t="s">
        <v>47</v>
      </c>
      <c r="AC2434" s="2" t="s">
        <v>48</v>
      </c>
      <c r="AF2434" s="2">
        <f t="shared" si="270"/>
        <v>0</v>
      </c>
      <c r="AG2434" s="2">
        <v>6.6266999999999996</v>
      </c>
      <c r="AH2434" s="2">
        <v>12</v>
      </c>
      <c r="AJ2434" s="2">
        <f t="shared" si="271"/>
        <v>0</v>
      </c>
      <c r="AK2434" s="2">
        <f t="shared" si="272"/>
        <v>5.3733000000000004</v>
      </c>
      <c r="AL2434" s="5">
        <f t="shared" si="274"/>
        <v>0.44777500000000003</v>
      </c>
    </row>
    <row r="2435" spans="1:38" x14ac:dyDescent="0.2">
      <c r="A2435" s="2">
        <v>2025</v>
      </c>
      <c r="B2435" s="2">
        <v>12</v>
      </c>
      <c r="D2435" s="2" t="s">
        <v>2025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5"/>
        <v>0.41111111111111115</v>
      </c>
      <c r="Z2435" s="2" t="s">
        <v>3237</v>
      </c>
      <c r="AA2435" s="2" t="s">
        <v>46</v>
      </c>
      <c r="AB2435" s="2" t="s">
        <v>57</v>
      </c>
      <c r="AC2435" s="2" t="s">
        <v>58</v>
      </c>
      <c r="AF2435" s="2">
        <f t="shared" ref="AF2435:AF2498" si="276">AJ2435</f>
        <v>0</v>
      </c>
      <c r="AG2435" s="2">
        <v>10.6</v>
      </c>
      <c r="AH2435" s="2">
        <v>18</v>
      </c>
      <c r="AJ2435" s="2">
        <f t="shared" ref="AJ2435:AJ2498" si="277">AI2435*T2435</f>
        <v>0</v>
      </c>
      <c r="AK2435" s="2">
        <f t="shared" ref="AK2435:AK2498" si="278">T2435-W2435</f>
        <v>14.8</v>
      </c>
      <c r="AL2435" s="5">
        <f t="shared" si="274"/>
        <v>0.41111111111111115</v>
      </c>
    </row>
    <row r="2436" spans="1:38" x14ac:dyDescent="0.2">
      <c r="A2436" s="2">
        <v>2025</v>
      </c>
      <c r="B2436" s="2">
        <v>12</v>
      </c>
      <c r="D2436" s="2" t="s">
        <v>2025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5"/>
        <v>0.6</v>
      </c>
      <c r="Z2436" s="2" t="s">
        <v>118</v>
      </c>
      <c r="AA2436" s="2" t="s">
        <v>191</v>
      </c>
      <c r="AF2436" s="2">
        <f t="shared" si="276"/>
        <v>0</v>
      </c>
      <c r="AJ2436" s="2">
        <f t="shared" si="277"/>
        <v>0</v>
      </c>
      <c r="AK2436" s="2">
        <f t="shared" si="278"/>
        <v>36</v>
      </c>
      <c r="AL2436" s="5">
        <f t="shared" si="274"/>
        <v>0.6</v>
      </c>
    </row>
    <row r="2437" spans="1:38" x14ac:dyDescent="0.2">
      <c r="A2437" s="2">
        <v>2025</v>
      </c>
      <c r="B2437" s="2">
        <v>12</v>
      </c>
      <c r="D2437" s="2" t="s">
        <v>2025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5"/>
        <v>0.5</v>
      </c>
      <c r="Z2437" s="2" t="s">
        <v>118</v>
      </c>
      <c r="AA2437" s="2" t="s">
        <v>191</v>
      </c>
      <c r="AF2437" s="2">
        <f t="shared" si="276"/>
        <v>0</v>
      </c>
      <c r="AJ2437" s="2">
        <f t="shared" si="277"/>
        <v>0</v>
      </c>
      <c r="AK2437" s="2">
        <f t="shared" si="278"/>
        <v>25</v>
      </c>
      <c r="AL2437" s="5">
        <f t="shared" si="274"/>
        <v>0.5</v>
      </c>
    </row>
    <row r="2438" spans="1:38" x14ac:dyDescent="0.2">
      <c r="A2438" s="2">
        <v>2025</v>
      </c>
      <c r="B2438" s="2">
        <v>12</v>
      </c>
      <c r="D2438" s="2" t="s">
        <v>2148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5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6"/>
        <v>0</v>
      </c>
      <c r="AJ2438" s="2">
        <f t="shared" si="277"/>
        <v>0</v>
      </c>
      <c r="AK2438" s="2">
        <f t="shared" si="278"/>
        <v>352.72999999999996</v>
      </c>
      <c r="AL2438" s="5">
        <f t="shared" si="274"/>
        <v>0.50440440440440437</v>
      </c>
    </row>
    <row r="2439" spans="1:38" x14ac:dyDescent="0.2">
      <c r="A2439" s="2">
        <v>2025</v>
      </c>
      <c r="B2439" s="2">
        <v>12</v>
      </c>
      <c r="D2439" s="2" t="s">
        <v>2148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5"/>
        <v>0.6</v>
      </c>
      <c r="Z2439" s="2" t="s">
        <v>118</v>
      </c>
      <c r="AA2439" s="2" t="s">
        <v>191</v>
      </c>
      <c r="AF2439" s="2">
        <f t="shared" si="276"/>
        <v>0</v>
      </c>
      <c r="AJ2439" s="2">
        <f t="shared" si="277"/>
        <v>0</v>
      </c>
      <c r="AK2439" s="2">
        <f t="shared" si="278"/>
        <v>102.6</v>
      </c>
      <c r="AL2439" s="5">
        <f t="shared" si="274"/>
        <v>0.6</v>
      </c>
    </row>
    <row r="2440" spans="1:38" x14ac:dyDescent="0.2">
      <c r="A2440" s="2">
        <v>2025</v>
      </c>
      <c r="B2440" s="2">
        <v>12</v>
      </c>
      <c r="D2440" s="2" t="s">
        <v>2148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5"/>
        <v>0.5</v>
      </c>
      <c r="Z2440" s="2" t="s">
        <v>118</v>
      </c>
      <c r="AA2440" s="2" t="s">
        <v>191</v>
      </c>
      <c r="AF2440" s="2">
        <f t="shared" si="276"/>
        <v>0</v>
      </c>
      <c r="AJ2440" s="2">
        <f t="shared" si="277"/>
        <v>0</v>
      </c>
      <c r="AK2440" s="2">
        <f t="shared" si="278"/>
        <v>25</v>
      </c>
      <c r="AL2440" s="5">
        <f t="shared" si="274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2149</v>
      </c>
      <c r="R2441" s="2" t="s">
        <v>2150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5"/>
        <v>0.25960564258436597</v>
      </c>
      <c r="Z2441" s="2" t="s">
        <v>105</v>
      </c>
      <c r="AA2441" s="2" t="s">
        <v>415</v>
      </c>
      <c r="AB2441" s="2" t="s">
        <v>1115</v>
      </c>
      <c r="AC2441" s="2" t="s">
        <v>700</v>
      </c>
      <c r="AF2441" s="2">
        <f t="shared" si="276"/>
        <v>0</v>
      </c>
      <c r="AJ2441" s="2">
        <f t="shared" si="277"/>
        <v>0</v>
      </c>
      <c r="AK2441" s="2">
        <f t="shared" si="278"/>
        <v>6662</v>
      </c>
      <c r="AL2441" s="5">
        <f t="shared" si="274"/>
        <v>0.25960564258436597</v>
      </c>
    </row>
    <row r="2442" spans="1:38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5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6"/>
        <v>0</v>
      </c>
      <c r="AJ2442" s="2">
        <f t="shared" si="277"/>
        <v>0</v>
      </c>
      <c r="AK2442" s="2">
        <f t="shared" si="278"/>
        <v>282.8</v>
      </c>
      <c r="AL2442" s="5">
        <f t="shared" si="274"/>
        <v>0.44933822711600491</v>
      </c>
    </row>
    <row r="2443" spans="1:38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5"/>
        <v>0.59999999999999987</v>
      </c>
      <c r="Z2443" s="2" t="s">
        <v>118</v>
      </c>
      <c r="AA2443" s="2" t="s">
        <v>191</v>
      </c>
      <c r="AF2443" s="2">
        <f t="shared" si="276"/>
        <v>0</v>
      </c>
      <c r="AJ2443" s="2">
        <f t="shared" si="277"/>
        <v>0</v>
      </c>
      <c r="AK2443" s="2">
        <f t="shared" si="278"/>
        <v>42.599999999999994</v>
      </c>
      <c r="AL2443" s="5">
        <f t="shared" si="274"/>
        <v>0.59999999999999987</v>
      </c>
    </row>
    <row r="2444" spans="1:38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5"/>
        <v>#DIV/0!</v>
      </c>
      <c r="Z2444" s="2" t="s">
        <v>118</v>
      </c>
      <c r="AA2444" s="2" t="s">
        <v>191</v>
      </c>
      <c r="AF2444" s="2">
        <f t="shared" si="276"/>
        <v>0</v>
      </c>
      <c r="AJ2444" s="2">
        <f t="shared" si="277"/>
        <v>0</v>
      </c>
      <c r="AK2444" s="2">
        <f t="shared" si="278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5"/>
        <v>1</v>
      </c>
      <c r="Z2445" s="2" t="s">
        <v>120</v>
      </c>
      <c r="AA2445" s="2" t="s">
        <v>3392</v>
      </c>
      <c r="AF2445" s="2">
        <f t="shared" si="276"/>
        <v>0</v>
      </c>
      <c r="AJ2445" s="2">
        <f t="shared" si="277"/>
        <v>0</v>
      </c>
      <c r="AK2445" s="2">
        <f t="shared" si="278"/>
        <v>629.37</v>
      </c>
      <c r="AL2445" s="5">
        <f t="shared" si="274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5"/>
        <v>0.25454545454545452</v>
      </c>
      <c r="Z2446" s="2" t="s">
        <v>3237</v>
      </c>
      <c r="AA2446" s="2" t="s">
        <v>46</v>
      </c>
      <c r="AB2446" s="2" t="s">
        <v>61</v>
      </c>
      <c r="AC2446" s="2" t="s">
        <v>58</v>
      </c>
      <c r="AF2446" s="2">
        <f t="shared" si="276"/>
        <v>0</v>
      </c>
      <c r="AG2446" s="2">
        <v>8.1999999999999993</v>
      </c>
      <c r="AH2446" s="2">
        <v>13</v>
      </c>
      <c r="AJ2446" s="2">
        <f t="shared" si="277"/>
        <v>0</v>
      </c>
      <c r="AK2446" s="2">
        <f t="shared" si="278"/>
        <v>28</v>
      </c>
      <c r="AL2446" s="5">
        <f t="shared" si="274"/>
        <v>0.25454545454545452</v>
      </c>
    </row>
    <row r="2447" spans="1:38" x14ac:dyDescent="0.2">
      <c r="A2447" s="2">
        <v>2025</v>
      </c>
      <c r="B2447" s="2">
        <v>12</v>
      </c>
      <c r="D2447" s="2" t="s">
        <v>2151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5"/>
        <v>0.46612272727272724</v>
      </c>
      <c r="Z2447" s="2" t="s">
        <v>3237</v>
      </c>
      <c r="AA2447" s="2" t="s">
        <v>76</v>
      </c>
      <c r="AB2447" s="2" t="s">
        <v>77</v>
      </c>
      <c r="AC2447" s="2" t="s">
        <v>78</v>
      </c>
      <c r="AF2447" s="2">
        <f t="shared" si="276"/>
        <v>0</v>
      </c>
      <c r="AG2447" s="2">
        <v>117.453</v>
      </c>
      <c r="AH2447" s="2">
        <v>220</v>
      </c>
      <c r="AJ2447" s="2">
        <f t="shared" si="277"/>
        <v>0</v>
      </c>
      <c r="AK2447" s="2">
        <f t="shared" si="278"/>
        <v>102.547</v>
      </c>
      <c r="AL2447" s="5">
        <f t="shared" si="274"/>
        <v>0.46612272727272724</v>
      </c>
    </row>
    <row r="2448" spans="1:38" x14ac:dyDescent="0.2">
      <c r="A2448" s="2">
        <v>2025</v>
      </c>
      <c r="B2448" s="2">
        <v>12</v>
      </c>
      <c r="D2448" s="2" t="s">
        <v>2151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5"/>
        <v>0</v>
      </c>
      <c r="Z2448" s="2" t="s">
        <v>3237</v>
      </c>
      <c r="AA2448" s="2" t="s">
        <v>97</v>
      </c>
      <c r="AB2448" s="2" t="s">
        <v>77</v>
      </c>
      <c r="AC2448" s="2" t="s">
        <v>94</v>
      </c>
      <c r="AF2448" s="2">
        <f t="shared" si="276"/>
        <v>0</v>
      </c>
      <c r="AJ2448" s="2">
        <f t="shared" si="277"/>
        <v>0</v>
      </c>
      <c r="AK2448" s="2">
        <f t="shared" si="278"/>
        <v>0</v>
      </c>
      <c r="AL2448" s="5">
        <f t="shared" si="274"/>
        <v>0</v>
      </c>
    </row>
    <row r="2449" spans="1:38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958</v>
      </c>
      <c r="R2449" s="2" t="s">
        <v>959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5"/>
        <v>0.31614479433271908</v>
      </c>
      <c r="Z2449" s="2" t="s">
        <v>105</v>
      </c>
      <c r="AA2449" s="2" t="s">
        <v>617</v>
      </c>
      <c r="AB2449" s="2" t="s">
        <v>960</v>
      </c>
      <c r="AC2449" s="2" t="s">
        <v>115</v>
      </c>
      <c r="AF2449" s="2">
        <f t="shared" si="276"/>
        <v>0</v>
      </c>
      <c r="AG2449" s="2">
        <v>6468.73</v>
      </c>
      <c r="AJ2449" s="2">
        <f t="shared" si="277"/>
        <v>0</v>
      </c>
      <c r="AK2449" s="2">
        <f t="shared" si="278"/>
        <v>2990.4799999999996</v>
      </c>
      <c r="AL2449" s="5">
        <f t="shared" si="274"/>
        <v>0.31614479433271908</v>
      </c>
    </row>
    <row r="2450" spans="1:38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2152</v>
      </c>
      <c r="P2450" s="2" t="s">
        <v>283</v>
      </c>
      <c r="Q2450" s="2" t="s">
        <v>1286</v>
      </c>
      <c r="R2450" s="2" t="s">
        <v>1287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5"/>
        <v>8.0132450331125829E-2</v>
      </c>
      <c r="Z2450" s="2" t="s">
        <v>105</v>
      </c>
      <c r="AA2450" s="2" t="s">
        <v>1581</v>
      </c>
      <c r="AB2450" s="2" t="s">
        <v>389</v>
      </c>
      <c r="AC2450" s="2" t="s">
        <v>1331</v>
      </c>
      <c r="AF2450" s="2">
        <f t="shared" si="276"/>
        <v>0</v>
      </c>
      <c r="AG2450" s="2">
        <f>1294+95</f>
        <v>1389</v>
      </c>
      <c r="AJ2450" s="2">
        <f t="shared" si="277"/>
        <v>0</v>
      </c>
      <c r="AK2450" s="2">
        <f t="shared" si="278"/>
        <v>121</v>
      </c>
      <c r="AL2450" s="5">
        <f t="shared" si="274"/>
        <v>8.0132450331125829E-2</v>
      </c>
    </row>
    <row r="2451" spans="1:38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2152</v>
      </c>
      <c r="P2451" s="2" t="s">
        <v>283</v>
      </c>
      <c r="Q2451" s="2" t="s">
        <v>1288</v>
      </c>
      <c r="R2451" s="2" t="s">
        <v>1289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1581</v>
      </c>
      <c r="AB2451" s="2" t="s">
        <v>389</v>
      </c>
      <c r="AC2451" s="2" t="s">
        <v>1331</v>
      </c>
      <c r="AF2451" s="2">
        <f t="shared" si="276"/>
        <v>0</v>
      </c>
      <c r="AJ2451" s="2">
        <f t="shared" si="27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2152</v>
      </c>
      <c r="P2452" s="2" t="s">
        <v>283</v>
      </c>
      <c r="Q2452" s="2" t="s">
        <v>1157</v>
      </c>
      <c r="R2452" s="2" t="s">
        <v>1158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1581</v>
      </c>
      <c r="AB2452" s="2" t="s">
        <v>389</v>
      </c>
      <c r="AC2452" s="2" t="s">
        <v>1331</v>
      </c>
      <c r="AF2452" s="2">
        <f t="shared" si="276"/>
        <v>0</v>
      </c>
      <c r="AG2452" s="2">
        <v>2190</v>
      </c>
      <c r="AJ2452" s="2">
        <f t="shared" si="277"/>
        <v>0</v>
      </c>
      <c r="AK2452" s="2">
        <f t="shared" si="278"/>
        <v>800</v>
      </c>
      <c r="AL2452" s="5">
        <f t="shared" si="274"/>
        <v>0.26755852842809363</v>
      </c>
    </row>
    <row r="2453" spans="1:38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2152</v>
      </c>
      <c r="P2453" s="2" t="s">
        <v>283</v>
      </c>
      <c r="Q2453" s="2" t="s">
        <v>1161</v>
      </c>
      <c r="R2453" s="2" t="s">
        <v>1162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1581</v>
      </c>
      <c r="AB2453" s="2" t="s">
        <v>389</v>
      </c>
      <c r="AC2453" s="2" t="s">
        <v>1331</v>
      </c>
      <c r="AF2453" s="2">
        <f t="shared" si="276"/>
        <v>0</v>
      </c>
      <c r="AJ2453" s="2">
        <f t="shared" si="27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3173</v>
      </c>
      <c r="P2454" s="2" t="s">
        <v>1041</v>
      </c>
      <c r="Q2454" s="2" t="s">
        <v>2153</v>
      </c>
      <c r="R2454" s="2" t="s">
        <v>2154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9">(T2454-W2454)/T2454</f>
        <v>0.51213768115942027</v>
      </c>
      <c r="Z2454" s="2" t="s">
        <v>3237</v>
      </c>
      <c r="AA2454" s="2" t="s">
        <v>76</v>
      </c>
      <c r="AB2454" s="2" t="s">
        <v>77</v>
      </c>
      <c r="AC2454" s="2" t="s">
        <v>1041</v>
      </c>
      <c r="AF2454" s="2">
        <f t="shared" si="276"/>
        <v>0</v>
      </c>
      <c r="AG2454" s="2">
        <v>107.72</v>
      </c>
      <c r="AJ2454" s="2">
        <f t="shared" si="277"/>
        <v>0</v>
      </c>
      <c r="AK2454" s="2">
        <f t="shared" si="278"/>
        <v>113.08000000000001</v>
      </c>
      <c r="AL2454" s="5">
        <f t="shared" si="274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9"/>
        <v>0.08</v>
      </c>
      <c r="Z2455" s="2" t="s">
        <v>170</v>
      </c>
      <c r="AA2455" s="2" t="s">
        <v>170</v>
      </c>
      <c r="AF2455" s="2">
        <f t="shared" si="276"/>
        <v>0</v>
      </c>
      <c r="AJ2455" s="2">
        <f t="shared" si="277"/>
        <v>0</v>
      </c>
      <c r="AK2455" s="2">
        <f t="shared" si="278"/>
        <v>2</v>
      </c>
      <c r="AL2455" s="5">
        <f t="shared" si="274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9"/>
        <v>0</v>
      </c>
      <c r="Z2456" s="2" t="s">
        <v>3237</v>
      </c>
      <c r="AA2456" s="2" t="s">
        <v>97</v>
      </c>
      <c r="AB2456" s="2" t="s">
        <v>77</v>
      </c>
      <c r="AC2456" s="2" t="s">
        <v>94</v>
      </c>
      <c r="AF2456" s="2">
        <f t="shared" si="276"/>
        <v>0</v>
      </c>
      <c r="AJ2456" s="2">
        <f t="shared" si="277"/>
        <v>0</v>
      </c>
      <c r="AK2456" s="2">
        <f t="shared" si="278"/>
        <v>0</v>
      </c>
      <c r="AL2456" s="5">
        <f t="shared" si="274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9"/>
        <v>1</v>
      </c>
      <c r="Z2457" s="2" t="s">
        <v>120</v>
      </c>
      <c r="AA2457" s="2" t="s">
        <v>493</v>
      </c>
      <c r="AF2457" s="2">
        <f t="shared" si="276"/>
        <v>0</v>
      </c>
      <c r="AJ2457" s="2">
        <f t="shared" si="277"/>
        <v>0</v>
      </c>
      <c r="AK2457" s="2">
        <f t="shared" si="278"/>
        <v>664.04</v>
      </c>
      <c r="AL2457" s="5">
        <f t="shared" si="274"/>
        <v>1</v>
      </c>
    </row>
    <row r="2458" spans="1:38" x14ac:dyDescent="0.2">
      <c r="A2458" s="2">
        <v>2025</v>
      </c>
      <c r="B2458" s="2">
        <v>12</v>
      </c>
      <c r="D2458" s="2" t="s">
        <v>1260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9"/>
        <v>#DIV/0!</v>
      </c>
      <c r="AF2458" s="2">
        <f t="shared" si="276"/>
        <v>0</v>
      </c>
      <c r="AJ2458" s="2">
        <f t="shared" si="277"/>
        <v>0</v>
      </c>
      <c r="AK2458" s="2">
        <f t="shared" si="278"/>
        <v>0</v>
      </c>
      <c r="AL2458" s="5" t="e">
        <f t="shared" si="274"/>
        <v>#DIV/0!</v>
      </c>
    </row>
    <row r="2459" spans="1:38" x14ac:dyDescent="0.2">
      <c r="A2459" s="2">
        <v>2025</v>
      </c>
      <c r="B2459" s="2">
        <v>12</v>
      </c>
      <c r="D2459" s="2" t="s">
        <v>1260</v>
      </c>
      <c r="P2459" s="2" t="s">
        <v>115</v>
      </c>
      <c r="Q2459" s="2" t="s">
        <v>2155</v>
      </c>
      <c r="R2459" s="2" t="s">
        <v>2156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9"/>
        <v>1</v>
      </c>
      <c r="Z2459" s="2" t="s">
        <v>105</v>
      </c>
      <c r="AF2459" s="2">
        <f t="shared" si="276"/>
        <v>0</v>
      </c>
      <c r="AJ2459" s="2">
        <f t="shared" si="277"/>
        <v>0</v>
      </c>
      <c r="AK2459" s="2">
        <f t="shared" si="278"/>
        <v>8500</v>
      </c>
      <c r="AL2459" s="5">
        <f t="shared" si="274"/>
        <v>1</v>
      </c>
    </row>
    <row r="2460" spans="1:38" x14ac:dyDescent="0.2">
      <c r="A2460" s="2">
        <v>2025</v>
      </c>
      <c r="B2460" s="2">
        <v>12</v>
      </c>
      <c r="D2460" s="2" t="s">
        <v>1261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9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6"/>
        <v>0</v>
      </c>
      <c r="AJ2460" s="2">
        <f t="shared" si="277"/>
        <v>0</v>
      </c>
      <c r="AK2460" s="2">
        <f t="shared" si="278"/>
        <v>4320.6000000000004</v>
      </c>
      <c r="AL2460" s="5">
        <f t="shared" si="274"/>
        <v>0.28823215476984659</v>
      </c>
    </row>
    <row r="2461" spans="1:38" x14ac:dyDescent="0.2">
      <c r="A2461" s="2">
        <v>2025</v>
      </c>
      <c r="B2461" s="2">
        <v>12</v>
      </c>
      <c r="D2461" s="2" t="s">
        <v>1052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1053</v>
      </c>
      <c r="J2461" s="2" t="s">
        <v>1054</v>
      </c>
      <c r="L2461" s="2" t="s">
        <v>340</v>
      </c>
      <c r="M2461" s="2" t="s">
        <v>40</v>
      </c>
      <c r="O2461" s="2" t="s">
        <v>2157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9"/>
        <v>0.6</v>
      </c>
      <c r="Z2461" s="2" t="s">
        <v>118</v>
      </c>
      <c r="AA2461" s="2" t="s">
        <v>191</v>
      </c>
      <c r="AF2461" s="2">
        <f t="shared" si="276"/>
        <v>0</v>
      </c>
      <c r="AJ2461" s="2">
        <f t="shared" si="277"/>
        <v>0</v>
      </c>
      <c r="AK2461" s="2">
        <f t="shared" si="278"/>
        <v>30</v>
      </c>
      <c r="AL2461" s="5">
        <f t="shared" si="274"/>
        <v>0.6</v>
      </c>
    </row>
    <row r="2462" spans="1:38" x14ac:dyDescent="0.2">
      <c r="A2462" s="2">
        <v>2025</v>
      </c>
      <c r="B2462" s="2">
        <v>12</v>
      </c>
      <c r="D2462" s="2" t="s">
        <v>1052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1053</v>
      </c>
      <c r="J2462" s="2" t="s">
        <v>1054</v>
      </c>
      <c r="L2462" s="2" t="s">
        <v>340</v>
      </c>
      <c r="M2462" s="2" t="s">
        <v>40</v>
      </c>
      <c r="O2462" s="2" t="s">
        <v>2157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9"/>
        <v>0.5</v>
      </c>
      <c r="Z2462" s="2" t="s">
        <v>118</v>
      </c>
      <c r="AA2462" s="2" t="s">
        <v>191</v>
      </c>
      <c r="AF2462" s="2">
        <f t="shared" si="276"/>
        <v>0</v>
      </c>
      <c r="AJ2462" s="2">
        <f t="shared" si="277"/>
        <v>0</v>
      </c>
      <c r="AK2462" s="2">
        <f t="shared" si="278"/>
        <v>25</v>
      </c>
      <c r="AL2462" s="5">
        <f t="shared" si="274"/>
        <v>0.5</v>
      </c>
    </row>
    <row r="2463" spans="1:38" x14ac:dyDescent="0.2">
      <c r="A2463" s="2">
        <v>2025</v>
      </c>
      <c r="B2463" s="2">
        <v>12</v>
      </c>
      <c r="D2463" s="2" t="s">
        <v>1052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1053</v>
      </c>
      <c r="J2463" s="2" t="s">
        <v>1054</v>
      </c>
      <c r="L2463" s="2" t="s">
        <v>340</v>
      </c>
      <c r="M2463" s="2" t="s">
        <v>40</v>
      </c>
      <c r="O2463" s="2" t="s">
        <v>2157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9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6"/>
        <v>0</v>
      </c>
      <c r="AJ2463" s="2">
        <f t="shared" si="277"/>
        <v>0</v>
      </c>
      <c r="AK2463" s="2">
        <f t="shared" si="278"/>
        <v>699.3</v>
      </c>
      <c r="AL2463" s="5">
        <f t="shared" si="274"/>
        <v>1</v>
      </c>
    </row>
    <row r="2464" spans="1:38" x14ac:dyDescent="0.2">
      <c r="A2464" s="2">
        <v>2025</v>
      </c>
      <c r="B2464" s="2">
        <v>12</v>
      </c>
      <c r="C2464" s="2" t="s">
        <v>3337</v>
      </c>
      <c r="D2464" s="2" t="s">
        <v>2158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9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6"/>
        <v>0</v>
      </c>
      <c r="AJ2464" s="2">
        <f t="shared" si="277"/>
        <v>0</v>
      </c>
      <c r="AK2464" s="2">
        <f t="shared" si="278"/>
        <v>254.19659999999999</v>
      </c>
      <c r="AL2464" s="5">
        <f t="shared" si="274"/>
        <v>0.42408508508508508</v>
      </c>
    </row>
    <row r="2465" spans="1:38" x14ac:dyDescent="0.2">
      <c r="A2465" s="2">
        <v>2025</v>
      </c>
      <c r="B2465" s="2">
        <v>12</v>
      </c>
      <c r="C2465" s="2" t="s">
        <v>3337</v>
      </c>
      <c r="D2465" s="2" t="s">
        <v>2158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9"/>
        <v>0.60000000000000009</v>
      </c>
      <c r="Z2465" s="2" t="s">
        <v>118</v>
      </c>
      <c r="AA2465" s="2" t="s">
        <v>191</v>
      </c>
      <c r="AF2465" s="2">
        <f t="shared" si="276"/>
        <v>0</v>
      </c>
      <c r="AJ2465" s="2">
        <f t="shared" si="277"/>
        <v>0</v>
      </c>
      <c r="AK2465" s="2">
        <f t="shared" si="278"/>
        <v>40.200000000000003</v>
      </c>
      <c r="AL2465" s="5">
        <f t="shared" si="274"/>
        <v>0.60000000000000009</v>
      </c>
    </row>
    <row r="2466" spans="1:38" x14ac:dyDescent="0.2">
      <c r="A2466" s="2">
        <v>2025</v>
      </c>
      <c r="B2466" s="2">
        <v>12</v>
      </c>
      <c r="C2466" s="2" t="s">
        <v>3337</v>
      </c>
      <c r="D2466" s="2" t="s">
        <v>2158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9"/>
        <v>0.5</v>
      </c>
      <c r="Z2466" s="2" t="s">
        <v>118</v>
      </c>
      <c r="AA2466" s="2" t="s">
        <v>191</v>
      </c>
      <c r="AF2466" s="2">
        <f t="shared" si="276"/>
        <v>0</v>
      </c>
      <c r="AJ2466" s="2">
        <f t="shared" si="277"/>
        <v>0</v>
      </c>
      <c r="AK2466" s="2">
        <f t="shared" si="278"/>
        <v>25</v>
      </c>
      <c r="AL2466" s="5">
        <f t="shared" si="274"/>
        <v>0.5</v>
      </c>
    </row>
    <row r="2467" spans="1:38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2159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9"/>
        <v>0.44777500000000003</v>
      </c>
      <c r="Z2467" s="2" t="s">
        <v>3237</v>
      </c>
      <c r="AA2467" s="2" t="s">
        <v>46</v>
      </c>
      <c r="AB2467" s="2" t="s">
        <v>47</v>
      </c>
      <c r="AC2467" s="2" t="s">
        <v>48</v>
      </c>
      <c r="AF2467" s="2">
        <f t="shared" si="276"/>
        <v>0</v>
      </c>
      <c r="AG2467" s="2">
        <v>6.6266999999999996</v>
      </c>
      <c r="AH2467" s="2">
        <v>12</v>
      </c>
      <c r="AJ2467" s="2">
        <f t="shared" si="277"/>
        <v>0</v>
      </c>
      <c r="AK2467" s="2">
        <f t="shared" si="278"/>
        <v>10.746600000000001</v>
      </c>
      <c r="AL2467" s="5">
        <f t="shared" si="274"/>
        <v>0.44777500000000003</v>
      </c>
    </row>
    <row r="2468" spans="1:38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2159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79"/>
        <v>0.58333333333333337</v>
      </c>
      <c r="Z2468" s="2" t="s">
        <v>3237</v>
      </c>
      <c r="AA2468" s="2" t="s">
        <v>46</v>
      </c>
      <c r="AB2468" s="2" t="s">
        <v>47</v>
      </c>
      <c r="AC2468" s="2" t="s">
        <v>48</v>
      </c>
      <c r="AF2468" s="2">
        <f t="shared" si="276"/>
        <v>0</v>
      </c>
      <c r="AJ2468" s="2">
        <f t="shared" si="277"/>
        <v>0</v>
      </c>
      <c r="AK2468" s="2">
        <f t="shared" si="278"/>
        <v>11.2</v>
      </c>
      <c r="AL2468" s="5">
        <f t="shared" si="274"/>
        <v>0.58333333333333337</v>
      </c>
    </row>
    <row r="2469" spans="1:38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2159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9"/>
        <v>1</v>
      </c>
      <c r="Z2469" s="2" t="s">
        <v>3237</v>
      </c>
      <c r="AA2469" s="2" t="s">
        <v>46</v>
      </c>
      <c r="AB2469" s="2" t="s">
        <v>57</v>
      </c>
      <c r="AC2469" s="2" t="s">
        <v>58</v>
      </c>
      <c r="AF2469" s="2">
        <f t="shared" si="276"/>
        <v>0</v>
      </c>
      <c r="AJ2469" s="2">
        <f t="shared" si="277"/>
        <v>0</v>
      </c>
      <c r="AK2469" s="2">
        <f t="shared" si="278"/>
        <v>27</v>
      </c>
      <c r="AL2469" s="5">
        <f t="shared" si="274"/>
        <v>1</v>
      </c>
    </row>
    <row r="2470" spans="1:38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2159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9"/>
        <v>0.50777499999999998</v>
      </c>
      <c r="Z2470" s="2" t="s">
        <v>3237</v>
      </c>
      <c r="AA2470" s="2" t="s">
        <v>46</v>
      </c>
      <c r="AB2470" s="2" t="s">
        <v>57</v>
      </c>
      <c r="AC2470" s="2" t="s">
        <v>58</v>
      </c>
      <c r="AF2470" s="2">
        <f t="shared" si="276"/>
        <v>0</v>
      </c>
      <c r="AG2470" s="2">
        <v>5.9066999999999998</v>
      </c>
      <c r="AH2470" s="2">
        <v>12.6</v>
      </c>
      <c r="AJ2470" s="2">
        <f t="shared" si="277"/>
        <v>0</v>
      </c>
      <c r="AK2470" s="2">
        <f t="shared" si="278"/>
        <v>6.0933000000000002</v>
      </c>
      <c r="AL2470" s="5">
        <f t="shared" si="274"/>
        <v>0.50777499999999998</v>
      </c>
    </row>
    <row r="2471" spans="1:38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2159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9"/>
        <v>0.45290151515151511</v>
      </c>
      <c r="Z2471" s="2" t="s">
        <v>3237</v>
      </c>
      <c r="AA2471" s="2" t="s">
        <v>46</v>
      </c>
      <c r="AB2471" s="2" t="s">
        <v>57</v>
      </c>
      <c r="AC2471" s="2" t="s">
        <v>58</v>
      </c>
      <c r="AF2471" s="2">
        <f t="shared" si="276"/>
        <v>0</v>
      </c>
      <c r="AG2471" s="2">
        <v>7.2217000000000002</v>
      </c>
      <c r="AH2471" s="2">
        <v>14.4</v>
      </c>
      <c r="AJ2471" s="2">
        <f t="shared" si="277"/>
        <v>0</v>
      </c>
      <c r="AK2471" s="2">
        <f t="shared" si="278"/>
        <v>5.9782999999999991</v>
      </c>
      <c r="AL2471" s="5">
        <f t="shared" si="274"/>
        <v>0.45290151515151511</v>
      </c>
    </row>
    <row r="2472" spans="1:38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2159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9"/>
        <v>1</v>
      </c>
      <c r="Z2472" s="2" t="s">
        <v>3237</v>
      </c>
      <c r="AA2472" s="2" t="s">
        <v>46</v>
      </c>
      <c r="AB2472" s="2" t="s">
        <v>57</v>
      </c>
      <c r="AC2472" s="2" t="s">
        <v>58</v>
      </c>
      <c r="AF2472" s="2">
        <f t="shared" si="276"/>
        <v>0</v>
      </c>
      <c r="AJ2472" s="2">
        <f t="shared" si="277"/>
        <v>0</v>
      </c>
      <c r="AK2472" s="2">
        <f t="shared" si="278"/>
        <v>24</v>
      </c>
      <c r="AL2472" s="5">
        <f t="shared" si="274"/>
        <v>1</v>
      </c>
    </row>
    <row r="2473" spans="1:38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2159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9"/>
        <v>0.53508771929824561</v>
      </c>
      <c r="Z2473" s="2" t="s">
        <v>3237</v>
      </c>
      <c r="AA2473" s="2" t="s">
        <v>46</v>
      </c>
      <c r="AB2473" s="2" t="s">
        <v>57</v>
      </c>
      <c r="AC2473" s="2" t="s">
        <v>58</v>
      </c>
      <c r="AF2473" s="2">
        <f t="shared" si="276"/>
        <v>0</v>
      </c>
      <c r="AG2473" s="2">
        <v>10.6</v>
      </c>
      <c r="AH2473" s="2">
        <v>18</v>
      </c>
      <c r="AJ2473" s="2">
        <f t="shared" si="277"/>
        <v>0</v>
      </c>
      <c r="AK2473" s="2">
        <f t="shared" si="278"/>
        <v>24.400000000000002</v>
      </c>
      <c r="AL2473" s="5">
        <f t="shared" si="274"/>
        <v>0.53508771929824561</v>
      </c>
    </row>
    <row r="2474" spans="1:38" x14ac:dyDescent="0.2">
      <c r="A2474" s="2">
        <v>2025</v>
      </c>
      <c r="B2474" s="2">
        <v>12</v>
      </c>
      <c r="D2474" s="2" t="s">
        <v>2160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9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6"/>
        <v>0</v>
      </c>
      <c r="AJ2474" s="2">
        <f t="shared" si="277"/>
        <v>0</v>
      </c>
      <c r="AK2474" s="2">
        <f t="shared" si="278"/>
        <v>354.09659999999997</v>
      </c>
      <c r="AL2474" s="5">
        <f t="shared" si="274"/>
        <v>0.50635864435864431</v>
      </c>
    </row>
    <row r="2475" spans="1:38" x14ac:dyDescent="0.2">
      <c r="A2475" s="2">
        <v>2025</v>
      </c>
      <c r="B2475" s="2">
        <v>12</v>
      </c>
      <c r="D2475" s="2" t="s">
        <v>2160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9"/>
        <v>0.6</v>
      </c>
      <c r="Z2475" s="2" t="s">
        <v>118</v>
      </c>
      <c r="AA2475" s="2" t="s">
        <v>191</v>
      </c>
      <c r="AF2475" s="2">
        <f t="shared" si="276"/>
        <v>0</v>
      </c>
      <c r="AJ2475" s="2">
        <f t="shared" si="277"/>
        <v>0</v>
      </c>
      <c r="AK2475" s="2">
        <f t="shared" si="278"/>
        <v>69</v>
      </c>
      <c r="AL2475" s="5">
        <f t="shared" si="274"/>
        <v>0.6</v>
      </c>
    </row>
    <row r="2476" spans="1:38" x14ac:dyDescent="0.2">
      <c r="A2476" s="2">
        <v>2025</v>
      </c>
      <c r="B2476" s="2">
        <v>12</v>
      </c>
      <c r="D2476" s="2" t="s">
        <v>2160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9"/>
        <v>0.5</v>
      </c>
      <c r="Z2476" s="2" t="s">
        <v>118</v>
      </c>
      <c r="AA2476" s="2" t="s">
        <v>191</v>
      </c>
      <c r="AF2476" s="2">
        <f t="shared" si="276"/>
        <v>0</v>
      </c>
      <c r="AJ2476" s="2">
        <f t="shared" si="277"/>
        <v>0</v>
      </c>
      <c r="AK2476" s="2">
        <f t="shared" si="278"/>
        <v>25</v>
      </c>
      <c r="AL2476" s="5">
        <f t="shared" si="274"/>
        <v>0.5</v>
      </c>
    </row>
    <row r="2477" spans="1:38" x14ac:dyDescent="0.2">
      <c r="A2477" s="2">
        <v>2025</v>
      </c>
      <c r="B2477" s="2">
        <v>12</v>
      </c>
      <c r="D2477" s="2" t="s">
        <v>1068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9"/>
        <v>0.30138139534883718</v>
      </c>
      <c r="Z2477" s="2" t="s">
        <v>3237</v>
      </c>
      <c r="AA2477" s="2" t="s">
        <v>46</v>
      </c>
      <c r="AB2477" s="2" t="s">
        <v>68</v>
      </c>
      <c r="AC2477" s="2" t="s">
        <v>58</v>
      </c>
      <c r="AF2477" s="2">
        <f t="shared" si="276"/>
        <v>0</v>
      </c>
      <c r="AG2477" s="2">
        <v>15.020300000000001</v>
      </c>
      <c r="AH2477" s="2">
        <v>27.6</v>
      </c>
      <c r="AJ2477" s="2">
        <f t="shared" si="277"/>
        <v>0</v>
      </c>
      <c r="AK2477" s="2">
        <f t="shared" si="278"/>
        <v>64.796999999999997</v>
      </c>
      <c r="AL2477" s="5">
        <f t="shared" si="274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9"/>
        <v>0.41111111111111115</v>
      </c>
      <c r="Z2478" s="2" t="s">
        <v>3237</v>
      </c>
      <c r="AA2478" s="2" t="s">
        <v>46</v>
      </c>
      <c r="AB2478" s="2" t="s">
        <v>57</v>
      </c>
      <c r="AC2478" s="2" t="s">
        <v>58</v>
      </c>
      <c r="AF2478" s="2">
        <f t="shared" si="276"/>
        <v>0</v>
      </c>
      <c r="AG2478" s="2">
        <v>10.6</v>
      </c>
      <c r="AH2478" s="2">
        <v>18</v>
      </c>
      <c r="AJ2478" s="2">
        <f t="shared" si="277"/>
        <v>0</v>
      </c>
      <c r="AK2478" s="2">
        <f t="shared" si="278"/>
        <v>29.6</v>
      </c>
      <c r="AL2478" s="5">
        <f t="shared" si="274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9"/>
        <v>0.3166666666666666</v>
      </c>
      <c r="Z2479" s="2" t="s">
        <v>3237</v>
      </c>
      <c r="AA2479" s="2" t="s">
        <v>46</v>
      </c>
      <c r="AB2479" s="2" t="s">
        <v>61</v>
      </c>
      <c r="AC2479" s="2" t="s">
        <v>58</v>
      </c>
      <c r="AF2479" s="2">
        <f t="shared" si="276"/>
        <v>0</v>
      </c>
      <c r="AG2479" s="2">
        <v>8.1999999999999993</v>
      </c>
      <c r="AH2479" s="2">
        <v>13</v>
      </c>
      <c r="AJ2479" s="2">
        <f t="shared" si="277"/>
        <v>0</v>
      </c>
      <c r="AK2479" s="2">
        <f t="shared" si="278"/>
        <v>15.199999999999996</v>
      </c>
      <c r="AL2479" s="5">
        <f t="shared" si="274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9"/>
        <v>0.45095172413793105</v>
      </c>
      <c r="Z2480" s="2" t="s">
        <v>3237</v>
      </c>
      <c r="AA2480" s="2" t="s">
        <v>46</v>
      </c>
      <c r="AB2480" s="2" t="s">
        <v>68</v>
      </c>
      <c r="AC2480" s="2" t="s">
        <v>58</v>
      </c>
      <c r="AF2480" s="2">
        <f t="shared" si="276"/>
        <v>0</v>
      </c>
      <c r="AG2480" s="2">
        <v>7.9611999999999998</v>
      </c>
      <c r="AH2480" s="2">
        <v>14.4</v>
      </c>
      <c r="AJ2480" s="2">
        <f t="shared" si="277"/>
        <v>0</v>
      </c>
      <c r="AK2480" s="2">
        <f t="shared" si="278"/>
        <v>13.0776</v>
      </c>
      <c r="AL2480" s="5">
        <f t="shared" si="274"/>
        <v>0.45095172413793105</v>
      </c>
    </row>
    <row r="2481" spans="1:38" x14ac:dyDescent="0.2">
      <c r="A2481" s="2">
        <v>2025</v>
      </c>
      <c r="B2481" s="2">
        <v>12</v>
      </c>
      <c r="D2481" s="2" t="s">
        <v>2161</v>
      </c>
      <c r="P2481" s="2" t="s">
        <v>115</v>
      </c>
      <c r="Q2481" s="2" t="s">
        <v>2162</v>
      </c>
      <c r="R2481" s="2" t="s">
        <v>2163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9"/>
        <v>1</v>
      </c>
      <c r="AF2481" s="2">
        <f t="shared" si="276"/>
        <v>0</v>
      </c>
      <c r="AJ2481" s="2">
        <f t="shared" si="277"/>
        <v>0</v>
      </c>
      <c r="AK2481" s="2">
        <f t="shared" si="278"/>
        <v>65.72</v>
      </c>
      <c r="AL2481" s="5">
        <f t="shared" si="274"/>
        <v>1</v>
      </c>
    </row>
    <row r="2482" spans="1:38" x14ac:dyDescent="0.2">
      <c r="A2482" s="2">
        <v>2025</v>
      </c>
      <c r="B2482" s="2">
        <v>12</v>
      </c>
      <c r="D2482" s="2" t="s">
        <v>2161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9"/>
        <v>1</v>
      </c>
      <c r="AF2482" s="2">
        <f t="shared" si="276"/>
        <v>0</v>
      </c>
      <c r="AJ2482" s="2">
        <f t="shared" si="277"/>
        <v>0</v>
      </c>
      <c r="AK2482" s="2">
        <f t="shared" si="278"/>
        <v>28.57</v>
      </c>
      <c r="AL2482" s="5">
        <f t="shared" si="274"/>
        <v>1</v>
      </c>
    </row>
    <row r="2483" spans="1:38" x14ac:dyDescent="0.2">
      <c r="A2483" s="2">
        <v>2025</v>
      </c>
      <c r="B2483" s="2">
        <v>12</v>
      </c>
      <c r="D2483" s="2" t="s">
        <v>1597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9"/>
        <v>0.6</v>
      </c>
      <c r="Z2483" s="2" t="s">
        <v>118</v>
      </c>
      <c r="AA2483" s="2" t="s">
        <v>191</v>
      </c>
      <c r="AF2483" s="2">
        <f t="shared" si="276"/>
        <v>0</v>
      </c>
      <c r="AJ2483" s="2">
        <f t="shared" si="277"/>
        <v>0</v>
      </c>
      <c r="AK2483" s="2">
        <f t="shared" si="278"/>
        <v>110.39999999999999</v>
      </c>
      <c r="AL2483" s="5">
        <f t="shared" ref="AL2483:AL2513" si="280">(T2483-W2483)/T2483</f>
        <v>0.6</v>
      </c>
    </row>
    <row r="2484" spans="1:38" x14ac:dyDescent="0.2">
      <c r="A2484" s="2">
        <v>2025</v>
      </c>
      <c r="B2484" s="2">
        <v>12</v>
      </c>
      <c r="D2484" s="2" t="s">
        <v>1597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9"/>
        <v>0.5</v>
      </c>
      <c r="Z2484" s="2" t="s">
        <v>118</v>
      </c>
      <c r="AA2484" s="2" t="s">
        <v>191</v>
      </c>
      <c r="AF2484" s="2">
        <f t="shared" si="276"/>
        <v>0</v>
      </c>
      <c r="AJ2484" s="2">
        <f t="shared" si="277"/>
        <v>0</v>
      </c>
      <c r="AK2484" s="2">
        <f t="shared" si="278"/>
        <v>31.25</v>
      </c>
      <c r="AL2484" s="5">
        <f t="shared" si="280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958</v>
      </c>
      <c r="R2485" s="2" t="s">
        <v>959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9"/>
        <v>0.34856696878147031</v>
      </c>
      <c r="Z2485" s="2" t="s">
        <v>105</v>
      </c>
      <c r="AA2485" s="2" t="s">
        <v>617</v>
      </c>
      <c r="AB2485" s="2" t="s">
        <v>960</v>
      </c>
      <c r="AC2485" s="2" t="s">
        <v>115</v>
      </c>
      <c r="AF2485" s="2">
        <f t="shared" si="276"/>
        <v>0</v>
      </c>
      <c r="AG2485" s="2">
        <v>6468.73</v>
      </c>
      <c r="AJ2485" s="2">
        <f t="shared" si="277"/>
        <v>0</v>
      </c>
      <c r="AK2485" s="2">
        <f t="shared" si="278"/>
        <v>3461.2700000000004</v>
      </c>
      <c r="AL2485" s="5">
        <f t="shared" si="280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1">(T2486-W2486)/T2486</f>
        <v>0.46583136256139712</v>
      </c>
      <c r="Z2486" s="2" t="s">
        <v>3237</v>
      </c>
      <c r="AA2486" s="2" t="s">
        <v>76</v>
      </c>
      <c r="AB2486" s="2" t="s">
        <v>77</v>
      </c>
      <c r="AC2486" s="2" t="s">
        <v>78</v>
      </c>
      <c r="AF2486" s="2">
        <f t="shared" si="276"/>
        <v>0</v>
      </c>
      <c r="AG2486" s="2">
        <v>117.453</v>
      </c>
      <c r="AH2486" s="2">
        <v>220</v>
      </c>
      <c r="AJ2486" s="2">
        <f t="shared" si="277"/>
        <v>0</v>
      </c>
      <c r="AK2486" s="2">
        <f t="shared" si="278"/>
        <v>102.42699999999999</v>
      </c>
      <c r="AL2486" s="5">
        <f t="shared" si="280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1349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1"/>
        <v>0.54161899313501138</v>
      </c>
      <c r="Z2487" s="2" t="s">
        <v>3237</v>
      </c>
      <c r="AA2487" s="2" t="s">
        <v>76</v>
      </c>
      <c r="AB2487" s="2" t="s">
        <v>77</v>
      </c>
      <c r="AC2487" s="2" t="s">
        <v>78</v>
      </c>
      <c r="AF2487" s="2">
        <f t="shared" si="276"/>
        <v>0</v>
      </c>
      <c r="AJ2487" s="2">
        <f t="shared" si="277"/>
        <v>0</v>
      </c>
      <c r="AK2487" s="2">
        <f t="shared" si="278"/>
        <v>113.60999999999999</v>
      </c>
      <c r="AL2487" s="5">
        <f t="shared" si="280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6"/>
        <v>0</v>
      </c>
      <c r="AJ2488" s="2">
        <f t="shared" si="277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1"/>
        <v>0</v>
      </c>
      <c r="Z2489" s="2" t="s">
        <v>3237</v>
      </c>
      <c r="AA2489" s="2" t="s">
        <v>97</v>
      </c>
      <c r="AB2489" s="2" t="s">
        <v>77</v>
      </c>
      <c r="AC2489" s="2" t="s">
        <v>94</v>
      </c>
      <c r="AF2489" s="2">
        <f t="shared" si="276"/>
        <v>0</v>
      </c>
      <c r="AJ2489" s="2">
        <f t="shared" si="277"/>
        <v>0</v>
      </c>
      <c r="AK2489" s="2">
        <f t="shared" si="278"/>
        <v>0</v>
      </c>
      <c r="AL2489" s="5">
        <f t="shared" si="280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2164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1"/>
        <v>1</v>
      </c>
      <c r="AF2490" s="2">
        <f t="shared" si="276"/>
        <v>0</v>
      </c>
      <c r="AJ2490" s="2">
        <f t="shared" si="277"/>
        <v>0</v>
      </c>
      <c r="AK2490" s="2">
        <f t="shared" si="278"/>
        <v>488.82</v>
      </c>
      <c r="AL2490" s="5">
        <f t="shared" si="280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2164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1"/>
        <v>0.60000000000000009</v>
      </c>
      <c r="Z2491" s="2" t="s">
        <v>118</v>
      </c>
      <c r="AA2491" s="2" t="s">
        <v>191</v>
      </c>
      <c r="AF2491" s="2">
        <f t="shared" si="276"/>
        <v>0</v>
      </c>
      <c r="AJ2491" s="2">
        <f t="shared" si="277"/>
        <v>0</v>
      </c>
      <c r="AK2491" s="2">
        <f t="shared" si="278"/>
        <v>80.400000000000006</v>
      </c>
      <c r="AL2491" s="5">
        <f t="shared" si="280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2164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1"/>
        <v>0.5</v>
      </c>
      <c r="Z2492" s="2" t="s">
        <v>118</v>
      </c>
      <c r="AA2492" s="2" t="s">
        <v>191</v>
      </c>
      <c r="AF2492" s="2">
        <f t="shared" si="276"/>
        <v>0</v>
      </c>
      <c r="AJ2492" s="2">
        <f t="shared" si="277"/>
        <v>0</v>
      </c>
      <c r="AK2492" s="2">
        <f t="shared" si="278"/>
        <v>25</v>
      </c>
      <c r="AL2492" s="5">
        <f t="shared" si="280"/>
        <v>0.5</v>
      </c>
    </row>
    <row r="2493" spans="1:38" x14ac:dyDescent="0.2">
      <c r="A2493" s="2">
        <v>2025</v>
      </c>
      <c r="B2493" s="2">
        <v>12</v>
      </c>
      <c r="D2493" s="2" t="s">
        <v>1422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2419</v>
      </c>
      <c r="J2493" s="2" t="s">
        <v>2420</v>
      </c>
      <c r="L2493" s="2" t="s">
        <v>202</v>
      </c>
      <c r="M2493" s="2" t="s">
        <v>81</v>
      </c>
      <c r="P2493" s="2" t="s">
        <v>1041</v>
      </c>
      <c r="Q2493" s="2" t="s">
        <v>1926</v>
      </c>
      <c r="R2493" s="2" t="s">
        <v>1927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3237</v>
      </c>
      <c r="AA2493" s="2" t="s">
        <v>1044</v>
      </c>
      <c r="AB2493" s="2" t="s">
        <v>1322</v>
      </c>
      <c r="AC2493" s="2" t="s">
        <v>1041</v>
      </c>
      <c r="AF2493" s="2">
        <f t="shared" si="276"/>
        <v>0</v>
      </c>
      <c r="AJ2493" s="2">
        <f t="shared" si="27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1422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2419</v>
      </c>
      <c r="J2494" s="2" t="s">
        <v>2420</v>
      </c>
      <c r="L2494" s="2" t="s">
        <v>202</v>
      </c>
      <c r="M2494" s="2" t="s">
        <v>81</v>
      </c>
      <c r="P2494" s="2" t="s">
        <v>1041</v>
      </c>
      <c r="Q2494" s="2" t="s">
        <v>2165</v>
      </c>
      <c r="R2494" s="2" t="s">
        <v>2166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1"/>
        <v>0.32891798811641382</v>
      </c>
      <c r="Z2494" s="2" t="s">
        <v>3237</v>
      </c>
      <c r="AA2494" s="2" t="s">
        <v>1044</v>
      </c>
      <c r="AB2494" s="2" t="s">
        <v>1322</v>
      </c>
      <c r="AC2494" s="2" t="s">
        <v>1041</v>
      </c>
      <c r="AF2494" s="2">
        <f t="shared" si="276"/>
        <v>0</v>
      </c>
      <c r="AJ2494" s="2">
        <f t="shared" si="277"/>
        <v>0</v>
      </c>
      <c r="AK2494" s="2">
        <f t="shared" si="278"/>
        <v>173.82000000000005</v>
      </c>
      <c r="AL2494" s="5">
        <f t="shared" si="280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1217</v>
      </c>
      <c r="R2495" s="2" t="s">
        <v>1218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1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6"/>
        <v>0</v>
      </c>
      <c r="AJ2495" s="2">
        <f t="shared" si="277"/>
        <v>0</v>
      </c>
      <c r="AK2495" s="2">
        <f t="shared" si="278"/>
        <v>25.8736</v>
      </c>
      <c r="AL2495" s="5">
        <f t="shared" si="280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1573</v>
      </c>
      <c r="R2496" s="2" t="s">
        <v>1574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1"/>
        <v>1</v>
      </c>
      <c r="AF2496" s="2">
        <f t="shared" si="276"/>
        <v>0</v>
      </c>
      <c r="AJ2496" s="2">
        <f t="shared" si="277"/>
        <v>0</v>
      </c>
      <c r="AK2496" s="2">
        <f t="shared" si="278"/>
        <v>845.25</v>
      </c>
      <c r="AL2496" s="5">
        <f t="shared" si="280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2167</v>
      </c>
      <c r="R2497" s="2" t="s">
        <v>2168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1"/>
        <v>1</v>
      </c>
      <c r="AF2497" s="2">
        <f t="shared" si="276"/>
        <v>0</v>
      </c>
      <c r="AJ2497" s="2">
        <f t="shared" si="277"/>
        <v>0</v>
      </c>
      <c r="AK2497" s="2">
        <f t="shared" si="278"/>
        <v>886.2</v>
      </c>
      <c r="AL2497" s="5">
        <f t="shared" si="280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1"/>
        <v>1</v>
      </c>
      <c r="AF2498" s="2">
        <f t="shared" si="276"/>
        <v>0</v>
      </c>
      <c r="AJ2498" s="2">
        <f t="shared" si="277"/>
        <v>0</v>
      </c>
      <c r="AK2498" s="2">
        <f t="shared" si="278"/>
        <v>631.04999999999995</v>
      </c>
      <c r="AL2498" s="5">
        <f t="shared" si="280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1041</v>
      </c>
      <c r="Q2499" s="2" t="s">
        <v>2169</v>
      </c>
      <c r="R2499" s="2" t="s">
        <v>2170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1"/>
        <v>0.1286958262436193</v>
      </c>
      <c r="Z2499" s="2" t="s">
        <v>3237</v>
      </c>
      <c r="AA2499" s="2" t="s">
        <v>1044</v>
      </c>
      <c r="AB2499" s="2" t="s">
        <v>1322</v>
      </c>
      <c r="AC2499" s="2" t="s">
        <v>1041</v>
      </c>
      <c r="AF2499" s="2">
        <f t="shared" ref="AF2499:AF2562" si="282">AJ2499</f>
        <v>0</v>
      </c>
      <c r="AJ2499" s="2">
        <f t="shared" ref="AJ2499:AJ2562" si="283">AI2499*T2499</f>
        <v>0</v>
      </c>
      <c r="AK2499" s="2">
        <f t="shared" ref="AK2499:AK2562" si="284">T2499-W2499</f>
        <v>64.29000000000002</v>
      </c>
      <c r="AL2499" s="5">
        <f t="shared" si="280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1041</v>
      </c>
      <c r="Q2500" s="2" t="s">
        <v>1930</v>
      </c>
      <c r="R2500" s="2" t="s">
        <v>1931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1"/>
        <v>0.17286652078774617</v>
      </c>
      <c r="Z2500" s="2" t="s">
        <v>3237</v>
      </c>
      <c r="AA2500" s="2" t="s">
        <v>1044</v>
      </c>
      <c r="AB2500" s="2" t="s">
        <v>1274</v>
      </c>
      <c r="AC2500" s="2" t="s">
        <v>1041</v>
      </c>
      <c r="AF2500" s="2">
        <f t="shared" si="282"/>
        <v>0</v>
      </c>
      <c r="AJ2500" s="2">
        <f t="shared" si="283"/>
        <v>0</v>
      </c>
      <c r="AK2500" s="2">
        <f t="shared" si="284"/>
        <v>160.37</v>
      </c>
      <c r="AL2500" s="5">
        <f t="shared" si="280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1041</v>
      </c>
      <c r="Q2501" s="2" t="s">
        <v>2171</v>
      </c>
      <c r="R2501" s="2" t="s">
        <v>2172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1"/>
        <v>0.18477888241343851</v>
      </c>
      <c r="Z2501" s="2" t="s">
        <v>3237</v>
      </c>
      <c r="AA2501" s="2" t="s">
        <v>1044</v>
      </c>
      <c r="AB2501" s="2" t="s">
        <v>1274</v>
      </c>
      <c r="AC2501" s="2" t="s">
        <v>1041</v>
      </c>
      <c r="AF2501" s="2">
        <f t="shared" si="282"/>
        <v>0</v>
      </c>
      <c r="AJ2501" s="2">
        <f t="shared" si="283"/>
        <v>0</v>
      </c>
      <c r="AK2501" s="2">
        <f t="shared" si="284"/>
        <v>161.70000000000005</v>
      </c>
      <c r="AL2501" s="5">
        <f t="shared" si="280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1041</v>
      </c>
      <c r="Q2502" s="2" t="s">
        <v>1934</v>
      </c>
      <c r="R2502" s="2" t="s">
        <v>1935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1"/>
        <v>0.12937552506300756</v>
      </c>
      <c r="Z2502" s="2" t="s">
        <v>3237</v>
      </c>
      <c r="AA2502" s="2" t="s">
        <v>1044</v>
      </c>
      <c r="AB2502" s="2" t="s">
        <v>1322</v>
      </c>
      <c r="AC2502" s="2" t="s">
        <v>1041</v>
      </c>
      <c r="AF2502" s="2">
        <f t="shared" si="282"/>
        <v>0</v>
      </c>
      <c r="AJ2502" s="2">
        <f t="shared" si="283"/>
        <v>0</v>
      </c>
      <c r="AK2502" s="2">
        <f t="shared" si="284"/>
        <v>64.680000000000007</v>
      </c>
      <c r="AL2502" s="5">
        <f t="shared" si="280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3398</v>
      </c>
      <c r="Q2503" s="2" t="s">
        <v>2173</v>
      </c>
      <c r="R2503" s="2" t="s">
        <v>2174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1"/>
        <v>0</v>
      </c>
      <c r="Z2503" s="2" t="s">
        <v>3237</v>
      </c>
      <c r="AA2503" s="2" t="s">
        <v>2175</v>
      </c>
      <c r="AB2503" s="2" t="s">
        <v>2176</v>
      </c>
      <c r="AC2503" s="2" t="s">
        <v>3398</v>
      </c>
      <c r="AF2503" s="2">
        <f t="shared" si="282"/>
        <v>0</v>
      </c>
      <c r="AJ2503" s="2">
        <f t="shared" si="283"/>
        <v>0</v>
      </c>
      <c r="AK2503" s="2">
        <f t="shared" si="284"/>
        <v>0</v>
      </c>
      <c r="AL2503" s="5">
        <f t="shared" si="280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3408</v>
      </c>
      <c r="Q2504" s="2" t="s">
        <v>2177</v>
      </c>
      <c r="R2504" s="2" t="s">
        <v>2178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1"/>
        <v>1.5926190345433139E-3</v>
      </c>
      <c r="Z2504" s="2" t="s">
        <v>3237</v>
      </c>
      <c r="AA2504" s="2" t="s">
        <v>2175</v>
      </c>
      <c r="AB2504" s="2" t="s">
        <v>2039</v>
      </c>
      <c r="AC2504" s="2" t="s">
        <v>3408</v>
      </c>
      <c r="AF2504" s="2">
        <f t="shared" si="282"/>
        <v>0</v>
      </c>
      <c r="AJ2504" s="2">
        <f t="shared" si="283"/>
        <v>0</v>
      </c>
      <c r="AK2504" s="2">
        <f t="shared" si="284"/>
        <v>0.28999999999999204</v>
      </c>
      <c r="AL2504" s="5">
        <f t="shared" si="280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3408</v>
      </c>
      <c r="Q2505" s="2" t="s">
        <v>2179</v>
      </c>
      <c r="R2505" s="2" t="s">
        <v>2180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1"/>
        <v>1.5926190345433139E-3</v>
      </c>
      <c r="Z2505" s="2" t="s">
        <v>3237</v>
      </c>
      <c r="AA2505" s="2" t="s">
        <v>2175</v>
      </c>
      <c r="AB2505" s="2" t="s">
        <v>2039</v>
      </c>
      <c r="AC2505" s="2" t="s">
        <v>3408</v>
      </c>
      <c r="AF2505" s="2">
        <f t="shared" si="282"/>
        <v>0</v>
      </c>
      <c r="AJ2505" s="2">
        <f t="shared" si="283"/>
        <v>0</v>
      </c>
      <c r="AK2505" s="2">
        <f t="shared" si="284"/>
        <v>0.28999999999999204</v>
      </c>
      <c r="AL2505" s="5">
        <f t="shared" si="280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1"/>
        <v>1</v>
      </c>
      <c r="Z2506" s="2" t="s">
        <v>170</v>
      </c>
      <c r="AA2506" s="2" t="s">
        <v>170</v>
      </c>
      <c r="AF2506" s="2">
        <f t="shared" si="282"/>
        <v>0</v>
      </c>
      <c r="AJ2506" s="2">
        <f t="shared" si="283"/>
        <v>0</v>
      </c>
      <c r="AK2506" s="2">
        <f t="shared" si="284"/>
        <v>115</v>
      </c>
      <c r="AL2506" s="5">
        <f t="shared" si="280"/>
        <v>1</v>
      </c>
    </row>
    <row r="2507" spans="1:38" x14ac:dyDescent="0.2">
      <c r="A2507" s="2">
        <v>2025</v>
      </c>
      <c r="B2507" s="2">
        <v>12</v>
      </c>
      <c r="D2507" s="2" t="s">
        <v>2181</v>
      </c>
      <c r="P2507" s="2" t="s">
        <v>115</v>
      </c>
      <c r="Q2507" s="2" t="s">
        <v>2182</v>
      </c>
      <c r="R2507" s="2" t="s">
        <v>2183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1"/>
        <v>1</v>
      </c>
      <c r="AF2507" s="2">
        <f t="shared" si="282"/>
        <v>0</v>
      </c>
      <c r="AJ2507" s="2">
        <f t="shared" si="283"/>
        <v>0</v>
      </c>
      <c r="AK2507" s="2">
        <f t="shared" si="284"/>
        <v>10.78</v>
      </c>
      <c r="AL2507" s="5">
        <f t="shared" si="280"/>
        <v>1</v>
      </c>
    </row>
    <row r="2508" spans="1:38" x14ac:dyDescent="0.2">
      <c r="A2508" s="2">
        <v>2025</v>
      </c>
      <c r="B2508" s="2">
        <v>12</v>
      </c>
      <c r="D2508" s="2" t="s">
        <v>2181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1"/>
        <v>0.6</v>
      </c>
      <c r="Z2508" s="2" t="s">
        <v>118</v>
      </c>
      <c r="AA2508" s="2" t="s">
        <v>191</v>
      </c>
      <c r="AF2508" s="2">
        <f t="shared" si="282"/>
        <v>0</v>
      </c>
      <c r="AJ2508" s="2">
        <f t="shared" si="283"/>
        <v>0</v>
      </c>
      <c r="AK2508" s="2">
        <f t="shared" si="284"/>
        <v>43.8</v>
      </c>
      <c r="AL2508" s="5">
        <f t="shared" si="280"/>
        <v>0.6</v>
      </c>
    </row>
    <row r="2509" spans="1:38" x14ac:dyDescent="0.2">
      <c r="A2509" s="2">
        <v>2025</v>
      </c>
      <c r="B2509" s="2">
        <v>12</v>
      </c>
      <c r="D2509" s="2" t="s">
        <v>2181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1"/>
        <v>0.5</v>
      </c>
      <c r="Z2509" s="2" t="s">
        <v>118</v>
      </c>
      <c r="AA2509" s="2" t="s">
        <v>191</v>
      </c>
      <c r="AF2509" s="2">
        <f t="shared" si="282"/>
        <v>0</v>
      </c>
      <c r="AJ2509" s="2">
        <f t="shared" si="283"/>
        <v>0</v>
      </c>
      <c r="AK2509" s="2">
        <f t="shared" si="284"/>
        <v>25</v>
      </c>
      <c r="AL2509" s="5">
        <f t="shared" si="280"/>
        <v>0.5</v>
      </c>
    </row>
    <row r="2510" spans="1:38" x14ac:dyDescent="0.2">
      <c r="A2510" s="2">
        <v>2025</v>
      </c>
      <c r="B2510" s="2">
        <v>12</v>
      </c>
      <c r="D2510" s="2" t="s">
        <v>2181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1"/>
        <v>1</v>
      </c>
      <c r="Z2510" s="2" t="s">
        <v>120</v>
      </c>
      <c r="AA2510" s="2" t="s">
        <v>3392</v>
      </c>
      <c r="AF2510" s="2">
        <f t="shared" si="282"/>
        <v>0</v>
      </c>
      <c r="AJ2510" s="2">
        <f t="shared" si="283"/>
        <v>0</v>
      </c>
      <c r="AK2510" s="2">
        <f t="shared" si="284"/>
        <v>50.05</v>
      </c>
      <c r="AL2510" s="5">
        <f t="shared" si="280"/>
        <v>1</v>
      </c>
    </row>
    <row r="2511" spans="1:38" x14ac:dyDescent="0.2">
      <c r="A2511" s="2">
        <v>2025</v>
      </c>
      <c r="B2511" s="2">
        <v>12</v>
      </c>
      <c r="D2511" s="2" t="s">
        <v>1629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1630</v>
      </c>
      <c r="J2511" s="2" t="s">
        <v>1631</v>
      </c>
      <c r="L2511" s="2" t="s">
        <v>294</v>
      </c>
      <c r="M2511" s="2" t="s">
        <v>1175</v>
      </c>
      <c r="O2511" s="2" t="s">
        <v>2184</v>
      </c>
      <c r="P2511" s="2" t="s">
        <v>115</v>
      </c>
      <c r="Q2511" s="2" t="s">
        <v>2185</v>
      </c>
      <c r="R2511" s="2" t="s">
        <v>2186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1"/>
        <v>0.3247410241318423</v>
      </c>
      <c r="Z2511" s="2" t="s">
        <v>105</v>
      </c>
      <c r="AA2511" s="2" t="s">
        <v>151</v>
      </c>
      <c r="AB2511" s="2" t="s">
        <v>1115</v>
      </c>
      <c r="AC2511" s="2" t="s">
        <v>115</v>
      </c>
      <c r="AF2511" s="2">
        <f t="shared" si="282"/>
        <v>0</v>
      </c>
      <c r="AG2511" s="2">
        <f>10972.65+500</f>
        <v>11472.65</v>
      </c>
      <c r="AJ2511" s="2">
        <f t="shared" si="283"/>
        <v>0</v>
      </c>
      <c r="AK2511" s="2">
        <f t="shared" si="284"/>
        <v>5517.35</v>
      </c>
      <c r="AL2511" s="5">
        <f t="shared" si="280"/>
        <v>0.3247410241318423</v>
      </c>
    </row>
    <row r="2512" spans="1:38" x14ac:dyDescent="0.2">
      <c r="A2512" s="2">
        <v>2025</v>
      </c>
      <c r="B2512" s="2">
        <v>12</v>
      </c>
      <c r="D2512" s="2" t="s">
        <v>1950</v>
      </c>
      <c r="P2512" s="2" t="s">
        <v>115</v>
      </c>
      <c r="Q2512" s="2" t="s">
        <v>1389</v>
      </c>
      <c r="R2512" s="2" t="s">
        <v>1083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1"/>
        <v>1</v>
      </c>
      <c r="AF2512" s="2">
        <f t="shared" si="282"/>
        <v>0</v>
      </c>
      <c r="AJ2512" s="2">
        <f t="shared" si="283"/>
        <v>0</v>
      </c>
      <c r="AK2512" s="2">
        <f t="shared" si="284"/>
        <v>94.68</v>
      </c>
      <c r="AL2512" s="5">
        <f t="shared" si="280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1912</v>
      </c>
      <c r="R2513" s="2" t="s">
        <v>1913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1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2"/>
        <v>0</v>
      </c>
      <c r="AJ2513" s="2">
        <f t="shared" si="283"/>
        <v>0</v>
      </c>
      <c r="AK2513" s="2">
        <f t="shared" si="284"/>
        <v>10849.029999999999</v>
      </c>
      <c r="AL2513" s="5">
        <f t="shared" si="280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1078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5">SIGN(T2514)*((ABS(T2514)-W2514)/ABS(T2514))</f>
        <v>-0.35772946859903387</v>
      </c>
      <c r="Z2514" s="2" t="s">
        <v>3237</v>
      </c>
      <c r="AA2514" s="2" t="s">
        <v>76</v>
      </c>
      <c r="AB2514" s="2" t="s">
        <v>77</v>
      </c>
      <c r="AC2514" s="2" t="s">
        <v>78</v>
      </c>
      <c r="AF2514" s="2">
        <f t="shared" si="282"/>
        <v>0</v>
      </c>
      <c r="AG2514" s="2">
        <f>144.14+15.4</f>
        <v>159.54</v>
      </c>
      <c r="AH2514" s="2">
        <v>280</v>
      </c>
      <c r="AJ2514" s="2">
        <f t="shared" si="283"/>
        <v>0</v>
      </c>
      <c r="AK2514" s="2">
        <f t="shared" ref="AK2514:AK2515" si="286">T2514+(W2514)</f>
        <v>-88.860000000000014</v>
      </c>
      <c r="AL2514" s="18">
        <f t="shared" ref="AL2514:AL2515" si="2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5"/>
        <v>0</v>
      </c>
      <c r="Z2515" s="2" t="s">
        <v>3237</v>
      </c>
      <c r="AA2515" s="2" t="s">
        <v>97</v>
      </c>
      <c r="AB2515" s="2" t="s">
        <v>77</v>
      </c>
      <c r="AC2515" s="2" t="s">
        <v>94</v>
      </c>
      <c r="AF2515" s="2">
        <f t="shared" si="282"/>
        <v>0</v>
      </c>
      <c r="AJ2515" s="2">
        <f t="shared" si="283"/>
        <v>0</v>
      </c>
      <c r="AK2515" s="2">
        <f t="shared" si="286"/>
        <v>0</v>
      </c>
      <c r="AL2515" s="18">
        <f t="shared" si="287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1072</v>
      </c>
      <c r="R2516" s="2" t="s">
        <v>1073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8">(T2516-W2516)/T2516</f>
        <v>0.33387665198237887</v>
      </c>
      <c r="Z2516" s="2" t="s">
        <v>3237</v>
      </c>
      <c r="AA2516" s="2" t="s">
        <v>72</v>
      </c>
      <c r="AB2516" s="2" t="s">
        <v>120</v>
      </c>
      <c r="AC2516" s="2" t="s">
        <v>120</v>
      </c>
      <c r="AF2516" s="2">
        <f t="shared" si="282"/>
        <v>0</v>
      </c>
      <c r="AJ2516" s="2">
        <f t="shared" si="283"/>
        <v>0</v>
      </c>
      <c r="AK2516" s="2">
        <f t="shared" si="284"/>
        <v>6.0632000000000001</v>
      </c>
      <c r="AL2516" s="5">
        <f t="shared" ref="AL2516:AL2520" si="289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8"/>
        <v>0.49025384615384621</v>
      </c>
      <c r="Z2517" s="2" t="s">
        <v>3237</v>
      </c>
      <c r="AA2517" s="2" t="s">
        <v>46</v>
      </c>
      <c r="AB2517" s="2" t="s">
        <v>47</v>
      </c>
      <c r="AC2517" s="2" t="s">
        <v>48</v>
      </c>
      <c r="AF2517" s="2">
        <f t="shared" si="282"/>
        <v>0</v>
      </c>
      <c r="AG2517" s="2">
        <v>6.6266999999999996</v>
      </c>
      <c r="AH2517" s="2">
        <v>12</v>
      </c>
      <c r="AJ2517" s="2">
        <f t="shared" si="283"/>
        <v>0</v>
      </c>
      <c r="AK2517" s="2">
        <f t="shared" si="284"/>
        <v>12.746600000000001</v>
      </c>
      <c r="AL2517" s="5">
        <f t="shared" si="289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8"/>
        <v>0.52105128205128204</v>
      </c>
      <c r="Z2518" s="2" t="s">
        <v>3237</v>
      </c>
      <c r="AA2518" s="2" t="s">
        <v>46</v>
      </c>
      <c r="AB2518" s="2" t="s">
        <v>47</v>
      </c>
      <c r="AC2518" s="2" t="s">
        <v>48</v>
      </c>
      <c r="AF2518" s="2">
        <f t="shared" si="282"/>
        <v>0</v>
      </c>
      <c r="AG2518" s="2">
        <v>3.7357999999999998</v>
      </c>
      <c r="AH2518" s="2">
        <v>9</v>
      </c>
      <c r="AJ2518" s="2">
        <f t="shared" si="283"/>
        <v>0</v>
      </c>
      <c r="AK2518" s="2">
        <f t="shared" si="284"/>
        <v>4.0641999999999996</v>
      </c>
      <c r="AL2518" s="5">
        <f t="shared" si="289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2187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8"/>
        <v>0.6</v>
      </c>
      <c r="Z2519" s="2" t="s">
        <v>118</v>
      </c>
      <c r="AA2519" s="2" t="s">
        <v>191</v>
      </c>
      <c r="AF2519" s="2">
        <f t="shared" si="282"/>
        <v>0</v>
      </c>
      <c r="AJ2519" s="2">
        <f t="shared" si="283"/>
        <v>0</v>
      </c>
      <c r="AK2519" s="2">
        <f t="shared" si="284"/>
        <v>78.599999999999994</v>
      </c>
      <c r="AL2519" s="5">
        <f t="shared" si="289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2187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8"/>
        <v>0.5</v>
      </c>
      <c r="Z2520" s="2" t="s">
        <v>118</v>
      </c>
      <c r="AA2520" s="2" t="s">
        <v>191</v>
      </c>
      <c r="AF2520" s="2">
        <f t="shared" si="282"/>
        <v>0</v>
      </c>
      <c r="AJ2520" s="2">
        <f t="shared" si="283"/>
        <v>0</v>
      </c>
      <c r="AK2520" s="2">
        <f t="shared" si="284"/>
        <v>50</v>
      </c>
      <c r="AL2520" s="5">
        <f t="shared" si="289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2188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3237</v>
      </c>
      <c r="AA2521" s="2" t="s">
        <v>46</v>
      </c>
      <c r="AB2521" s="2" t="s">
        <v>61</v>
      </c>
      <c r="AC2521" s="2" t="s">
        <v>58</v>
      </c>
      <c r="AF2521" s="2">
        <f t="shared" si="282"/>
        <v>0</v>
      </c>
      <c r="AG2521" s="2">
        <v>9.14</v>
      </c>
      <c r="AH2521" s="2">
        <v>16</v>
      </c>
      <c r="AJ2521" s="2">
        <f t="shared" si="283"/>
        <v>0</v>
      </c>
      <c r="AK2521" s="2">
        <f t="shared" si="284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2188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3237</v>
      </c>
      <c r="AA2522" s="2" t="s">
        <v>46</v>
      </c>
      <c r="AB2522" s="2" t="s">
        <v>61</v>
      </c>
      <c r="AC2522" s="2" t="s">
        <v>58</v>
      </c>
      <c r="AF2522" s="2">
        <f t="shared" si="282"/>
        <v>0</v>
      </c>
      <c r="AG2522" s="2">
        <v>8.1999999999999993</v>
      </c>
      <c r="AH2522" s="2">
        <v>13</v>
      </c>
      <c r="AJ2522" s="2">
        <f t="shared" si="283"/>
        <v>0</v>
      </c>
      <c r="AK2522" s="2">
        <f t="shared" si="284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2188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3237</v>
      </c>
      <c r="AA2523" s="2" t="s">
        <v>46</v>
      </c>
      <c r="AB2523" s="2" t="s">
        <v>61</v>
      </c>
      <c r="AC2523" s="2" t="s">
        <v>58</v>
      </c>
      <c r="AF2523" s="2">
        <f t="shared" si="282"/>
        <v>0</v>
      </c>
      <c r="AJ2523" s="2">
        <f t="shared" si="283"/>
        <v>0</v>
      </c>
      <c r="AK2523" s="2">
        <f t="shared" si="284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2188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3237</v>
      </c>
      <c r="AA2524" s="2" t="s">
        <v>46</v>
      </c>
      <c r="AB2524" s="2" t="s">
        <v>68</v>
      </c>
      <c r="AC2524" s="2" t="s">
        <v>58</v>
      </c>
      <c r="AF2524" s="2">
        <f t="shared" si="282"/>
        <v>0</v>
      </c>
      <c r="AG2524" s="2">
        <v>15.020300000000001</v>
      </c>
      <c r="AH2524" s="2">
        <v>27.6</v>
      </c>
      <c r="AJ2524" s="2">
        <f t="shared" si="283"/>
        <v>0</v>
      </c>
      <c r="AK2524" s="2">
        <f t="shared" si="284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2188</v>
      </c>
      <c r="P2525" s="2" t="s">
        <v>167</v>
      </c>
      <c r="Q2525" s="2" t="s">
        <v>2189</v>
      </c>
      <c r="R2525" s="2" t="s">
        <v>2190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3237</v>
      </c>
      <c r="AA2525" s="2" t="s">
        <v>88</v>
      </c>
      <c r="AB2525" s="2" t="s">
        <v>120</v>
      </c>
      <c r="AC2525" s="2" t="s">
        <v>167</v>
      </c>
      <c r="AF2525" s="2">
        <f t="shared" si="282"/>
        <v>0</v>
      </c>
      <c r="AJ2525" s="2">
        <f t="shared" si="283"/>
        <v>0</v>
      </c>
      <c r="AK2525" s="2">
        <f t="shared" si="284"/>
        <v>0</v>
      </c>
      <c r="AL2525" s="5" t="e">
        <f t="shared" ref="AL2525:AL2588" si="290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2188</v>
      </c>
      <c r="P2526" s="2" t="s">
        <v>85</v>
      </c>
      <c r="Q2526" s="2" t="s">
        <v>1212</v>
      </c>
      <c r="R2526" s="2" t="s">
        <v>1213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3237</v>
      </c>
      <c r="AA2526" s="2" t="s">
        <v>88</v>
      </c>
      <c r="AB2526" s="2" t="s">
        <v>61</v>
      </c>
      <c r="AC2526" s="2" t="s">
        <v>85</v>
      </c>
      <c r="AF2526" s="2">
        <f t="shared" si="282"/>
        <v>0</v>
      </c>
      <c r="AJ2526" s="2">
        <f t="shared" si="283"/>
        <v>0</v>
      </c>
      <c r="AK2526" s="2">
        <f t="shared" si="284"/>
        <v>0</v>
      </c>
      <c r="AL2526" s="5" t="e">
        <f t="shared" si="290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2188</v>
      </c>
      <c r="P2527" s="2" t="s">
        <v>85</v>
      </c>
      <c r="Q2527" s="2" t="s">
        <v>1979</v>
      </c>
      <c r="R2527" s="2" t="s">
        <v>1980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3237</v>
      </c>
      <c r="AA2527" s="2" t="s">
        <v>88</v>
      </c>
      <c r="AB2527" s="2" t="s">
        <v>91</v>
      </c>
      <c r="AC2527" s="2" t="s">
        <v>85</v>
      </c>
      <c r="AF2527" s="2">
        <f t="shared" si="282"/>
        <v>0</v>
      </c>
      <c r="AJ2527" s="2">
        <f t="shared" si="283"/>
        <v>0</v>
      </c>
      <c r="AK2527" s="2">
        <f t="shared" si="284"/>
        <v>0</v>
      </c>
      <c r="AL2527" s="5" t="e">
        <f t="shared" si="290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1208</v>
      </c>
      <c r="R2528" s="2" t="s">
        <v>1209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1">(T2528-W2528)/T2528</f>
        <v>0.39999999999999997</v>
      </c>
      <c r="Z2528" s="2" t="s">
        <v>3237</v>
      </c>
      <c r="AA2528" s="2" t="s">
        <v>72</v>
      </c>
      <c r="AB2528" s="2" t="s">
        <v>120</v>
      </c>
      <c r="AC2528" s="2" t="s">
        <v>120</v>
      </c>
      <c r="AF2528" s="2">
        <f t="shared" si="282"/>
        <v>0</v>
      </c>
      <c r="AJ2528" s="2">
        <f t="shared" si="283"/>
        <v>0</v>
      </c>
      <c r="AK2528" s="2">
        <f t="shared" si="284"/>
        <v>9.5599999999999987</v>
      </c>
      <c r="AL2528" s="5">
        <f t="shared" si="290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1"/>
        <v>0.33750000000000002</v>
      </c>
      <c r="Z2529" s="2" t="s">
        <v>3237</v>
      </c>
      <c r="AA2529" s="2" t="s">
        <v>46</v>
      </c>
      <c r="AB2529" s="2" t="s">
        <v>57</v>
      </c>
      <c r="AC2529" s="2" t="s">
        <v>58</v>
      </c>
      <c r="AF2529" s="2">
        <f t="shared" si="282"/>
        <v>0</v>
      </c>
      <c r="AG2529" s="2">
        <v>10.6</v>
      </c>
      <c r="AH2529" s="2">
        <v>18</v>
      </c>
      <c r="AJ2529" s="2">
        <f t="shared" si="283"/>
        <v>0</v>
      </c>
      <c r="AK2529" s="2">
        <f t="shared" si="284"/>
        <v>27</v>
      </c>
      <c r="AL2529" s="5">
        <f t="shared" si="290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1"/>
        <v>0.39918799999999999</v>
      </c>
      <c r="Z2530" s="2" t="s">
        <v>3237</v>
      </c>
      <c r="AA2530" s="2" t="s">
        <v>46</v>
      </c>
      <c r="AB2530" s="2" t="s">
        <v>68</v>
      </c>
      <c r="AC2530" s="2" t="s">
        <v>58</v>
      </c>
      <c r="AF2530" s="2">
        <f t="shared" si="282"/>
        <v>0</v>
      </c>
      <c r="AG2530" s="2">
        <v>15.020300000000001</v>
      </c>
      <c r="AH2530" s="2">
        <v>27.6</v>
      </c>
      <c r="AJ2530" s="2">
        <f t="shared" si="283"/>
        <v>0</v>
      </c>
      <c r="AK2530" s="2">
        <f t="shared" si="284"/>
        <v>9.9796999999999993</v>
      </c>
      <c r="AL2530" s="5">
        <f t="shared" si="290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1"/>
        <v>1</v>
      </c>
      <c r="Z2531" s="2" t="s">
        <v>170</v>
      </c>
      <c r="AA2531" s="2" t="s">
        <v>170</v>
      </c>
      <c r="AF2531" s="2">
        <f t="shared" si="282"/>
        <v>0</v>
      </c>
      <c r="AJ2531" s="2">
        <f t="shared" si="283"/>
        <v>0</v>
      </c>
      <c r="AK2531" s="2">
        <f t="shared" si="284"/>
        <v>5</v>
      </c>
      <c r="AL2531" s="5">
        <f t="shared" si="290"/>
        <v>1</v>
      </c>
    </row>
    <row r="2532" spans="1:38" x14ac:dyDescent="0.2">
      <c r="A2532" s="2">
        <v>2025</v>
      </c>
      <c r="B2532" s="2">
        <v>12</v>
      </c>
      <c r="D2532" s="2" t="s">
        <v>2080</v>
      </c>
      <c r="P2532" s="2" t="s">
        <v>283</v>
      </c>
      <c r="Q2532" s="2" t="s">
        <v>1537</v>
      </c>
      <c r="R2532" s="2" t="s">
        <v>1538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1"/>
        <v>0.88333333333333341</v>
      </c>
      <c r="Z2532" s="2" t="s">
        <v>3237</v>
      </c>
      <c r="AA2532" s="2" t="s">
        <v>579</v>
      </c>
      <c r="AB2532" s="2" t="s">
        <v>120</v>
      </c>
      <c r="AC2532" s="2" t="s">
        <v>1331</v>
      </c>
      <c r="AF2532" s="2">
        <f t="shared" si="282"/>
        <v>0</v>
      </c>
      <c r="AJ2532" s="2">
        <f t="shared" si="283"/>
        <v>0</v>
      </c>
      <c r="AK2532" s="2">
        <f t="shared" si="284"/>
        <v>47.7</v>
      </c>
      <c r="AL2532" s="5">
        <f t="shared" si="290"/>
        <v>0.88333333333333341</v>
      </c>
    </row>
    <row r="2533" spans="1:38" x14ac:dyDescent="0.2">
      <c r="A2533" s="2">
        <v>2025</v>
      </c>
      <c r="B2533" s="2">
        <v>12</v>
      </c>
      <c r="D2533" s="2" t="s">
        <v>2080</v>
      </c>
      <c r="P2533" s="2" t="s">
        <v>283</v>
      </c>
      <c r="Q2533" s="2" t="s">
        <v>2191</v>
      </c>
      <c r="R2533" s="2" t="s">
        <v>2192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1"/>
        <v>1</v>
      </c>
      <c r="Z2533" s="2" t="s">
        <v>3237</v>
      </c>
      <c r="AA2533" s="2" t="s">
        <v>579</v>
      </c>
      <c r="AB2533" s="2" t="s">
        <v>120</v>
      </c>
      <c r="AC2533" s="2" t="s">
        <v>1331</v>
      </c>
      <c r="AF2533" s="2">
        <f t="shared" si="282"/>
        <v>0</v>
      </c>
      <c r="AJ2533" s="2">
        <f t="shared" si="283"/>
        <v>0</v>
      </c>
      <c r="AK2533" s="2">
        <f t="shared" si="284"/>
        <v>32</v>
      </c>
      <c r="AL2533" s="5">
        <f t="shared" si="290"/>
        <v>1</v>
      </c>
    </row>
    <row r="2534" spans="1:38" x14ac:dyDescent="0.2">
      <c r="A2534" s="2">
        <v>2025</v>
      </c>
      <c r="B2534" s="2">
        <v>12</v>
      </c>
      <c r="D2534" s="2" t="s">
        <v>1299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1300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1"/>
        <v>0.41705716963448919</v>
      </c>
      <c r="Z2534" s="2" t="s">
        <v>3237</v>
      </c>
      <c r="AA2534" s="2" t="s">
        <v>76</v>
      </c>
      <c r="AB2534" s="2" t="s">
        <v>77</v>
      </c>
      <c r="AC2534" s="2" t="s">
        <v>78</v>
      </c>
      <c r="AF2534" s="2">
        <f t="shared" si="282"/>
        <v>0</v>
      </c>
      <c r="AG2534" s="2">
        <v>124.4</v>
      </c>
      <c r="AH2534" s="2">
        <v>200</v>
      </c>
      <c r="AJ2534" s="2">
        <f t="shared" si="283"/>
        <v>0</v>
      </c>
      <c r="AK2534" s="2">
        <f t="shared" si="284"/>
        <v>89</v>
      </c>
      <c r="AL2534" s="5">
        <f t="shared" si="290"/>
        <v>0.41705716963448919</v>
      </c>
    </row>
    <row r="2535" spans="1:38" x14ac:dyDescent="0.2">
      <c r="A2535" s="2">
        <v>2025</v>
      </c>
      <c r="B2535" s="2">
        <v>12</v>
      </c>
      <c r="D2535" s="2" t="s">
        <v>1299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1300</v>
      </c>
      <c r="L2535" s="2" t="s">
        <v>340</v>
      </c>
      <c r="P2535" s="2" t="s">
        <v>1041</v>
      </c>
      <c r="Q2535" s="2" t="s">
        <v>1961</v>
      </c>
      <c r="R2535" s="2" t="s">
        <v>1962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1"/>
        <v>0.43582474226804124</v>
      </c>
      <c r="Z2535" s="2" t="s">
        <v>3237</v>
      </c>
      <c r="AA2535" s="2" t="s">
        <v>76</v>
      </c>
      <c r="AB2535" s="2" t="s">
        <v>77</v>
      </c>
      <c r="AC2535" s="2" t="s">
        <v>1041</v>
      </c>
      <c r="AF2535" s="2">
        <f t="shared" si="282"/>
        <v>0</v>
      </c>
      <c r="AJ2535" s="2">
        <f t="shared" si="283"/>
        <v>0</v>
      </c>
      <c r="AK2535" s="2">
        <f t="shared" si="284"/>
        <v>93.00500000000001</v>
      </c>
      <c r="AL2535" s="5">
        <f t="shared" si="290"/>
        <v>0.43582474226804124</v>
      </c>
    </row>
    <row r="2536" spans="1:38" x14ac:dyDescent="0.2">
      <c r="A2536" s="2">
        <v>2025</v>
      </c>
      <c r="B2536" s="2">
        <v>12</v>
      </c>
      <c r="D2536" s="2" t="s">
        <v>1299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1300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1"/>
        <v>0.23333333333333334</v>
      </c>
      <c r="Z2536" s="2" t="s">
        <v>170</v>
      </c>
      <c r="AA2536" s="2" t="s">
        <v>170</v>
      </c>
      <c r="AF2536" s="2">
        <f t="shared" si="282"/>
        <v>0</v>
      </c>
      <c r="AJ2536" s="2">
        <f t="shared" si="283"/>
        <v>0</v>
      </c>
      <c r="AK2536" s="2">
        <f t="shared" si="284"/>
        <v>7</v>
      </c>
      <c r="AL2536" s="5">
        <f t="shared" si="290"/>
        <v>0.23333333333333334</v>
      </c>
    </row>
    <row r="2537" spans="1:38" x14ac:dyDescent="0.2">
      <c r="A2537" s="2">
        <v>2025</v>
      </c>
      <c r="B2537" s="2">
        <v>12</v>
      </c>
      <c r="D2537" s="2" t="s">
        <v>1299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1300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1"/>
        <v>0</v>
      </c>
      <c r="Z2537" s="2" t="s">
        <v>3237</v>
      </c>
      <c r="AA2537" s="2" t="s">
        <v>97</v>
      </c>
      <c r="AB2537" s="2" t="s">
        <v>77</v>
      </c>
      <c r="AC2537" s="2" t="s">
        <v>94</v>
      </c>
      <c r="AF2537" s="2">
        <f t="shared" si="282"/>
        <v>0</v>
      </c>
      <c r="AJ2537" s="2">
        <f t="shared" si="283"/>
        <v>0</v>
      </c>
      <c r="AK2537" s="2">
        <f t="shared" si="284"/>
        <v>0</v>
      </c>
      <c r="AL2537" s="5">
        <f t="shared" si="290"/>
        <v>0</v>
      </c>
    </row>
    <row r="2538" spans="1:38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1367</v>
      </c>
      <c r="R2538" s="2" t="s">
        <v>1368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1"/>
        <v>0.6542553191489362</v>
      </c>
      <c r="Z2538" s="2" t="s">
        <v>3237</v>
      </c>
      <c r="AA2538" s="2" t="s">
        <v>46</v>
      </c>
      <c r="AB2538" s="2" t="s">
        <v>47</v>
      </c>
      <c r="AC2538" s="2" t="s">
        <v>48</v>
      </c>
      <c r="AF2538" s="2">
        <f t="shared" si="282"/>
        <v>0</v>
      </c>
      <c r="AJ2538" s="2">
        <f t="shared" si="283"/>
        <v>0</v>
      </c>
      <c r="AK2538" s="2">
        <f t="shared" si="284"/>
        <v>18.45</v>
      </c>
      <c r="AL2538" s="5">
        <f t="shared" si="290"/>
        <v>0.6542553191489362</v>
      </c>
    </row>
    <row r="2539" spans="1:38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1"/>
        <v>0.24285714285714285</v>
      </c>
      <c r="Z2539" s="2" t="s">
        <v>3237</v>
      </c>
      <c r="AA2539" s="2" t="s">
        <v>46</v>
      </c>
      <c r="AB2539" s="2" t="s">
        <v>57</v>
      </c>
      <c r="AC2539" s="2" t="s">
        <v>58</v>
      </c>
      <c r="AF2539" s="2">
        <f t="shared" si="282"/>
        <v>0</v>
      </c>
      <c r="AG2539" s="2">
        <v>10.6</v>
      </c>
      <c r="AH2539" s="2">
        <v>18</v>
      </c>
      <c r="AJ2539" s="2">
        <f t="shared" si="283"/>
        <v>0</v>
      </c>
      <c r="AK2539" s="2">
        <f t="shared" si="284"/>
        <v>34</v>
      </c>
      <c r="AL2539" s="5">
        <f t="shared" si="290"/>
        <v>0.24285714285714285</v>
      </c>
    </row>
    <row r="2540" spans="1:38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1"/>
        <v>0.29692307692307696</v>
      </c>
      <c r="Z2540" s="2" t="s">
        <v>3237</v>
      </c>
      <c r="AA2540" s="2" t="s">
        <v>46</v>
      </c>
      <c r="AB2540" s="2" t="s">
        <v>61</v>
      </c>
      <c r="AC2540" s="2" t="s">
        <v>58</v>
      </c>
      <c r="AF2540" s="2">
        <f t="shared" si="282"/>
        <v>0</v>
      </c>
      <c r="AG2540" s="2">
        <v>9.14</v>
      </c>
      <c r="AH2540" s="2">
        <v>16</v>
      </c>
      <c r="AJ2540" s="2">
        <f t="shared" si="283"/>
        <v>0</v>
      </c>
      <c r="AK2540" s="2">
        <f t="shared" si="284"/>
        <v>11.580000000000002</v>
      </c>
      <c r="AL2540" s="5">
        <f t="shared" si="290"/>
        <v>0.29692307692307696</v>
      </c>
    </row>
    <row r="2541" spans="1:38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1"/>
        <v>0.3692307692307692</v>
      </c>
      <c r="Z2541" s="2" t="s">
        <v>3237</v>
      </c>
      <c r="AA2541" s="2" t="s">
        <v>46</v>
      </c>
      <c r="AB2541" s="2" t="s">
        <v>61</v>
      </c>
      <c r="AC2541" s="2" t="s">
        <v>58</v>
      </c>
      <c r="AF2541" s="2">
        <f t="shared" si="282"/>
        <v>0</v>
      </c>
      <c r="AG2541" s="2">
        <v>8.1999999999999993</v>
      </c>
      <c r="AH2541" s="2">
        <v>13</v>
      </c>
      <c r="AJ2541" s="2">
        <f t="shared" si="283"/>
        <v>0</v>
      </c>
      <c r="AK2541" s="2">
        <f t="shared" si="284"/>
        <v>14.399999999999999</v>
      </c>
      <c r="AL2541" s="5">
        <f t="shared" si="290"/>
        <v>0.3692307692307692</v>
      </c>
    </row>
    <row r="2542" spans="1:38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1887</v>
      </c>
      <c r="R2542" s="2" t="s">
        <v>1888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1"/>
        <v>1</v>
      </c>
      <c r="AF2542" s="2">
        <f t="shared" si="282"/>
        <v>0</v>
      </c>
      <c r="AJ2542" s="2">
        <f t="shared" si="283"/>
        <v>0</v>
      </c>
      <c r="AK2542" s="2">
        <f t="shared" si="284"/>
        <v>975.21</v>
      </c>
      <c r="AL2542" s="5">
        <f t="shared" si="290"/>
        <v>1</v>
      </c>
    </row>
    <row r="2543" spans="1:38" x14ac:dyDescent="0.2">
      <c r="A2543" s="2">
        <v>2025</v>
      </c>
      <c r="B2543" s="2">
        <v>12</v>
      </c>
      <c r="D2543" s="2" t="s">
        <v>1658</v>
      </c>
      <c r="E2543" s="2" t="s">
        <v>38</v>
      </c>
      <c r="F2543" s="2" t="s">
        <v>39</v>
      </c>
      <c r="H2543" s="2" t="s">
        <v>41</v>
      </c>
      <c r="I2543" s="2" t="s">
        <v>1659</v>
      </c>
      <c r="J2543" s="2" t="s">
        <v>1660</v>
      </c>
      <c r="L2543" s="2" t="s">
        <v>113</v>
      </c>
      <c r="M2543" s="2" t="s">
        <v>40</v>
      </c>
      <c r="O2543" s="2" t="s">
        <v>2193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1"/>
        <v>0.60000000000000009</v>
      </c>
      <c r="Z2543" s="2" t="s">
        <v>118</v>
      </c>
      <c r="AA2543" s="2" t="s">
        <v>191</v>
      </c>
      <c r="AF2543" s="2">
        <f t="shared" si="282"/>
        <v>0</v>
      </c>
      <c r="AJ2543" s="2">
        <f t="shared" si="283"/>
        <v>0</v>
      </c>
      <c r="AK2543" s="2">
        <f t="shared" si="284"/>
        <v>80.400000000000006</v>
      </c>
      <c r="AL2543" s="5">
        <f t="shared" si="290"/>
        <v>0.60000000000000009</v>
      </c>
    </row>
    <row r="2544" spans="1:38" x14ac:dyDescent="0.2">
      <c r="A2544" s="2">
        <v>2025</v>
      </c>
      <c r="B2544" s="2">
        <v>12</v>
      </c>
      <c r="D2544" s="2" t="s">
        <v>1658</v>
      </c>
      <c r="E2544" s="2" t="s">
        <v>38</v>
      </c>
      <c r="F2544" s="2" t="s">
        <v>39</v>
      </c>
      <c r="H2544" s="2" t="s">
        <v>41</v>
      </c>
      <c r="I2544" s="2" t="s">
        <v>1659</v>
      </c>
      <c r="J2544" s="2" t="s">
        <v>1660</v>
      </c>
      <c r="L2544" s="2" t="s">
        <v>113</v>
      </c>
      <c r="M2544" s="2" t="s">
        <v>40</v>
      </c>
      <c r="O2544" s="2" t="s">
        <v>2193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1"/>
        <v>0.5</v>
      </c>
      <c r="Z2544" s="2" t="s">
        <v>118</v>
      </c>
      <c r="AA2544" s="2" t="s">
        <v>191</v>
      </c>
      <c r="AF2544" s="2">
        <f t="shared" si="282"/>
        <v>0</v>
      </c>
      <c r="AJ2544" s="2">
        <f t="shared" si="283"/>
        <v>0</v>
      </c>
      <c r="AK2544" s="2">
        <f t="shared" si="284"/>
        <v>50</v>
      </c>
      <c r="AL2544" s="5">
        <f t="shared" si="290"/>
        <v>0.5</v>
      </c>
    </row>
    <row r="2545" spans="1:38" x14ac:dyDescent="0.2">
      <c r="A2545" s="2">
        <v>2025</v>
      </c>
      <c r="B2545" s="2">
        <v>12</v>
      </c>
      <c r="D2545" s="2" t="s">
        <v>1658</v>
      </c>
      <c r="E2545" s="2" t="s">
        <v>38</v>
      </c>
      <c r="F2545" s="2" t="s">
        <v>39</v>
      </c>
      <c r="H2545" s="2" t="s">
        <v>41</v>
      </c>
      <c r="I2545" s="2" t="s">
        <v>1659</v>
      </c>
      <c r="J2545" s="2" t="s">
        <v>1660</v>
      </c>
      <c r="L2545" s="2" t="s">
        <v>113</v>
      </c>
      <c r="M2545" s="2" t="s">
        <v>40</v>
      </c>
      <c r="O2545" s="2" t="s">
        <v>2193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1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2"/>
        <v>0</v>
      </c>
      <c r="AJ2545" s="2">
        <f t="shared" si="283"/>
        <v>0</v>
      </c>
      <c r="AK2545" s="2">
        <f t="shared" si="284"/>
        <v>1165.2</v>
      </c>
      <c r="AL2545" s="5">
        <f t="shared" si="290"/>
        <v>1</v>
      </c>
    </row>
    <row r="2546" spans="1:38" x14ac:dyDescent="0.2">
      <c r="A2546" s="2">
        <v>2025</v>
      </c>
      <c r="B2546" s="2">
        <v>12</v>
      </c>
      <c r="D2546" s="2" t="s">
        <v>2194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1"/>
        <v>0.6</v>
      </c>
      <c r="Z2546" s="2" t="s">
        <v>118</v>
      </c>
      <c r="AA2546" s="2" t="s">
        <v>191</v>
      </c>
      <c r="AF2546" s="2">
        <f t="shared" si="282"/>
        <v>0</v>
      </c>
      <c r="AJ2546" s="2">
        <f t="shared" si="283"/>
        <v>0</v>
      </c>
      <c r="AK2546" s="2">
        <f t="shared" si="284"/>
        <v>30</v>
      </c>
      <c r="AL2546" s="5">
        <f t="shared" si="290"/>
        <v>0.6</v>
      </c>
    </row>
    <row r="2547" spans="1:38" x14ac:dyDescent="0.2">
      <c r="A2547" s="2">
        <v>2025</v>
      </c>
      <c r="B2547" s="2">
        <v>12</v>
      </c>
      <c r="D2547" s="2" t="s">
        <v>2194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1"/>
        <v>0.5</v>
      </c>
      <c r="Z2547" s="2" t="s">
        <v>118</v>
      </c>
      <c r="AA2547" s="2" t="s">
        <v>191</v>
      </c>
      <c r="AF2547" s="2">
        <f t="shared" si="282"/>
        <v>0</v>
      </c>
      <c r="AJ2547" s="2">
        <f t="shared" si="283"/>
        <v>0</v>
      </c>
      <c r="AK2547" s="2">
        <f t="shared" si="284"/>
        <v>50</v>
      </c>
      <c r="AL2547" s="5">
        <f t="shared" si="290"/>
        <v>0.5</v>
      </c>
    </row>
    <row r="2548" spans="1:38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2195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1"/>
        <v>1</v>
      </c>
      <c r="Z2548" s="2" t="s">
        <v>120</v>
      </c>
      <c r="AA2548" s="2" t="s">
        <v>3392</v>
      </c>
      <c r="AF2548" s="2">
        <f t="shared" si="282"/>
        <v>0</v>
      </c>
      <c r="AJ2548" s="2">
        <f t="shared" si="283"/>
        <v>0</v>
      </c>
      <c r="AK2548" s="2">
        <f t="shared" si="284"/>
        <v>166.25</v>
      </c>
      <c r="AL2548" s="5">
        <f t="shared" si="290"/>
        <v>1</v>
      </c>
    </row>
    <row r="2549" spans="1:38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1440</v>
      </c>
      <c r="R2549" s="2" t="s">
        <v>1441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1"/>
        <v>0.35000000000000009</v>
      </c>
      <c r="Z2549" s="2" t="s">
        <v>3237</v>
      </c>
      <c r="AA2549" s="2" t="s">
        <v>72</v>
      </c>
      <c r="AB2549" s="2" t="s">
        <v>120</v>
      </c>
      <c r="AC2549" s="2" t="s">
        <v>120</v>
      </c>
      <c r="AF2549" s="2">
        <f t="shared" si="282"/>
        <v>0</v>
      </c>
      <c r="AJ2549" s="2">
        <f t="shared" si="283"/>
        <v>0</v>
      </c>
      <c r="AK2549" s="2">
        <f t="shared" si="284"/>
        <v>27.650000000000006</v>
      </c>
      <c r="AL2549" s="5">
        <f t="shared" si="290"/>
        <v>0.35000000000000009</v>
      </c>
    </row>
    <row r="2550" spans="1:38" x14ac:dyDescent="0.2">
      <c r="A2550" s="2">
        <v>2025</v>
      </c>
      <c r="B2550" s="2">
        <v>12</v>
      </c>
      <c r="D2550" s="2" t="s">
        <v>2196</v>
      </c>
      <c r="P2550" s="2" t="s">
        <v>115</v>
      </c>
      <c r="Q2550" s="2" t="s">
        <v>2197</v>
      </c>
      <c r="R2550" s="2" t="s">
        <v>2198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1"/>
        <v>#DIV/0!</v>
      </c>
      <c r="AF2550" s="2">
        <f t="shared" si="282"/>
        <v>0</v>
      </c>
      <c r="AJ2550" s="2">
        <f t="shared" si="283"/>
        <v>0</v>
      </c>
      <c r="AK2550" s="2">
        <f t="shared" si="284"/>
        <v>0</v>
      </c>
      <c r="AL2550" s="5" t="e">
        <f t="shared" si="290"/>
        <v>#DIV/0!</v>
      </c>
    </row>
    <row r="2551" spans="1:38" x14ac:dyDescent="0.2">
      <c r="A2551" s="2">
        <v>2025</v>
      </c>
      <c r="B2551" s="2">
        <v>12</v>
      </c>
      <c r="D2551" s="2" t="s">
        <v>2196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1"/>
        <v>1</v>
      </c>
      <c r="Z2551" s="2" t="s">
        <v>105</v>
      </c>
      <c r="AF2551" s="2">
        <f t="shared" si="282"/>
        <v>0</v>
      </c>
      <c r="AJ2551" s="2">
        <f t="shared" si="283"/>
        <v>0</v>
      </c>
      <c r="AK2551" s="2">
        <f t="shared" si="284"/>
        <v>14990</v>
      </c>
      <c r="AL2551" s="5">
        <f t="shared" si="290"/>
        <v>1</v>
      </c>
    </row>
    <row r="2552" spans="1:38" x14ac:dyDescent="0.2">
      <c r="A2552" s="2">
        <v>2025</v>
      </c>
      <c r="B2552" s="2">
        <v>12</v>
      </c>
      <c r="D2552" s="2" t="s">
        <v>2196</v>
      </c>
      <c r="P2552" s="2" t="s">
        <v>3241</v>
      </c>
      <c r="Q2552" s="2" t="s">
        <v>1890</v>
      </c>
      <c r="R2552" s="2" t="s">
        <v>1891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1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3241</v>
      </c>
      <c r="AF2552" s="2">
        <f t="shared" si="282"/>
        <v>0</v>
      </c>
      <c r="AJ2552" s="2">
        <f t="shared" si="283"/>
        <v>0</v>
      </c>
      <c r="AK2552" s="2">
        <f t="shared" si="284"/>
        <v>1447.2773</v>
      </c>
      <c r="AL2552" s="5">
        <f t="shared" si="290"/>
        <v>0.59436439425051335</v>
      </c>
    </row>
    <row r="2553" spans="1:38" x14ac:dyDescent="0.2">
      <c r="A2553" s="2">
        <v>2025</v>
      </c>
      <c r="B2553" s="2">
        <v>12</v>
      </c>
      <c r="D2553" s="2" t="s">
        <v>2199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1"/>
        <v>0.5243888888888889</v>
      </c>
      <c r="Z2553" s="2" t="s">
        <v>3237</v>
      </c>
      <c r="AA2553" s="2" t="s">
        <v>46</v>
      </c>
      <c r="AB2553" s="2" t="s">
        <v>61</v>
      </c>
      <c r="AC2553" s="2" t="s">
        <v>58</v>
      </c>
      <c r="AF2553" s="2">
        <f t="shared" si="282"/>
        <v>0</v>
      </c>
      <c r="AG2553" s="2">
        <v>0.85609999999999997</v>
      </c>
      <c r="AH2553" s="2">
        <v>1.8</v>
      </c>
      <c r="AJ2553" s="2">
        <f t="shared" si="283"/>
        <v>0</v>
      </c>
      <c r="AK2553" s="2">
        <f t="shared" si="284"/>
        <v>18.878</v>
      </c>
      <c r="AL2553" s="5">
        <f t="shared" si="290"/>
        <v>0.5243888888888889</v>
      </c>
    </row>
    <row r="2554" spans="1:38" x14ac:dyDescent="0.2">
      <c r="A2554" s="2">
        <v>2025</v>
      </c>
      <c r="B2554" s="2">
        <v>12</v>
      </c>
      <c r="D2554" s="2" t="s">
        <v>2199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1"/>
        <v>1</v>
      </c>
      <c r="Z2554" s="2" t="s">
        <v>170</v>
      </c>
      <c r="AA2554" s="2" t="s">
        <v>170</v>
      </c>
      <c r="AF2554" s="2">
        <f t="shared" si="282"/>
        <v>0</v>
      </c>
      <c r="AJ2554" s="2">
        <f t="shared" si="283"/>
        <v>0</v>
      </c>
      <c r="AK2554" s="2">
        <f t="shared" si="284"/>
        <v>8</v>
      </c>
      <c r="AL2554" s="5">
        <f t="shared" si="290"/>
        <v>1</v>
      </c>
    </row>
    <row r="2555" spans="1:38" x14ac:dyDescent="0.2">
      <c r="A2555" s="2">
        <v>2025</v>
      </c>
      <c r="B2555" s="2">
        <v>12</v>
      </c>
      <c r="D2555" s="2" t="s">
        <v>1316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1317</v>
      </c>
      <c r="L2555" s="2" t="s">
        <v>178</v>
      </c>
      <c r="M2555" s="2" t="s">
        <v>40</v>
      </c>
      <c r="O2555" s="2" t="s">
        <v>2200</v>
      </c>
      <c r="P2555" s="2" t="s">
        <v>115</v>
      </c>
      <c r="Q2555" s="2" t="s">
        <v>2201</v>
      </c>
      <c r="R2555" s="2" t="s">
        <v>2202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1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2"/>
        <v>0</v>
      </c>
      <c r="AG2555" s="2">
        <v>7.2733999999999996</v>
      </c>
      <c r="AJ2555" s="2">
        <f t="shared" si="283"/>
        <v>0</v>
      </c>
      <c r="AK2555" s="2">
        <f t="shared" si="284"/>
        <v>8.6066000000000003</v>
      </c>
      <c r="AL2555" s="5">
        <f t="shared" si="290"/>
        <v>0.54197732997481107</v>
      </c>
    </row>
    <row r="2556" spans="1:38" x14ac:dyDescent="0.2">
      <c r="A2556" s="2">
        <v>2025</v>
      </c>
      <c r="B2556" s="2">
        <v>12</v>
      </c>
      <c r="D2556" s="2" t="s">
        <v>1316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1317</v>
      </c>
      <c r="L2556" s="2" t="s">
        <v>178</v>
      </c>
      <c r="M2556" s="2" t="s">
        <v>41</v>
      </c>
      <c r="O2556" s="2" t="s">
        <v>2200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1"/>
        <v>0.41111111111111115</v>
      </c>
      <c r="Z2556" s="2" t="s">
        <v>3237</v>
      </c>
      <c r="AA2556" s="2" t="s">
        <v>46</v>
      </c>
      <c r="AB2556" s="2" t="s">
        <v>57</v>
      </c>
      <c r="AC2556" s="2" t="s">
        <v>58</v>
      </c>
      <c r="AF2556" s="2">
        <f t="shared" si="282"/>
        <v>0</v>
      </c>
      <c r="AG2556" s="2">
        <v>10.6</v>
      </c>
      <c r="AH2556" s="2">
        <v>18</v>
      </c>
      <c r="AJ2556" s="2">
        <f t="shared" si="283"/>
        <v>0</v>
      </c>
      <c r="AK2556" s="2">
        <f t="shared" si="284"/>
        <v>14.8</v>
      </c>
      <c r="AL2556" s="5">
        <f t="shared" si="290"/>
        <v>0.41111111111111115</v>
      </c>
    </row>
    <row r="2557" spans="1:38" x14ac:dyDescent="0.2">
      <c r="A2557" s="2">
        <v>2025</v>
      </c>
      <c r="B2557" s="2">
        <v>12</v>
      </c>
      <c r="D2557" s="2" t="s">
        <v>1316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1317</v>
      </c>
      <c r="L2557" s="2" t="s">
        <v>178</v>
      </c>
      <c r="M2557" s="2" t="s">
        <v>41</v>
      </c>
      <c r="O2557" s="2" t="s">
        <v>2203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1"/>
        <v>0.58173666666666668</v>
      </c>
      <c r="Z2557" s="2" t="s">
        <v>3237</v>
      </c>
      <c r="AA2557" s="2" t="s">
        <v>46</v>
      </c>
      <c r="AB2557" s="2" t="s">
        <v>91</v>
      </c>
      <c r="AC2557" s="2" t="s">
        <v>58</v>
      </c>
      <c r="AF2557" s="2">
        <f t="shared" si="282"/>
        <v>0</v>
      </c>
      <c r="AG2557" s="2">
        <v>25.79</v>
      </c>
      <c r="AJ2557" s="2">
        <f t="shared" si="283"/>
        <v>0</v>
      </c>
      <c r="AK2557" s="2">
        <f t="shared" si="284"/>
        <v>34.904200000000003</v>
      </c>
      <c r="AL2557" s="5">
        <f t="shared" si="290"/>
        <v>0.58173666666666668</v>
      </c>
    </row>
    <row r="2558" spans="1:38" x14ac:dyDescent="0.2">
      <c r="A2558" s="2">
        <v>2025</v>
      </c>
      <c r="B2558" s="2">
        <v>12</v>
      </c>
      <c r="D2558" s="2" t="s">
        <v>1316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1317</v>
      </c>
      <c r="L2558" s="2" t="s">
        <v>178</v>
      </c>
      <c r="M2558" s="2" t="s">
        <v>41</v>
      </c>
      <c r="O2558" s="2" t="s">
        <v>2203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1"/>
        <v>0.34714285714285725</v>
      </c>
      <c r="Z2558" s="2" t="s">
        <v>3237</v>
      </c>
      <c r="AA2558" s="2" t="s">
        <v>46</v>
      </c>
      <c r="AB2558" s="2" t="s">
        <v>61</v>
      </c>
      <c r="AC2558" s="2" t="s">
        <v>58</v>
      </c>
      <c r="AF2558" s="2">
        <f t="shared" si="282"/>
        <v>0</v>
      </c>
      <c r="AG2558" s="2">
        <v>9.14</v>
      </c>
      <c r="AH2558" s="2">
        <v>16</v>
      </c>
      <c r="AJ2558" s="2">
        <f t="shared" si="283"/>
        <v>0</v>
      </c>
      <c r="AK2558" s="2">
        <f t="shared" si="284"/>
        <v>4.8600000000000012</v>
      </c>
      <c r="AL2558" s="5">
        <f t="shared" si="290"/>
        <v>0.34714285714285725</v>
      </c>
    </row>
    <row r="2559" spans="1:38" x14ac:dyDescent="0.2">
      <c r="A2559" s="2">
        <v>2025</v>
      </c>
      <c r="B2559" s="2">
        <v>12</v>
      </c>
      <c r="D2559" s="2" t="s">
        <v>1316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1317</v>
      </c>
      <c r="L2559" s="2" t="s">
        <v>178</v>
      </c>
      <c r="M2559" s="2" t="s">
        <v>41</v>
      </c>
      <c r="O2559" s="2" t="s">
        <v>2203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1"/>
        <v>0.36923076923076914</v>
      </c>
      <c r="Z2559" s="2" t="s">
        <v>3237</v>
      </c>
      <c r="AA2559" s="2" t="s">
        <v>46</v>
      </c>
      <c r="AB2559" s="2" t="s">
        <v>61</v>
      </c>
      <c r="AC2559" s="2" t="s">
        <v>58</v>
      </c>
      <c r="AF2559" s="2">
        <f t="shared" si="282"/>
        <v>0</v>
      </c>
      <c r="AG2559" s="2">
        <v>8.1999999999999993</v>
      </c>
      <c r="AH2559" s="2">
        <v>13</v>
      </c>
      <c r="AJ2559" s="2">
        <f t="shared" si="283"/>
        <v>0</v>
      </c>
      <c r="AK2559" s="2">
        <f t="shared" si="284"/>
        <v>9.5999999999999979</v>
      </c>
      <c r="AL2559" s="5">
        <f t="shared" si="290"/>
        <v>0.36923076923076914</v>
      </c>
    </row>
    <row r="2560" spans="1:38" x14ac:dyDescent="0.2">
      <c r="A2560" s="2">
        <v>2025</v>
      </c>
      <c r="B2560" s="2">
        <v>12</v>
      </c>
      <c r="D2560" s="2" t="s">
        <v>1316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1317</v>
      </c>
      <c r="L2560" s="2" t="s">
        <v>178</v>
      </c>
      <c r="M2560" s="2" t="s">
        <v>41</v>
      </c>
      <c r="O2560" s="2" t="s">
        <v>2203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1"/>
        <v>0.34714285714285725</v>
      </c>
      <c r="Z2560" s="2" t="s">
        <v>3237</v>
      </c>
      <c r="AA2560" s="2" t="s">
        <v>46</v>
      </c>
      <c r="AB2560" s="2" t="s">
        <v>61</v>
      </c>
      <c r="AC2560" s="2" t="s">
        <v>58</v>
      </c>
      <c r="AF2560" s="2">
        <f t="shared" si="282"/>
        <v>0</v>
      </c>
      <c r="AJ2560" s="2">
        <f t="shared" si="283"/>
        <v>0</v>
      </c>
      <c r="AK2560" s="2">
        <f t="shared" si="284"/>
        <v>4.8600000000000012</v>
      </c>
      <c r="AL2560" s="5">
        <f t="shared" si="290"/>
        <v>0.34714285714285725</v>
      </c>
    </row>
    <row r="2561" spans="1:38" x14ac:dyDescent="0.2">
      <c r="A2561" s="2">
        <v>2025</v>
      </c>
      <c r="B2561" s="2">
        <v>12</v>
      </c>
      <c r="D2561" s="2" t="s">
        <v>1316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1317</v>
      </c>
      <c r="L2561" s="2" t="s">
        <v>178</v>
      </c>
      <c r="M2561" s="2" t="s">
        <v>41</v>
      </c>
      <c r="O2561" s="2" t="s">
        <v>2200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1"/>
        <v>0.34571428571428564</v>
      </c>
      <c r="Z2561" s="2" t="s">
        <v>3237</v>
      </c>
      <c r="AA2561" s="2" t="s">
        <v>46</v>
      </c>
      <c r="AB2561" s="2" t="s">
        <v>61</v>
      </c>
      <c r="AC2561" s="2" t="s">
        <v>58</v>
      </c>
      <c r="AF2561" s="2">
        <f t="shared" si="282"/>
        <v>0</v>
      </c>
      <c r="AG2561" s="2">
        <v>1.8320000000000001</v>
      </c>
      <c r="AH2561" s="2">
        <v>2.4</v>
      </c>
      <c r="AJ2561" s="2">
        <f t="shared" si="283"/>
        <v>0</v>
      </c>
      <c r="AK2561" s="2">
        <f t="shared" si="284"/>
        <v>3.871999999999999</v>
      </c>
      <c r="AL2561" s="5">
        <f t="shared" si="290"/>
        <v>0.34571428571428564</v>
      </c>
    </row>
    <row r="2562" spans="1:38" x14ac:dyDescent="0.2">
      <c r="A2562" s="2">
        <v>2025</v>
      </c>
      <c r="B2562" s="2">
        <v>12</v>
      </c>
      <c r="D2562" s="2" t="s">
        <v>2204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1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2"/>
        <v>0</v>
      </c>
      <c r="AJ2562" s="2">
        <f t="shared" si="283"/>
        <v>0</v>
      </c>
      <c r="AK2562" s="2">
        <f t="shared" si="284"/>
        <v>254.19659999999999</v>
      </c>
      <c r="AL2562" s="5">
        <f t="shared" si="290"/>
        <v>0.42408508508508508</v>
      </c>
    </row>
    <row r="2563" spans="1:38" x14ac:dyDescent="0.2">
      <c r="A2563" s="2">
        <v>2025</v>
      </c>
      <c r="B2563" s="2">
        <v>12</v>
      </c>
      <c r="D2563" s="2" t="s">
        <v>2204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1"/>
        <v>0.6</v>
      </c>
      <c r="Z2563" s="2" t="s">
        <v>118</v>
      </c>
      <c r="AA2563" s="2" t="s">
        <v>191</v>
      </c>
      <c r="AF2563" s="2">
        <f t="shared" ref="AF2563:AF2626" si="292">AJ2563</f>
        <v>0</v>
      </c>
      <c r="AJ2563" s="2">
        <f t="shared" ref="AJ2563:AJ2626" si="293">AI2563*T2563</f>
        <v>0</v>
      </c>
      <c r="AK2563" s="2">
        <f t="shared" ref="AK2563:AK2626" si="294">T2563-W2563</f>
        <v>156.6</v>
      </c>
      <c r="AL2563" s="5">
        <f t="shared" si="290"/>
        <v>0.6</v>
      </c>
    </row>
    <row r="2564" spans="1:38" x14ac:dyDescent="0.2">
      <c r="A2564" s="2">
        <v>2025</v>
      </c>
      <c r="B2564" s="2">
        <v>12</v>
      </c>
      <c r="D2564" s="2" t="s">
        <v>2204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1"/>
        <v>0.5</v>
      </c>
      <c r="Z2564" s="2" t="s">
        <v>118</v>
      </c>
      <c r="AA2564" s="2" t="s">
        <v>191</v>
      </c>
      <c r="AF2564" s="2">
        <f t="shared" si="292"/>
        <v>0</v>
      </c>
      <c r="AJ2564" s="2">
        <f t="shared" si="293"/>
        <v>0</v>
      </c>
      <c r="AK2564" s="2">
        <f t="shared" si="294"/>
        <v>75</v>
      </c>
      <c r="AL2564" s="5">
        <f t="shared" si="290"/>
        <v>0.5</v>
      </c>
    </row>
    <row r="2565" spans="1:38" x14ac:dyDescent="0.2">
      <c r="A2565" s="2">
        <v>2025</v>
      </c>
      <c r="B2565" s="2">
        <v>12</v>
      </c>
      <c r="D2565" s="2" t="s">
        <v>2090</v>
      </c>
      <c r="P2565" s="2" t="s">
        <v>1041</v>
      </c>
      <c r="Q2565" s="2" t="s">
        <v>2205</v>
      </c>
      <c r="R2565" s="2" t="s">
        <v>2206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1"/>
        <v>0.41023076923076923</v>
      </c>
      <c r="Z2565" s="2" t="s">
        <v>3237</v>
      </c>
      <c r="AA2565" s="2" t="s">
        <v>76</v>
      </c>
      <c r="AB2565" s="2" t="s">
        <v>77</v>
      </c>
      <c r="AC2565" s="2" t="s">
        <v>1041</v>
      </c>
      <c r="AF2565" s="2">
        <f t="shared" si="292"/>
        <v>0</v>
      </c>
      <c r="AJ2565" s="2">
        <f t="shared" si="293"/>
        <v>0</v>
      </c>
      <c r="AK2565" s="2">
        <f t="shared" si="294"/>
        <v>106.66</v>
      </c>
      <c r="AL2565" s="5">
        <f t="shared" si="290"/>
        <v>0.41023076923076923</v>
      </c>
    </row>
    <row r="2566" spans="1:38" x14ac:dyDescent="0.2">
      <c r="A2566" s="2">
        <v>2025</v>
      </c>
      <c r="B2566" s="2">
        <v>12</v>
      </c>
      <c r="D2566" s="2" t="s">
        <v>2090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1"/>
        <v>0.25</v>
      </c>
      <c r="Z2566" s="2" t="s">
        <v>170</v>
      </c>
      <c r="AA2566" s="2" t="s">
        <v>170</v>
      </c>
      <c r="AF2566" s="2">
        <f t="shared" si="292"/>
        <v>0</v>
      </c>
      <c r="AJ2566" s="2">
        <f t="shared" si="293"/>
        <v>0</v>
      </c>
      <c r="AK2566" s="2">
        <f t="shared" si="294"/>
        <v>10</v>
      </c>
      <c r="AL2566" s="5">
        <f t="shared" si="290"/>
        <v>0.25</v>
      </c>
    </row>
    <row r="2567" spans="1:38" x14ac:dyDescent="0.2">
      <c r="A2567" s="2">
        <v>2025</v>
      </c>
      <c r="B2567" s="2">
        <v>12</v>
      </c>
      <c r="D2567" s="2" t="s">
        <v>2090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1"/>
        <v>0</v>
      </c>
      <c r="Z2567" s="2" t="s">
        <v>3237</v>
      </c>
      <c r="AA2567" s="2" t="s">
        <v>97</v>
      </c>
      <c r="AB2567" s="2" t="s">
        <v>77</v>
      </c>
      <c r="AC2567" s="2" t="s">
        <v>94</v>
      </c>
      <c r="AF2567" s="2">
        <f t="shared" si="292"/>
        <v>0</v>
      </c>
      <c r="AJ2567" s="2">
        <f t="shared" si="293"/>
        <v>0</v>
      </c>
      <c r="AK2567" s="2">
        <f t="shared" si="294"/>
        <v>0</v>
      </c>
      <c r="AL2567" s="5">
        <f t="shared" si="290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1"/>
        <v>0.24285714285714285</v>
      </c>
      <c r="Z2568" s="2" t="s">
        <v>3237</v>
      </c>
      <c r="AA2568" s="2" t="s">
        <v>46</v>
      </c>
      <c r="AB2568" s="2" t="s">
        <v>57</v>
      </c>
      <c r="AC2568" s="2" t="s">
        <v>58</v>
      </c>
      <c r="AF2568" s="2">
        <f t="shared" si="292"/>
        <v>0</v>
      </c>
      <c r="AG2568" s="2">
        <v>10.6</v>
      </c>
      <c r="AH2568" s="2">
        <v>18</v>
      </c>
      <c r="AJ2568" s="2">
        <f t="shared" si="293"/>
        <v>0</v>
      </c>
      <c r="AK2568" s="2">
        <f t="shared" si="294"/>
        <v>34</v>
      </c>
      <c r="AL2568" s="5">
        <f t="shared" si="290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1"/>
        <v>0.29692307692307701</v>
      </c>
      <c r="Z2569" s="2" t="s">
        <v>3237</v>
      </c>
      <c r="AA2569" s="2" t="s">
        <v>46</v>
      </c>
      <c r="AB2569" s="2" t="s">
        <v>61</v>
      </c>
      <c r="AC2569" s="2" t="s">
        <v>58</v>
      </c>
      <c r="AF2569" s="2">
        <f t="shared" si="292"/>
        <v>0</v>
      </c>
      <c r="AG2569" s="2">
        <v>9.14</v>
      </c>
      <c r="AH2569" s="2">
        <v>16</v>
      </c>
      <c r="AJ2569" s="2">
        <f t="shared" si="293"/>
        <v>0</v>
      </c>
      <c r="AK2569" s="2">
        <f t="shared" si="294"/>
        <v>19.300000000000004</v>
      </c>
      <c r="AL2569" s="5">
        <f t="shared" si="290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1"/>
        <v>0.21904761904761905</v>
      </c>
      <c r="Z2570" s="2" t="s">
        <v>3237</v>
      </c>
      <c r="AA2570" s="2" t="s">
        <v>46</v>
      </c>
      <c r="AB2570" s="2" t="s">
        <v>61</v>
      </c>
      <c r="AC2570" s="2" t="s">
        <v>58</v>
      </c>
      <c r="AF2570" s="2">
        <f t="shared" si="292"/>
        <v>0</v>
      </c>
      <c r="AG2570" s="2">
        <v>8.1999999999999993</v>
      </c>
      <c r="AH2570" s="2">
        <v>13</v>
      </c>
      <c r="AJ2570" s="2">
        <f t="shared" si="293"/>
        <v>0</v>
      </c>
      <c r="AK2570" s="2">
        <f t="shared" si="294"/>
        <v>46</v>
      </c>
      <c r="AL2570" s="5">
        <f t="shared" si="290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1"/>
        <v>0.63812727272727277</v>
      </c>
      <c r="Z2571" s="2" t="s">
        <v>3237</v>
      </c>
      <c r="AA2571" s="2" t="s">
        <v>46</v>
      </c>
      <c r="AB2571" s="2" t="s">
        <v>68</v>
      </c>
      <c r="AC2571" s="2" t="s">
        <v>58</v>
      </c>
      <c r="AF2571" s="2">
        <f t="shared" si="292"/>
        <v>0</v>
      </c>
      <c r="AG2571" s="2">
        <v>7.9611999999999998</v>
      </c>
      <c r="AH2571" s="2">
        <v>14.4</v>
      </c>
      <c r="AJ2571" s="2">
        <f t="shared" si="293"/>
        <v>0</v>
      </c>
      <c r="AK2571" s="2">
        <f t="shared" si="294"/>
        <v>14.0388</v>
      </c>
      <c r="AL2571" s="5">
        <f t="shared" si="290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1"/>
        <v>0.31725909090909088</v>
      </c>
      <c r="Z2572" s="2" t="s">
        <v>3237</v>
      </c>
      <c r="AA2572" s="2" t="s">
        <v>46</v>
      </c>
      <c r="AB2572" s="2" t="s">
        <v>68</v>
      </c>
      <c r="AC2572" s="2" t="s">
        <v>58</v>
      </c>
      <c r="AF2572" s="2">
        <f t="shared" si="292"/>
        <v>0</v>
      </c>
      <c r="AG2572" s="2">
        <v>15.020300000000001</v>
      </c>
      <c r="AH2572" s="2">
        <v>27.6</v>
      </c>
      <c r="AJ2572" s="2">
        <f t="shared" si="293"/>
        <v>0</v>
      </c>
      <c r="AK2572" s="2">
        <f t="shared" si="294"/>
        <v>6.9796999999999993</v>
      </c>
      <c r="AL2572" s="5">
        <f t="shared" si="290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2207</v>
      </c>
      <c r="L2573" s="2" t="s">
        <v>100</v>
      </c>
      <c r="M2573" s="2" t="s">
        <v>81</v>
      </c>
      <c r="O2573" s="2" t="s">
        <v>2208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1"/>
        <v>0.47150875190258756</v>
      </c>
      <c r="Z2573" s="2" t="s">
        <v>3237</v>
      </c>
      <c r="AA2573" s="2" t="s">
        <v>76</v>
      </c>
      <c r="AB2573" s="2" t="s">
        <v>77</v>
      </c>
      <c r="AC2573" s="2" t="s">
        <v>78</v>
      </c>
      <c r="AF2573" s="2">
        <f t="shared" si="292"/>
        <v>0</v>
      </c>
      <c r="AG2573" s="2">
        <v>101.30500000000001</v>
      </c>
      <c r="AH2573" s="2">
        <v>190</v>
      </c>
      <c r="AJ2573" s="2">
        <f t="shared" si="293"/>
        <v>0</v>
      </c>
      <c r="AK2573" s="2">
        <f t="shared" si="294"/>
        <v>99.13000000000001</v>
      </c>
      <c r="AL2573" s="5">
        <f t="shared" si="290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1"/>
        <v>0.36459161147902874</v>
      </c>
      <c r="Z2574" s="2" t="s">
        <v>3237</v>
      </c>
      <c r="AA2574" s="2" t="s">
        <v>76</v>
      </c>
      <c r="AB2574" s="2" t="s">
        <v>77</v>
      </c>
      <c r="AC2574" s="2" t="s">
        <v>78</v>
      </c>
      <c r="AF2574" s="2">
        <f t="shared" si="292"/>
        <v>0</v>
      </c>
      <c r="AJ2574" s="2">
        <f t="shared" si="293"/>
        <v>0</v>
      </c>
      <c r="AK2574" s="2">
        <f t="shared" si="294"/>
        <v>82.580000000000013</v>
      </c>
      <c r="AL2574" s="5">
        <f t="shared" si="290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1"/>
        <v>0</v>
      </c>
      <c r="Z2575" s="2" t="s">
        <v>3237</v>
      </c>
      <c r="AA2575" s="2" t="s">
        <v>97</v>
      </c>
      <c r="AB2575" s="2" t="s">
        <v>77</v>
      </c>
      <c r="AC2575" s="2" t="s">
        <v>94</v>
      </c>
      <c r="AF2575" s="2">
        <f t="shared" si="292"/>
        <v>0</v>
      </c>
      <c r="AJ2575" s="2">
        <f t="shared" si="293"/>
        <v>0</v>
      </c>
      <c r="AK2575" s="2">
        <f t="shared" si="294"/>
        <v>0</v>
      </c>
      <c r="AL2575" s="5">
        <f t="shared" si="290"/>
        <v>0</v>
      </c>
    </row>
    <row r="2576" spans="1:38" x14ac:dyDescent="0.2">
      <c r="A2576" s="2">
        <v>2025</v>
      </c>
      <c r="B2576" s="2">
        <v>9</v>
      </c>
      <c r="D2576" s="2" t="s">
        <v>1866</v>
      </c>
      <c r="E2576" s="2" t="s">
        <v>109</v>
      </c>
      <c r="G2576" s="2">
        <v>515549134</v>
      </c>
      <c r="H2576" s="2" t="s">
        <v>41</v>
      </c>
      <c r="I2576" s="2" t="s">
        <v>1867</v>
      </c>
      <c r="J2576" s="2" t="s">
        <v>1868</v>
      </c>
      <c r="L2576" s="2" t="s">
        <v>178</v>
      </c>
      <c r="M2576" s="2" t="s">
        <v>41</v>
      </c>
      <c r="O2576" s="2" t="s">
        <v>2209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1"/>
        <v>0.42644927536231886</v>
      </c>
      <c r="Z2576" s="2" t="s">
        <v>3237</v>
      </c>
      <c r="AA2576" s="2" t="s">
        <v>46</v>
      </c>
      <c r="AB2576" s="2" t="s">
        <v>57</v>
      </c>
      <c r="AC2576" s="2" t="s">
        <v>58</v>
      </c>
      <c r="AF2576" s="2">
        <f t="shared" si="292"/>
        <v>0</v>
      </c>
      <c r="AG2576" s="2">
        <v>7.915</v>
      </c>
      <c r="AJ2576" s="2">
        <f t="shared" si="293"/>
        <v>0</v>
      </c>
      <c r="AK2576" s="2">
        <f t="shared" si="294"/>
        <v>5.8850000000000007</v>
      </c>
      <c r="AL2576" s="5">
        <f t="shared" si="290"/>
        <v>0.42644927536231886</v>
      </c>
    </row>
    <row r="2577" spans="1:38" x14ac:dyDescent="0.2">
      <c r="A2577" s="2">
        <v>2025</v>
      </c>
      <c r="B2577" s="2">
        <v>9</v>
      </c>
      <c r="D2577" s="2" t="s">
        <v>1866</v>
      </c>
      <c r="E2577" s="2" t="s">
        <v>109</v>
      </c>
      <c r="G2577" s="2">
        <v>515549134</v>
      </c>
      <c r="H2577" s="2" t="s">
        <v>41</v>
      </c>
      <c r="I2577" s="2" t="s">
        <v>1867</v>
      </c>
      <c r="J2577" s="2" t="s">
        <v>1868</v>
      </c>
      <c r="L2577" s="2" t="s">
        <v>178</v>
      </c>
      <c r="M2577" s="2" t="s">
        <v>41</v>
      </c>
      <c r="O2577" s="2" t="s">
        <v>2209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1"/>
        <v>0.42327586206896545</v>
      </c>
      <c r="Z2577" s="2" t="s">
        <v>3237</v>
      </c>
      <c r="AA2577" s="2" t="s">
        <v>46</v>
      </c>
      <c r="AB2577" s="2" t="s">
        <v>57</v>
      </c>
      <c r="AC2577" s="2" t="s">
        <v>58</v>
      </c>
      <c r="AF2577" s="2">
        <f t="shared" si="292"/>
        <v>0</v>
      </c>
      <c r="AG2577" s="2">
        <v>10.035</v>
      </c>
      <c r="AJ2577" s="2">
        <f t="shared" si="293"/>
        <v>0</v>
      </c>
      <c r="AK2577" s="2">
        <f t="shared" si="294"/>
        <v>7.3649999999999984</v>
      </c>
      <c r="AL2577" s="5">
        <f t="shared" si="290"/>
        <v>0.42327586206896545</v>
      </c>
    </row>
    <row r="2578" spans="1:38" x14ac:dyDescent="0.2">
      <c r="A2578" s="2">
        <v>2025</v>
      </c>
      <c r="B2578" s="2">
        <v>9</v>
      </c>
      <c r="D2578" s="2" t="s">
        <v>1866</v>
      </c>
      <c r="E2578" s="2" t="s">
        <v>109</v>
      </c>
      <c r="G2578" s="2">
        <v>515549134</v>
      </c>
      <c r="H2578" s="2" t="s">
        <v>41</v>
      </c>
      <c r="I2578" s="2" t="s">
        <v>1867</v>
      </c>
      <c r="J2578" s="2" t="s">
        <v>1868</v>
      </c>
      <c r="L2578" s="2" t="s">
        <v>178</v>
      </c>
      <c r="M2578" s="2" t="s">
        <v>41</v>
      </c>
      <c r="O2578" s="2" t="s">
        <v>2209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1"/>
        <v>0.40745714285714285</v>
      </c>
      <c r="Z2578" s="2" t="s">
        <v>3237</v>
      </c>
      <c r="AA2578" s="2" t="s">
        <v>46</v>
      </c>
      <c r="AB2578" s="2" t="s">
        <v>57</v>
      </c>
      <c r="AC2578" s="2" t="s">
        <v>58</v>
      </c>
      <c r="AF2578" s="2">
        <f t="shared" si="292"/>
        <v>0</v>
      </c>
      <c r="AG2578" s="2">
        <v>12.4434</v>
      </c>
      <c r="AJ2578" s="2">
        <f t="shared" si="293"/>
        <v>0</v>
      </c>
      <c r="AK2578" s="2">
        <f t="shared" si="294"/>
        <v>8.5565999999999995</v>
      </c>
      <c r="AL2578" s="5">
        <f t="shared" si="290"/>
        <v>0.40745714285714285</v>
      </c>
    </row>
    <row r="2579" spans="1:38" x14ac:dyDescent="0.2">
      <c r="A2579" s="2">
        <v>2025</v>
      </c>
      <c r="B2579" s="2">
        <v>9</v>
      </c>
      <c r="D2579" s="2" t="s">
        <v>1866</v>
      </c>
      <c r="E2579" s="2" t="s">
        <v>109</v>
      </c>
      <c r="G2579" s="2">
        <v>515549134</v>
      </c>
      <c r="H2579" s="2" t="s">
        <v>41</v>
      </c>
      <c r="I2579" s="2" t="s">
        <v>1867</v>
      </c>
      <c r="J2579" s="2" t="s">
        <v>1868</v>
      </c>
      <c r="L2579" s="2" t="s">
        <v>178</v>
      </c>
      <c r="M2579" s="2" t="s">
        <v>41</v>
      </c>
      <c r="O2579" s="2" t="s">
        <v>2210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1"/>
        <v>0.44000000000000006</v>
      </c>
      <c r="Z2579" s="2" t="s">
        <v>3237</v>
      </c>
      <c r="AA2579" s="2" t="s">
        <v>46</v>
      </c>
      <c r="AB2579" s="2" t="s">
        <v>57</v>
      </c>
      <c r="AC2579" s="2" t="s">
        <v>58</v>
      </c>
      <c r="AF2579" s="2">
        <f t="shared" si="292"/>
        <v>0</v>
      </c>
      <c r="AG2579" s="2">
        <v>11.087999999999999</v>
      </c>
      <c r="AJ2579" s="2">
        <f t="shared" si="293"/>
        <v>0</v>
      </c>
      <c r="AK2579" s="2">
        <f t="shared" si="294"/>
        <v>8.7120000000000015</v>
      </c>
      <c r="AL2579" s="5">
        <f t="shared" si="290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2211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1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2"/>
        <v>0</v>
      </c>
      <c r="AJ2580" s="2">
        <f t="shared" si="293"/>
        <v>0</v>
      </c>
      <c r="AK2580" s="2">
        <f t="shared" si="294"/>
        <v>3500</v>
      </c>
      <c r="AL2580" s="5">
        <f t="shared" si="290"/>
        <v>1</v>
      </c>
    </row>
    <row r="2581" spans="1:38" x14ac:dyDescent="0.2">
      <c r="A2581" s="2">
        <v>2025</v>
      </c>
      <c r="B2581" s="2">
        <v>9</v>
      </c>
      <c r="D2581" s="2" t="s">
        <v>1143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1144</v>
      </c>
      <c r="J2581" s="2" t="s">
        <v>1145</v>
      </c>
      <c r="L2581" s="2" t="s">
        <v>100</v>
      </c>
      <c r="M2581" s="2" t="s">
        <v>41</v>
      </c>
      <c r="O2581" s="2" t="s">
        <v>2212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1"/>
        <v>0.21904761904761905</v>
      </c>
      <c r="Z2581" s="2" t="s">
        <v>3237</v>
      </c>
      <c r="AA2581" s="2" t="s">
        <v>46</v>
      </c>
      <c r="AB2581" s="2" t="s">
        <v>61</v>
      </c>
      <c r="AC2581" s="2" t="s">
        <v>58</v>
      </c>
      <c r="AF2581" s="2">
        <f t="shared" si="292"/>
        <v>0</v>
      </c>
      <c r="AG2581" s="2">
        <v>8.1999999999999993</v>
      </c>
      <c r="AH2581" s="2">
        <v>13</v>
      </c>
      <c r="AJ2581" s="2">
        <f t="shared" si="293"/>
        <v>0</v>
      </c>
      <c r="AK2581" s="2">
        <f t="shared" si="294"/>
        <v>23</v>
      </c>
      <c r="AL2581" s="5">
        <f t="shared" si="290"/>
        <v>0.21904761904761905</v>
      </c>
    </row>
    <row r="2582" spans="1:38" x14ac:dyDescent="0.2">
      <c r="A2582" s="2">
        <v>2025</v>
      </c>
      <c r="B2582" s="2">
        <v>9</v>
      </c>
      <c r="D2582" s="2" t="s">
        <v>1143</v>
      </c>
      <c r="E2582" s="2" t="s">
        <v>109</v>
      </c>
      <c r="G2582" s="2">
        <v>504576658</v>
      </c>
      <c r="H2582" s="2" t="s">
        <v>41</v>
      </c>
      <c r="I2582" s="2" t="s">
        <v>1144</v>
      </c>
      <c r="J2582" s="2" t="s">
        <v>1145</v>
      </c>
      <c r="L2582" s="2" t="s">
        <v>100</v>
      </c>
      <c r="M2582" s="2" t="s">
        <v>41</v>
      </c>
      <c r="O2582" s="2" t="s">
        <v>2212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1"/>
        <v>1</v>
      </c>
      <c r="Z2582" s="2" t="s">
        <v>170</v>
      </c>
      <c r="AA2582" s="2" t="s">
        <v>170</v>
      </c>
      <c r="AF2582" s="2">
        <f t="shared" si="292"/>
        <v>0</v>
      </c>
      <c r="AJ2582" s="2">
        <f t="shared" si="293"/>
        <v>0</v>
      </c>
      <c r="AK2582" s="2">
        <f t="shared" si="294"/>
        <v>8</v>
      </c>
      <c r="AL2582" s="5">
        <f t="shared" si="290"/>
        <v>1</v>
      </c>
    </row>
    <row r="2583" spans="1:38" x14ac:dyDescent="0.2">
      <c r="A2583" s="2">
        <v>2025</v>
      </c>
      <c r="B2583" s="2">
        <v>9</v>
      </c>
      <c r="D2583" s="2" t="s">
        <v>2213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1"/>
        <v>0.6</v>
      </c>
      <c r="Z2583" s="2" t="s">
        <v>118</v>
      </c>
      <c r="AA2583" s="2" t="s">
        <v>191</v>
      </c>
      <c r="AF2583" s="2">
        <f t="shared" si="292"/>
        <v>0</v>
      </c>
      <c r="AJ2583" s="2">
        <f t="shared" si="293"/>
        <v>0</v>
      </c>
      <c r="AK2583" s="2">
        <f t="shared" si="294"/>
        <v>22.5</v>
      </c>
      <c r="AL2583" s="5">
        <f t="shared" si="290"/>
        <v>0.6</v>
      </c>
    </row>
    <row r="2584" spans="1:38" x14ac:dyDescent="0.2">
      <c r="A2584" s="2">
        <v>2025</v>
      </c>
      <c r="B2584" s="2">
        <v>9</v>
      </c>
      <c r="D2584" s="2" t="s">
        <v>2213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1"/>
        <v>0.5</v>
      </c>
      <c r="Z2584" s="2" t="s">
        <v>118</v>
      </c>
      <c r="AA2584" s="2" t="s">
        <v>191</v>
      </c>
      <c r="AF2584" s="2">
        <f t="shared" si="292"/>
        <v>0</v>
      </c>
      <c r="AJ2584" s="2">
        <f t="shared" si="293"/>
        <v>0</v>
      </c>
      <c r="AK2584" s="2">
        <f t="shared" si="294"/>
        <v>45</v>
      </c>
      <c r="AL2584" s="5">
        <f t="shared" si="290"/>
        <v>0.5</v>
      </c>
    </row>
    <row r="2585" spans="1:38" x14ac:dyDescent="0.2">
      <c r="A2585" s="2">
        <v>2025</v>
      </c>
      <c r="B2585" s="2">
        <v>9</v>
      </c>
      <c r="D2585" s="2" t="s">
        <v>2213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1"/>
        <v>1</v>
      </c>
      <c r="Z2585" s="2" t="s">
        <v>120</v>
      </c>
      <c r="AA2585" s="2" t="s">
        <v>3392</v>
      </c>
      <c r="AF2585" s="2">
        <f t="shared" si="292"/>
        <v>0</v>
      </c>
      <c r="AJ2585" s="2">
        <f t="shared" si="293"/>
        <v>0</v>
      </c>
      <c r="AK2585" s="2">
        <f t="shared" si="294"/>
        <v>255</v>
      </c>
      <c r="AL2585" s="5">
        <f t="shared" si="290"/>
        <v>1</v>
      </c>
    </row>
    <row r="2586" spans="1:38" x14ac:dyDescent="0.2">
      <c r="A2586" s="2">
        <v>2025</v>
      </c>
      <c r="B2586" s="2">
        <v>9</v>
      </c>
      <c r="D2586" s="2" t="s">
        <v>2214</v>
      </c>
      <c r="P2586" s="2" t="s">
        <v>73</v>
      </c>
      <c r="Q2586" s="2" t="s">
        <v>1078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1"/>
        <v>0.40911111111111115</v>
      </c>
      <c r="Z2586" s="2" t="s">
        <v>3237</v>
      </c>
      <c r="AA2586" s="2" t="s">
        <v>76</v>
      </c>
      <c r="AB2586" s="2" t="s">
        <v>77</v>
      </c>
      <c r="AC2586" s="2" t="s">
        <v>78</v>
      </c>
      <c r="AF2586" s="2">
        <f t="shared" si="292"/>
        <v>0</v>
      </c>
      <c r="AG2586" s="2">
        <f>144.14+15.4</f>
        <v>159.54</v>
      </c>
      <c r="AH2586" s="2">
        <v>280</v>
      </c>
      <c r="AJ2586" s="2">
        <f t="shared" si="293"/>
        <v>0</v>
      </c>
      <c r="AK2586" s="2">
        <f t="shared" si="294"/>
        <v>110.46000000000001</v>
      </c>
      <c r="AL2586" s="5">
        <f t="shared" si="290"/>
        <v>0.40911111111111115</v>
      </c>
    </row>
    <row r="2587" spans="1:38" x14ac:dyDescent="0.2">
      <c r="A2587" s="2">
        <v>2025</v>
      </c>
      <c r="B2587" s="2">
        <v>9</v>
      </c>
      <c r="D2587" s="2" t="s">
        <v>2214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1"/>
        <v>0</v>
      </c>
      <c r="Z2587" s="2" t="s">
        <v>3237</v>
      </c>
      <c r="AA2587" s="2" t="s">
        <v>97</v>
      </c>
      <c r="AB2587" s="2" t="s">
        <v>77</v>
      </c>
      <c r="AC2587" s="2" t="s">
        <v>94</v>
      </c>
      <c r="AF2587" s="2">
        <f t="shared" si="292"/>
        <v>0</v>
      </c>
      <c r="AJ2587" s="2">
        <f t="shared" si="293"/>
        <v>0</v>
      </c>
      <c r="AK2587" s="2">
        <f t="shared" si="294"/>
        <v>0</v>
      </c>
      <c r="AL2587" s="5">
        <f t="shared" si="290"/>
        <v>0</v>
      </c>
    </row>
    <row r="2588" spans="1:38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1"/>
        <v>1</v>
      </c>
      <c r="Z2588" s="2" t="s">
        <v>118</v>
      </c>
      <c r="AF2588" s="2">
        <f t="shared" si="292"/>
        <v>0</v>
      </c>
      <c r="AJ2588" s="2">
        <f t="shared" si="293"/>
        <v>0</v>
      </c>
      <c r="AK2588" s="2">
        <f t="shared" si="294"/>
        <v>28.57</v>
      </c>
      <c r="AL2588" s="5">
        <f t="shared" si="290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2215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5">(T2589-W2589)/T2589</f>
        <v>0.6</v>
      </c>
      <c r="Z2589" s="2" t="s">
        <v>118</v>
      </c>
      <c r="AA2589" s="2" t="s">
        <v>191</v>
      </c>
      <c r="AF2589" s="2">
        <f t="shared" si="292"/>
        <v>0</v>
      </c>
      <c r="AJ2589" s="2">
        <f t="shared" si="293"/>
        <v>0</v>
      </c>
      <c r="AK2589" s="2">
        <f t="shared" si="294"/>
        <v>36</v>
      </c>
      <c r="AL2589" s="5">
        <f t="shared" ref="AL2589:AL2652" si="296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2215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5"/>
        <v>0.5</v>
      </c>
      <c r="Z2590" s="2" t="s">
        <v>118</v>
      </c>
      <c r="AA2590" s="2" t="s">
        <v>191</v>
      </c>
      <c r="AF2590" s="2">
        <f t="shared" si="292"/>
        <v>0</v>
      </c>
      <c r="AJ2590" s="2">
        <f t="shared" si="293"/>
        <v>0</v>
      </c>
      <c r="AK2590" s="2">
        <f t="shared" si="294"/>
        <v>25</v>
      </c>
      <c r="AL2590" s="5">
        <f t="shared" si="296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2215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5"/>
        <v>1</v>
      </c>
      <c r="Z2591" s="2" t="s">
        <v>120</v>
      </c>
      <c r="AA2591" s="2" t="s">
        <v>3392</v>
      </c>
      <c r="AF2591" s="2">
        <f t="shared" si="292"/>
        <v>0</v>
      </c>
      <c r="AJ2591" s="2">
        <f t="shared" si="293"/>
        <v>0</v>
      </c>
      <c r="AK2591" s="2">
        <f t="shared" si="294"/>
        <v>99.75</v>
      </c>
      <c r="AL2591" s="5">
        <f t="shared" si="296"/>
        <v>1</v>
      </c>
    </row>
    <row r="2592" spans="1:38" x14ac:dyDescent="0.2">
      <c r="A2592" s="2">
        <v>2025</v>
      </c>
      <c r="B2592" s="2">
        <v>9</v>
      </c>
      <c r="D2592" s="2" t="s">
        <v>2216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5"/>
        <v>0.6</v>
      </c>
      <c r="Z2592" s="2" t="s">
        <v>118</v>
      </c>
      <c r="AA2592" s="2" t="s">
        <v>191</v>
      </c>
      <c r="AF2592" s="2">
        <f t="shared" si="292"/>
        <v>0</v>
      </c>
      <c r="AJ2592" s="2">
        <f t="shared" si="293"/>
        <v>0</v>
      </c>
      <c r="AK2592" s="2">
        <f t="shared" si="294"/>
        <v>36</v>
      </c>
      <c r="AL2592" s="5">
        <f t="shared" si="296"/>
        <v>0.6</v>
      </c>
    </row>
    <row r="2593" spans="1:38" x14ac:dyDescent="0.2">
      <c r="A2593" s="2">
        <v>2025</v>
      </c>
      <c r="B2593" s="2">
        <v>9</v>
      </c>
      <c r="D2593" s="2" t="s">
        <v>2216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5"/>
        <v>0.5</v>
      </c>
      <c r="Z2593" s="2" t="s">
        <v>118</v>
      </c>
      <c r="AA2593" s="2" t="s">
        <v>191</v>
      </c>
      <c r="AF2593" s="2">
        <f t="shared" si="292"/>
        <v>0</v>
      </c>
      <c r="AJ2593" s="2">
        <f t="shared" si="293"/>
        <v>0</v>
      </c>
      <c r="AK2593" s="2">
        <f t="shared" si="294"/>
        <v>37.5</v>
      </c>
      <c r="AL2593" s="5">
        <f t="shared" si="296"/>
        <v>0.5</v>
      </c>
    </row>
    <row r="2594" spans="1:38" x14ac:dyDescent="0.2">
      <c r="A2594" s="2">
        <v>2025</v>
      </c>
      <c r="B2594" s="2">
        <v>9</v>
      </c>
      <c r="D2594" s="2" t="s">
        <v>2216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5"/>
        <v>1</v>
      </c>
      <c r="Z2594" s="2" t="s">
        <v>120</v>
      </c>
      <c r="AA2594" s="2" t="s">
        <v>3392</v>
      </c>
      <c r="AF2594" s="2">
        <f t="shared" si="292"/>
        <v>0</v>
      </c>
      <c r="AJ2594" s="2">
        <f t="shared" si="293"/>
        <v>0</v>
      </c>
      <c r="AK2594" s="2">
        <f t="shared" si="294"/>
        <v>66.97</v>
      </c>
      <c r="AL2594" s="5">
        <f t="shared" si="296"/>
        <v>1</v>
      </c>
    </row>
    <row r="2595" spans="1:38" x14ac:dyDescent="0.2">
      <c r="A2595" s="2">
        <v>2025</v>
      </c>
      <c r="B2595" s="2">
        <v>9</v>
      </c>
      <c r="D2595" s="2" t="s">
        <v>2217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5"/>
        <v>0.4729523809523809</v>
      </c>
      <c r="Z2595" s="2" t="s">
        <v>3237</v>
      </c>
      <c r="AA2595" s="2" t="s">
        <v>76</v>
      </c>
      <c r="AB2595" s="2" t="s">
        <v>77</v>
      </c>
      <c r="AC2595" s="2" t="s">
        <v>78</v>
      </c>
      <c r="AF2595" s="2">
        <f t="shared" si="292"/>
        <v>0</v>
      </c>
      <c r="AG2595" s="2">
        <v>110.68</v>
      </c>
      <c r="AH2595" s="2">
        <v>210</v>
      </c>
      <c r="AJ2595" s="2">
        <f t="shared" si="293"/>
        <v>0</v>
      </c>
      <c r="AK2595" s="2">
        <f t="shared" si="294"/>
        <v>99.32</v>
      </c>
      <c r="AL2595" s="5">
        <f t="shared" si="296"/>
        <v>0.4729523809523809</v>
      </c>
    </row>
    <row r="2596" spans="1:38" x14ac:dyDescent="0.2">
      <c r="A2596" s="2">
        <v>2025</v>
      </c>
      <c r="B2596" s="2">
        <v>9</v>
      </c>
      <c r="D2596" s="2" t="s">
        <v>2217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5"/>
        <v>0</v>
      </c>
      <c r="Z2596" s="2" t="s">
        <v>3237</v>
      </c>
      <c r="AA2596" s="2" t="s">
        <v>97</v>
      </c>
      <c r="AB2596" s="2" t="s">
        <v>77</v>
      </c>
      <c r="AC2596" s="2" t="s">
        <v>94</v>
      </c>
      <c r="AF2596" s="2">
        <f t="shared" si="292"/>
        <v>0</v>
      </c>
      <c r="AJ2596" s="2">
        <f t="shared" si="293"/>
        <v>0</v>
      </c>
      <c r="AK2596" s="2">
        <f t="shared" si="294"/>
        <v>0</v>
      </c>
      <c r="AL2596" s="5">
        <f t="shared" si="296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2218</v>
      </c>
      <c r="P2597" s="2" t="s">
        <v>115</v>
      </c>
      <c r="Q2597" s="2" t="s">
        <v>2219</v>
      </c>
      <c r="R2597" s="2" t="s">
        <v>2220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5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2"/>
        <v>0</v>
      </c>
      <c r="AG2597" s="2">
        <v>78.570099999999996</v>
      </c>
      <c r="AJ2597" s="2">
        <f t="shared" si="293"/>
        <v>0</v>
      </c>
      <c r="AK2597" s="2">
        <f t="shared" si="294"/>
        <v>52.5899</v>
      </c>
      <c r="AL2597" s="5">
        <f t="shared" si="296"/>
        <v>0.40095989630985057</v>
      </c>
    </row>
    <row r="2598" spans="1:38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5"/>
        <v>0.5243888888888889</v>
      </c>
      <c r="Z2598" s="2" t="s">
        <v>3237</v>
      </c>
      <c r="AA2598" s="2" t="s">
        <v>46</v>
      </c>
      <c r="AB2598" s="2" t="s">
        <v>61</v>
      </c>
      <c r="AC2598" s="2" t="s">
        <v>58</v>
      </c>
      <c r="AF2598" s="2">
        <f t="shared" si="292"/>
        <v>0</v>
      </c>
      <c r="AG2598" s="2">
        <v>0.85609999999999997</v>
      </c>
      <c r="AH2598" s="2">
        <v>1.8</v>
      </c>
      <c r="AJ2598" s="2">
        <f t="shared" si="293"/>
        <v>0</v>
      </c>
      <c r="AK2598" s="2">
        <f t="shared" si="294"/>
        <v>18.878</v>
      </c>
      <c r="AL2598" s="5">
        <f t="shared" si="296"/>
        <v>0.5243888888888889</v>
      </c>
    </row>
    <row r="2599" spans="1:38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5"/>
        <v>0.62926666666666664</v>
      </c>
      <c r="Z2599" s="2" t="s">
        <v>3237</v>
      </c>
      <c r="AA2599" s="2" t="s">
        <v>46</v>
      </c>
      <c r="AB2599" s="2" t="s">
        <v>61</v>
      </c>
      <c r="AC2599" s="2" t="s">
        <v>58</v>
      </c>
      <c r="AF2599" s="2">
        <f t="shared" si="292"/>
        <v>0</v>
      </c>
      <c r="AG2599" s="2">
        <v>1.1122000000000001</v>
      </c>
      <c r="AH2599" s="2">
        <v>3</v>
      </c>
      <c r="AJ2599" s="2">
        <f t="shared" si="293"/>
        <v>0</v>
      </c>
      <c r="AK2599" s="2">
        <f t="shared" si="294"/>
        <v>18.878</v>
      </c>
      <c r="AL2599" s="5">
        <f t="shared" si="296"/>
        <v>0.62926666666666664</v>
      </c>
    </row>
    <row r="2600" spans="1:38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5"/>
        <v>1</v>
      </c>
      <c r="Z2600" s="2" t="s">
        <v>170</v>
      </c>
      <c r="AA2600" s="2" t="s">
        <v>170</v>
      </c>
      <c r="AF2600" s="2">
        <f t="shared" si="292"/>
        <v>0</v>
      </c>
      <c r="AJ2600" s="2">
        <f t="shared" si="293"/>
        <v>0</v>
      </c>
      <c r="AK2600" s="2">
        <f t="shared" si="294"/>
        <v>8</v>
      </c>
      <c r="AL2600" s="5">
        <f t="shared" si="296"/>
        <v>1</v>
      </c>
    </row>
    <row r="2601" spans="1:38" x14ac:dyDescent="0.2">
      <c r="A2601" s="2">
        <v>2025</v>
      </c>
      <c r="B2601" s="2">
        <v>9</v>
      </c>
      <c r="D2601" s="2" t="s">
        <v>2221</v>
      </c>
      <c r="P2601" s="2" t="s">
        <v>73</v>
      </c>
      <c r="Q2601" s="2" t="s">
        <v>1077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5"/>
        <v>0.45713636363636362</v>
      </c>
      <c r="Z2601" s="2" t="s">
        <v>3237</v>
      </c>
      <c r="AA2601" s="2" t="s">
        <v>76</v>
      </c>
      <c r="AB2601" s="2" t="s">
        <v>77</v>
      </c>
      <c r="AC2601" s="2" t="s">
        <v>78</v>
      </c>
      <c r="AF2601" s="2">
        <f t="shared" si="292"/>
        <v>0</v>
      </c>
      <c r="AJ2601" s="2">
        <f t="shared" si="293"/>
        <v>0</v>
      </c>
      <c r="AK2601" s="2">
        <f t="shared" si="294"/>
        <v>100.57</v>
      </c>
      <c r="AL2601" s="5">
        <f t="shared" si="296"/>
        <v>0.45713636363636362</v>
      </c>
    </row>
    <row r="2602" spans="1:38" x14ac:dyDescent="0.2">
      <c r="A2602" s="2">
        <v>2025</v>
      </c>
      <c r="B2602" s="2">
        <v>9</v>
      </c>
      <c r="D2602" s="2" t="s">
        <v>2221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5"/>
        <v>0</v>
      </c>
      <c r="Z2602" s="2" t="s">
        <v>3237</v>
      </c>
      <c r="AA2602" s="2" t="s">
        <v>97</v>
      </c>
      <c r="AB2602" s="2" t="s">
        <v>77</v>
      </c>
      <c r="AC2602" s="2" t="s">
        <v>94</v>
      </c>
      <c r="AF2602" s="2">
        <f t="shared" si="292"/>
        <v>0</v>
      </c>
      <c r="AJ2602" s="2">
        <f t="shared" si="293"/>
        <v>0</v>
      </c>
      <c r="AK2602" s="2">
        <f t="shared" si="294"/>
        <v>0</v>
      </c>
      <c r="AL2602" s="5">
        <f t="shared" si="296"/>
        <v>0</v>
      </c>
    </row>
    <row r="2603" spans="1:38" x14ac:dyDescent="0.2">
      <c r="A2603" s="2">
        <v>2025</v>
      </c>
      <c r="B2603" s="2">
        <v>9</v>
      </c>
      <c r="D2603" s="2" t="s">
        <v>1490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5"/>
        <v>1</v>
      </c>
      <c r="Z2603" s="2" t="s">
        <v>120</v>
      </c>
      <c r="AA2603" s="2" t="s">
        <v>3392</v>
      </c>
      <c r="AF2603" s="2">
        <f t="shared" si="292"/>
        <v>0</v>
      </c>
      <c r="AJ2603" s="2">
        <f t="shared" si="293"/>
        <v>0</v>
      </c>
      <c r="AK2603" s="2">
        <f t="shared" si="294"/>
        <v>99.75</v>
      </c>
      <c r="AL2603" s="5">
        <f t="shared" si="296"/>
        <v>1</v>
      </c>
    </row>
    <row r="2604" spans="1:38" x14ac:dyDescent="0.2">
      <c r="A2604" s="2">
        <v>2025</v>
      </c>
      <c r="B2604" s="2">
        <v>9</v>
      </c>
      <c r="D2604" s="2" t="s">
        <v>2222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5"/>
        <v>0.49025384615384621</v>
      </c>
      <c r="Z2604" s="2" t="s">
        <v>3237</v>
      </c>
      <c r="AA2604" s="2" t="s">
        <v>46</v>
      </c>
      <c r="AB2604" s="2" t="s">
        <v>47</v>
      </c>
      <c r="AC2604" s="2" t="s">
        <v>48</v>
      </c>
      <c r="AF2604" s="2">
        <f t="shared" si="292"/>
        <v>0</v>
      </c>
      <c r="AG2604" s="2">
        <v>6.6266999999999996</v>
      </c>
      <c r="AH2604" s="2">
        <v>12</v>
      </c>
      <c r="AJ2604" s="2">
        <f t="shared" si="293"/>
        <v>0</v>
      </c>
      <c r="AK2604" s="2">
        <f t="shared" si="294"/>
        <v>12.746600000000001</v>
      </c>
      <c r="AL2604" s="5">
        <f t="shared" si="296"/>
        <v>0.49025384615384621</v>
      </c>
    </row>
    <row r="2605" spans="1:38" x14ac:dyDescent="0.2">
      <c r="A2605" s="2">
        <v>2025</v>
      </c>
      <c r="B2605" s="2">
        <v>9</v>
      </c>
      <c r="D2605" s="2" t="s">
        <v>2222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5"/>
        <v>0.41111111111111115</v>
      </c>
      <c r="Z2605" s="2" t="s">
        <v>3237</v>
      </c>
      <c r="AA2605" s="2" t="s">
        <v>46</v>
      </c>
      <c r="AB2605" s="2" t="s">
        <v>57</v>
      </c>
      <c r="AC2605" s="2" t="s">
        <v>58</v>
      </c>
      <c r="AF2605" s="2">
        <f t="shared" si="292"/>
        <v>0</v>
      </c>
      <c r="AG2605" s="2">
        <v>10.6</v>
      </c>
      <c r="AH2605" s="2">
        <v>18</v>
      </c>
      <c r="AJ2605" s="2">
        <f t="shared" si="293"/>
        <v>0</v>
      </c>
      <c r="AK2605" s="2">
        <f t="shared" si="294"/>
        <v>14.8</v>
      </c>
      <c r="AL2605" s="5">
        <f t="shared" si="296"/>
        <v>0.41111111111111115</v>
      </c>
    </row>
    <row r="2606" spans="1:38" x14ac:dyDescent="0.2">
      <c r="A2606" s="2">
        <v>2025</v>
      </c>
      <c r="B2606" s="2">
        <v>9</v>
      </c>
      <c r="D2606" s="2" t="s">
        <v>1493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5"/>
        <v>1</v>
      </c>
      <c r="Z2606" s="2" t="s">
        <v>118</v>
      </c>
      <c r="AF2606" s="2">
        <f t="shared" si="292"/>
        <v>0</v>
      </c>
      <c r="AJ2606" s="2">
        <f t="shared" si="293"/>
        <v>0</v>
      </c>
      <c r="AK2606" s="2">
        <f t="shared" si="294"/>
        <v>131.44</v>
      </c>
      <c r="AL2606" s="5">
        <f t="shared" si="296"/>
        <v>1</v>
      </c>
    </row>
    <row r="2607" spans="1:38" x14ac:dyDescent="0.2">
      <c r="A2607" s="2">
        <v>2025</v>
      </c>
      <c r="B2607" s="2">
        <v>9</v>
      </c>
      <c r="D2607" s="2" t="s">
        <v>1494</v>
      </c>
      <c r="P2607" s="2" t="s">
        <v>115</v>
      </c>
      <c r="Q2607" s="2" t="s">
        <v>1585</v>
      </c>
      <c r="R2607" s="2" t="s">
        <v>1586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5"/>
        <v>1</v>
      </c>
      <c r="AF2607" s="2">
        <f t="shared" si="292"/>
        <v>0</v>
      </c>
      <c r="AJ2607" s="2">
        <f t="shared" si="293"/>
        <v>0</v>
      </c>
      <c r="AK2607" s="2">
        <f t="shared" si="294"/>
        <v>6680</v>
      </c>
      <c r="AL2607" s="5">
        <f t="shared" si="296"/>
        <v>1</v>
      </c>
    </row>
    <row r="2608" spans="1:38" x14ac:dyDescent="0.2">
      <c r="A2608" s="2">
        <v>2025</v>
      </c>
      <c r="B2608" s="2">
        <v>9</v>
      </c>
      <c r="D2608" s="2" t="s">
        <v>1494</v>
      </c>
      <c r="P2608" s="2" t="s">
        <v>188</v>
      </c>
      <c r="Q2608" s="2" t="s">
        <v>1312</v>
      </c>
      <c r="R2608" s="2" t="s">
        <v>1313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5"/>
        <v>#DIV/0!</v>
      </c>
      <c r="Z2608" s="2" t="s">
        <v>118</v>
      </c>
      <c r="AA2608" s="2" t="s">
        <v>1314</v>
      </c>
      <c r="AF2608" s="2">
        <f t="shared" si="292"/>
        <v>0</v>
      </c>
      <c r="AJ2608" s="2">
        <f t="shared" si="293"/>
        <v>0</v>
      </c>
      <c r="AK2608" s="2">
        <f t="shared" si="294"/>
        <v>0</v>
      </c>
      <c r="AL2608" s="5" t="e">
        <f t="shared" si="296"/>
        <v>#DIV/0!</v>
      </c>
    </row>
    <row r="2609" spans="1:38" x14ac:dyDescent="0.2">
      <c r="A2609" s="2">
        <v>2025</v>
      </c>
      <c r="B2609" s="2">
        <v>9</v>
      </c>
      <c r="D2609" s="2" t="s">
        <v>2119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5"/>
        <v>1</v>
      </c>
      <c r="Z2609" s="2" t="s">
        <v>120</v>
      </c>
      <c r="AA2609" s="2" t="s">
        <v>3392</v>
      </c>
      <c r="AF2609" s="2">
        <f t="shared" si="292"/>
        <v>0</v>
      </c>
      <c r="AJ2609" s="2">
        <f t="shared" si="293"/>
        <v>0</v>
      </c>
      <c r="AK2609" s="2">
        <f t="shared" si="294"/>
        <v>1520</v>
      </c>
      <c r="AL2609" s="5">
        <f t="shared" si="296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2223</v>
      </c>
      <c r="P2610" s="2" t="s">
        <v>115</v>
      </c>
      <c r="Q2610" s="2" t="s">
        <v>2224</v>
      </c>
      <c r="R2610" s="2" t="s">
        <v>1433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5"/>
        <v>1</v>
      </c>
      <c r="AF2610" s="2">
        <f t="shared" si="292"/>
        <v>0</v>
      </c>
      <c r="AJ2610" s="2">
        <f t="shared" si="293"/>
        <v>0</v>
      </c>
      <c r="AK2610" s="2">
        <f t="shared" si="294"/>
        <v>39.049999999999997</v>
      </c>
      <c r="AL2610" s="5">
        <f t="shared" si="296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2225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5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2"/>
        <v>0</v>
      </c>
      <c r="AJ2611" s="2">
        <f t="shared" si="293"/>
        <v>0</v>
      </c>
      <c r="AK2611" s="2">
        <f t="shared" si="294"/>
        <v>18.917999999999999</v>
      </c>
      <c r="AL2611" s="5">
        <f t="shared" si="296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2226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5"/>
        <v>1</v>
      </c>
      <c r="AF2612" s="2">
        <f t="shared" si="292"/>
        <v>0</v>
      </c>
      <c r="AJ2612" s="2">
        <f t="shared" si="293"/>
        <v>0</v>
      </c>
      <c r="AK2612" s="2">
        <f t="shared" si="294"/>
        <v>488.82</v>
      </c>
      <c r="AL2612" s="5">
        <f t="shared" si="296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2225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5"/>
        <v>0.44819791666666664</v>
      </c>
      <c r="Z2613" s="2" t="s">
        <v>3237</v>
      </c>
      <c r="AA2613" s="2" t="s">
        <v>46</v>
      </c>
      <c r="AB2613" s="2" t="s">
        <v>47</v>
      </c>
      <c r="AC2613" s="2" t="s">
        <v>48</v>
      </c>
      <c r="AF2613" s="2">
        <f t="shared" si="292"/>
        <v>0</v>
      </c>
      <c r="AG2613" s="2">
        <v>5.2972999999999999</v>
      </c>
      <c r="AH2613" s="2">
        <v>10.8</v>
      </c>
      <c r="AJ2613" s="2">
        <f t="shared" si="293"/>
        <v>0</v>
      </c>
      <c r="AK2613" s="2">
        <f t="shared" si="294"/>
        <v>8.6053999999999995</v>
      </c>
      <c r="AL2613" s="5">
        <f t="shared" si="296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2226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5"/>
        <v>0.6</v>
      </c>
      <c r="Z2614" s="2" t="s">
        <v>118</v>
      </c>
      <c r="AA2614" s="2" t="s">
        <v>191</v>
      </c>
      <c r="AF2614" s="2">
        <f t="shared" si="292"/>
        <v>0</v>
      </c>
      <c r="AJ2614" s="2">
        <f t="shared" si="293"/>
        <v>0</v>
      </c>
      <c r="AK2614" s="2">
        <f t="shared" si="294"/>
        <v>47.4</v>
      </c>
      <c r="AL2614" s="5">
        <f t="shared" si="296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2226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5"/>
        <v>0.5</v>
      </c>
      <c r="Z2615" s="2" t="s">
        <v>118</v>
      </c>
      <c r="AA2615" s="2" t="s">
        <v>191</v>
      </c>
      <c r="AF2615" s="2">
        <f t="shared" si="292"/>
        <v>0</v>
      </c>
      <c r="AJ2615" s="2">
        <f t="shared" si="293"/>
        <v>0</v>
      </c>
      <c r="AK2615" s="2">
        <f t="shared" si="294"/>
        <v>25</v>
      </c>
      <c r="AL2615" s="5">
        <f t="shared" si="296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5"/>
        <v>0.44554545454545452</v>
      </c>
      <c r="Z2616" s="2" t="s">
        <v>3237</v>
      </c>
      <c r="AA2616" s="2" t="s">
        <v>76</v>
      </c>
      <c r="AB2616" s="2" t="s">
        <v>77</v>
      </c>
      <c r="AC2616" s="2" t="s">
        <v>78</v>
      </c>
      <c r="AF2616" s="2">
        <f t="shared" si="292"/>
        <v>0</v>
      </c>
      <c r="AJ2616" s="2">
        <f t="shared" si="293"/>
        <v>0</v>
      </c>
      <c r="AK2616" s="2">
        <f t="shared" si="294"/>
        <v>98.02</v>
      </c>
      <c r="AL2616" s="5">
        <f t="shared" si="296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5"/>
        <v>0</v>
      </c>
      <c r="Z2617" s="2" t="s">
        <v>3237</v>
      </c>
      <c r="AA2617" s="2" t="s">
        <v>97</v>
      </c>
      <c r="AB2617" s="2" t="s">
        <v>77</v>
      </c>
      <c r="AC2617" s="2" t="s">
        <v>94</v>
      </c>
      <c r="AF2617" s="2">
        <f t="shared" si="292"/>
        <v>0</v>
      </c>
      <c r="AJ2617" s="2">
        <f t="shared" si="293"/>
        <v>0</v>
      </c>
      <c r="AK2617" s="2">
        <f t="shared" si="294"/>
        <v>0</v>
      </c>
      <c r="AL2617" s="5">
        <f t="shared" si="296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2227</v>
      </c>
      <c r="P2618" s="2" t="s">
        <v>43</v>
      </c>
      <c r="Q2618" s="2" t="s">
        <v>972</v>
      </c>
      <c r="R2618" s="2" t="s">
        <v>973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5"/>
        <v>1</v>
      </c>
      <c r="Z2618" s="2" t="s">
        <v>3237</v>
      </c>
      <c r="AA2618" s="2" t="s">
        <v>46</v>
      </c>
      <c r="AB2618" s="2" t="s">
        <v>61</v>
      </c>
      <c r="AC2618" s="2" t="s">
        <v>58</v>
      </c>
      <c r="AF2618" s="2">
        <f t="shared" si="292"/>
        <v>0</v>
      </c>
      <c r="AJ2618" s="2">
        <f t="shared" si="293"/>
        <v>0</v>
      </c>
      <c r="AK2618" s="2">
        <f t="shared" si="294"/>
        <v>232</v>
      </c>
      <c r="AL2618" s="5">
        <f t="shared" si="296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2227</v>
      </c>
      <c r="P2619" s="2" t="s">
        <v>43</v>
      </c>
      <c r="Q2619" s="2" t="s">
        <v>974</v>
      </c>
      <c r="R2619" s="2" t="s">
        <v>975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5"/>
        <v>1</v>
      </c>
      <c r="Z2619" s="2" t="s">
        <v>3237</v>
      </c>
      <c r="AA2619" s="2" t="s">
        <v>46</v>
      </c>
      <c r="AB2619" s="2" t="s">
        <v>61</v>
      </c>
      <c r="AC2619" s="2" t="s">
        <v>58</v>
      </c>
      <c r="AF2619" s="2">
        <f t="shared" si="292"/>
        <v>0</v>
      </c>
      <c r="AJ2619" s="2">
        <f t="shared" si="293"/>
        <v>0</v>
      </c>
      <c r="AK2619" s="2">
        <f t="shared" si="294"/>
        <v>261</v>
      </c>
      <c r="AL2619" s="5">
        <f t="shared" si="296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2228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5"/>
        <v>0.46612272727272724</v>
      </c>
      <c r="Z2620" s="2" t="s">
        <v>3237</v>
      </c>
      <c r="AA2620" s="2" t="s">
        <v>76</v>
      </c>
      <c r="AB2620" s="2" t="s">
        <v>77</v>
      </c>
      <c r="AC2620" s="2" t="s">
        <v>78</v>
      </c>
      <c r="AF2620" s="2">
        <f t="shared" si="292"/>
        <v>0</v>
      </c>
      <c r="AG2620" s="2">
        <v>117.453</v>
      </c>
      <c r="AH2620" s="2">
        <v>220</v>
      </c>
      <c r="AJ2620" s="2">
        <f t="shared" si="293"/>
        <v>0</v>
      </c>
      <c r="AK2620" s="2">
        <f t="shared" si="294"/>
        <v>205.09399999999999</v>
      </c>
      <c r="AL2620" s="5">
        <f t="shared" si="296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2228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5"/>
        <v>0</v>
      </c>
      <c r="Z2621" s="2" t="s">
        <v>3237</v>
      </c>
      <c r="AA2621" s="2" t="s">
        <v>97</v>
      </c>
      <c r="AB2621" s="2" t="s">
        <v>77</v>
      </c>
      <c r="AC2621" s="2" t="s">
        <v>94</v>
      </c>
      <c r="AF2621" s="2">
        <f t="shared" si="292"/>
        <v>0</v>
      </c>
      <c r="AJ2621" s="2">
        <f t="shared" si="293"/>
        <v>0</v>
      </c>
      <c r="AK2621" s="2">
        <f t="shared" si="294"/>
        <v>0</v>
      </c>
      <c r="AL2621" s="5">
        <f t="shared" si="296"/>
        <v>0</v>
      </c>
    </row>
    <row r="2622" spans="1:38" x14ac:dyDescent="0.2">
      <c r="A2622" s="2">
        <v>2025</v>
      </c>
      <c r="B2622" s="2">
        <v>9</v>
      </c>
      <c r="D2622" s="2" t="s">
        <v>1767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5"/>
        <v>1</v>
      </c>
      <c r="AF2622" s="2">
        <f t="shared" si="292"/>
        <v>0</v>
      </c>
      <c r="AJ2622" s="2">
        <f t="shared" si="293"/>
        <v>0</v>
      </c>
      <c r="AK2622" s="2">
        <f t="shared" si="294"/>
        <v>430</v>
      </c>
      <c r="AL2622" s="5">
        <f t="shared" si="296"/>
        <v>1</v>
      </c>
    </row>
    <row r="2623" spans="1:38" x14ac:dyDescent="0.2">
      <c r="A2623" s="2">
        <v>2025</v>
      </c>
      <c r="B2623" s="2">
        <v>9</v>
      </c>
      <c r="D2623" s="2" t="s">
        <v>2229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5"/>
        <v>1</v>
      </c>
      <c r="AF2623" s="2">
        <f t="shared" si="292"/>
        <v>0</v>
      </c>
      <c r="AJ2623" s="2">
        <f t="shared" si="293"/>
        <v>0</v>
      </c>
      <c r="AK2623" s="2">
        <f t="shared" si="294"/>
        <v>725.58</v>
      </c>
      <c r="AL2623" s="5">
        <f t="shared" si="296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2230</v>
      </c>
      <c r="R2624" s="2" t="s">
        <v>1113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5"/>
        <v>1</v>
      </c>
      <c r="AF2624" s="2">
        <f t="shared" si="292"/>
        <v>0</v>
      </c>
      <c r="AJ2624" s="2">
        <f t="shared" si="293"/>
        <v>0</v>
      </c>
      <c r="AK2624" s="2">
        <f t="shared" si="294"/>
        <v>1450</v>
      </c>
      <c r="AL2624" s="5">
        <f t="shared" si="296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5"/>
        <v>1</v>
      </c>
      <c r="Z2625" s="2" t="s">
        <v>3237</v>
      </c>
      <c r="AA2625" s="2" t="s">
        <v>46</v>
      </c>
      <c r="AB2625" s="2" t="s">
        <v>57</v>
      </c>
      <c r="AC2625" s="2" t="s">
        <v>58</v>
      </c>
      <c r="AF2625" s="2">
        <f t="shared" si="292"/>
        <v>0</v>
      </c>
      <c r="AJ2625" s="2">
        <f t="shared" si="293"/>
        <v>0</v>
      </c>
      <c r="AK2625" s="2">
        <f t="shared" si="294"/>
        <v>24</v>
      </c>
      <c r="AL2625" s="5">
        <f t="shared" si="296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5"/>
        <v>0.29692307692307701</v>
      </c>
      <c r="Z2626" s="2" t="s">
        <v>3237</v>
      </c>
      <c r="AA2626" s="2" t="s">
        <v>46</v>
      </c>
      <c r="AB2626" s="2" t="s">
        <v>61</v>
      </c>
      <c r="AC2626" s="2" t="s">
        <v>58</v>
      </c>
      <c r="AF2626" s="2">
        <f t="shared" si="292"/>
        <v>0</v>
      </c>
      <c r="AG2626" s="2">
        <v>9.14</v>
      </c>
      <c r="AH2626" s="2">
        <v>16</v>
      </c>
      <c r="AJ2626" s="2">
        <f t="shared" si="293"/>
        <v>0</v>
      </c>
      <c r="AK2626" s="2">
        <f t="shared" si="294"/>
        <v>19.300000000000004</v>
      </c>
      <c r="AL2626" s="5">
        <f t="shared" si="296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5"/>
        <v>0.31725909090909088</v>
      </c>
      <c r="Z2627" s="2" t="s">
        <v>3237</v>
      </c>
      <c r="AA2627" s="2" t="s">
        <v>46</v>
      </c>
      <c r="AB2627" s="2" t="s">
        <v>68</v>
      </c>
      <c r="AC2627" s="2" t="s">
        <v>58</v>
      </c>
      <c r="AF2627" s="2">
        <f t="shared" ref="AF2627:AF2690" si="297">AJ2627</f>
        <v>0</v>
      </c>
      <c r="AG2627" s="2">
        <v>15.020300000000001</v>
      </c>
      <c r="AH2627" s="2">
        <v>27.6</v>
      </c>
      <c r="AJ2627" s="2">
        <f t="shared" ref="AJ2627:AJ2690" si="298">AI2627*T2627</f>
        <v>0</v>
      </c>
      <c r="AK2627" s="2">
        <f t="shared" ref="AK2627:AK2690" si="299">T2627-W2627</f>
        <v>27.918799999999997</v>
      </c>
      <c r="AL2627" s="5">
        <f t="shared" si="296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5"/>
        <v>0.36042307692307685</v>
      </c>
      <c r="Z2628" s="2" t="s">
        <v>3237</v>
      </c>
      <c r="AA2628" s="2" t="s">
        <v>46</v>
      </c>
      <c r="AB2628" s="2" t="s">
        <v>68</v>
      </c>
      <c r="AC2628" s="2" t="s">
        <v>58</v>
      </c>
      <c r="AF2628" s="2">
        <f t="shared" si="297"/>
        <v>0</v>
      </c>
      <c r="AG2628" s="2">
        <v>8.3145000000000007</v>
      </c>
      <c r="AH2628" s="2">
        <v>15</v>
      </c>
      <c r="AJ2628" s="2">
        <f t="shared" si="298"/>
        <v>0</v>
      </c>
      <c r="AK2628" s="2">
        <f t="shared" si="299"/>
        <v>9.3709999999999987</v>
      </c>
      <c r="AL2628" s="5">
        <f t="shared" si="296"/>
        <v>0.36042307692307685</v>
      </c>
    </row>
    <row r="2629" spans="1:38" x14ac:dyDescent="0.2">
      <c r="A2629" s="2">
        <v>2025</v>
      </c>
      <c r="B2629" s="2">
        <v>9</v>
      </c>
      <c r="D2629" s="2" t="s">
        <v>983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5"/>
        <v>1</v>
      </c>
      <c r="Z2629" s="2" t="s">
        <v>3237</v>
      </c>
      <c r="AA2629" s="2" t="s">
        <v>46</v>
      </c>
      <c r="AB2629" s="2" t="s">
        <v>57</v>
      </c>
      <c r="AC2629" s="2" t="s">
        <v>58</v>
      </c>
      <c r="AF2629" s="2">
        <f t="shared" si="297"/>
        <v>0</v>
      </c>
      <c r="AJ2629" s="2">
        <f t="shared" si="298"/>
        <v>0</v>
      </c>
      <c r="AK2629" s="2">
        <f t="shared" si="299"/>
        <v>45</v>
      </c>
      <c r="AL2629" s="5">
        <f t="shared" si="296"/>
        <v>1</v>
      </c>
    </row>
    <row r="2630" spans="1:38" x14ac:dyDescent="0.2">
      <c r="A2630" s="2">
        <v>2025</v>
      </c>
      <c r="B2630" s="2">
        <v>9</v>
      </c>
      <c r="D2630" s="2" t="s">
        <v>983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5"/>
        <v>0.34714285714285725</v>
      </c>
      <c r="Z2630" s="2" t="s">
        <v>3237</v>
      </c>
      <c r="AA2630" s="2" t="s">
        <v>46</v>
      </c>
      <c r="AB2630" s="2" t="s">
        <v>61</v>
      </c>
      <c r="AC2630" s="2" t="s">
        <v>58</v>
      </c>
      <c r="AF2630" s="2">
        <f t="shared" si="297"/>
        <v>0</v>
      </c>
      <c r="AG2630" s="2">
        <v>9.14</v>
      </c>
      <c r="AH2630" s="2">
        <v>16</v>
      </c>
      <c r="AJ2630" s="2">
        <f t="shared" si="298"/>
        <v>0</v>
      </c>
      <c r="AK2630" s="2">
        <f t="shared" si="299"/>
        <v>4.8600000000000012</v>
      </c>
      <c r="AL2630" s="5">
        <f t="shared" si="296"/>
        <v>0.34714285714285725</v>
      </c>
    </row>
    <row r="2631" spans="1:38" x14ac:dyDescent="0.2">
      <c r="A2631" s="2">
        <v>2025</v>
      </c>
      <c r="B2631" s="2">
        <v>9</v>
      </c>
      <c r="D2631" s="2" t="s">
        <v>983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5"/>
        <v>0.36923076923076914</v>
      </c>
      <c r="Z2631" s="2" t="s">
        <v>3237</v>
      </c>
      <c r="AA2631" s="2" t="s">
        <v>46</v>
      </c>
      <c r="AB2631" s="2" t="s">
        <v>61</v>
      </c>
      <c r="AC2631" s="2" t="s">
        <v>58</v>
      </c>
      <c r="AF2631" s="2">
        <f t="shared" si="297"/>
        <v>0</v>
      </c>
      <c r="AG2631" s="2">
        <v>8.1999999999999993</v>
      </c>
      <c r="AH2631" s="2">
        <v>13</v>
      </c>
      <c r="AJ2631" s="2">
        <f t="shared" si="298"/>
        <v>0</v>
      </c>
      <c r="AK2631" s="2">
        <f t="shared" si="299"/>
        <v>4.7999999999999989</v>
      </c>
      <c r="AL2631" s="5">
        <f t="shared" si="296"/>
        <v>0.36923076923076914</v>
      </c>
    </row>
    <row r="2632" spans="1:38" x14ac:dyDescent="0.2">
      <c r="A2632" s="2">
        <v>2025</v>
      </c>
      <c r="B2632" s="2">
        <v>9</v>
      </c>
      <c r="D2632" s="2" t="s">
        <v>983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5"/>
        <v>0.39066666666666677</v>
      </c>
      <c r="Z2632" s="2" t="s">
        <v>3237</v>
      </c>
      <c r="AA2632" s="2" t="s">
        <v>46</v>
      </c>
      <c r="AB2632" s="2" t="s">
        <v>61</v>
      </c>
      <c r="AC2632" s="2" t="s">
        <v>58</v>
      </c>
      <c r="AF2632" s="2">
        <f t="shared" si="297"/>
        <v>0</v>
      </c>
      <c r="AJ2632" s="2">
        <f t="shared" si="298"/>
        <v>0</v>
      </c>
      <c r="AK2632" s="2">
        <f t="shared" si="299"/>
        <v>5.8600000000000012</v>
      </c>
      <c r="AL2632" s="5">
        <f t="shared" si="296"/>
        <v>0.39066666666666677</v>
      </c>
    </row>
    <row r="2633" spans="1:38" x14ac:dyDescent="0.2">
      <c r="A2633" s="2">
        <v>2025</v>
      </c>
      <c r="B2633" s="2">
        <v>9</v>
      </c>
      <c r="D2633" s="2" t="s">
        <v>984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985</v>
      </c>
      <c r="J2633" s="2" t="s">
        <v>986</v>
      </c>
      <c r="L2633" s="2" t="s">
        <v>294</v>
      </c>
      <c r="M2633" s="2" t="s">
        <v>81</v>
      </c>
      <c r="O2633" s="2" t="s">
        <v>2231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5"/>
        <v>0.41891666666666666</v>
      </c>
      <c r="Z2633" s="2" t="s">
        <v>3237</v>
      </c>
      <c r="AA2633" s="2" t="s">
        <v>76</v>
      </c>
      <c r="AB2633" s="2" t="s">
        <v>77</v>
      </c>
      <c r="AC2633" s="2" t="s">
        <v>78</v>
      </c>
      <c r="AF2633" s="2">
        <f t="shared" si="297"/>
        <v>0</v>
      </c>
      <c r="AJ2633" s="2">
        <f t="shared" si="298"/>
        <v>0</v>
      </c>
      <c r="AK2633" s="2">
        <f t="shared" si="299"/>
        <v>100.53999999999999</v>
      </c>
      <c r="AL2633" s="5">
        <f t="shared" si="296"/>
        <v>0.41891666666666666</v>
      </c>
    </row>
    <row r="2634" spans="1:38" x14ac:dyDescent="0.2">
      <c r="A2634" s="2">
        <v>2025</v>
      </c>
      <c r="B2634" s="2">
        <v>9</v>
      </c>
      <c r="D2634" s="2" t="s">
        <v>984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985</v>
      </c>
      <c r="J2634" s="2" t="s">
        <v>986</v>
      </c>
      <c r="L2634" s="2" t="s">
        <v>294</v>
      </c>
      <c r="M2634" s="2" t="s">
        <v>81</v>
      </c>
      <c r="O2634" s="2" t="s">
        <v>2231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5"/>
        <v>0</v>
      </c>
      <c r="Z2634" s="2" t="s">
        <v>3237</v>
      </c>
      <c r="AA2634" s="2" t="s">
        <v>97</v>
      </c>
      <c r="AB2634" s="2" t="s">
        <v>77</v>
      </c>
      <c r="AC2634" s="2" t="s">
        <v>94</v>
      </c>
      <c r="AF2634" s="2">
        <f t="shared" si="297"/>
        <v>0</v>
      </c>
      <c r="AG2634" s="2">
        <v>1.1399999999999999</v>
      </c>
      <c r="AH2634" s="2">
        <v>1.1399999999999999</v>
      </c>
      <c r="AJ2634" s="2">
        <f t="shared" si="298"/>
        <v>0</v>
      </c>
      <c r="AK2634" s="2">
        <f t="shared" si="299"/>
        <v>0</v>
      </c>
      <c r="AL2634" s="5">
        <f t="shared" si="296"/>
        <v>0</v>
      </c>
    </row>
    <row r="2635" spans="1:38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2232</v>
      </c>
      <c r="P2635" s="2" t="s">
        <v>115</v>
      </c>
      <c r="Q2635" s="2" t="s">
        <v>2233</v>
      </c>
      <c r="R2635" s="2" t="s">
        <v>2234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5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7"/>
        <v>0</v>
      </c>
      <c r="AG2635" s="2">
        <v>5.35</v>
      </c>
      <c r="AJ2635" s="2">
        <f t="shared" si="298"/>
        <v>0</v>
      </c>
      <c r="AK2635" s="2">
        <f t="shared" si="299"/>
        <v>5.9</v>
      </c>
      <c r="AL2635" s="5">
        <f t="shared" si="296"/>
        <v>0.52444444444444449</v>
      </c>
    </row>
    <row r="2636" spans="1:38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2235</v>
      </c>
      <c r="R2636" s="2" t="s">
        <v>2236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5"/>
        <v>1</v>
      </c>
      <c r="AF2636" s="2">
        <f t="shared" si="297"/>
        <v>0</v>
      </c>
      <c r="AJ2636" s="2">
        <f t="shared" si="298"/>
        <v>0</v>
      </c>
      <c r="AK2636" s="2">
        <f t="shared" si="299"/>
        <v>145.26</v>
      </c>
      <c r="AL2636" s="5">
        <f t="shared" si="296"/>
        <v>1</v>
      </c>
    </row>
    <row r="2637" spans="1:38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1132</v>
      </c>
      <c r="R2637" s="2" t="s">
        <v>1133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5"/>
        <v>1</v>
      </c>
      <c r="AF2637" s="2">
        <f t="shared" si="297"/>
        <v>0</v>
      </c>
      <c r="AJ2637" s="2">
        <f t="shared" si="298"/>
        <v>0</v>
      </c>
      <c r="AK2637" s="2">
        <f t="shared" si="299"/>
        <v>9.82</v>
      </c>
      <c r="AL2637" s="5">
        <f t="shared" si="296"/>
        <v>1</v>
      </c>
    </row>
    <row r="2638" spans="1:38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5"/>
        <v>0.6</v>
      </c>
      <c r="Z2638" s="2" t="s">
        <v>118</v>
      </c>
      <c r="AA2638" s="2" t="s">
        <v>191</v>
      </c>
      <c r="AF2638" s="2">
        <f t="shared" si="297"/>
        <v>0</v>
      </c>
      <c r="AJ2638" s="2">
        <f t="shared" si="298"/>
        <v>0</v>
      </c>
      <c r="AK2638" s="2">
        <f t="shared" si="299"/>
        <v>30</v>
      </c>
      <c r="AL2638" s="5">
        <f t="shared" si="296"/>
        <v>0.6</v>
      </c>
    </row>
    <row r="2639" spans="1:38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5"/>
        <v>0.5</v>
      </c>
      <c r="Z2639" s="2" t="s">
        <v>118</v>
      </c>
      <c r="AA2639" s="2" t="s">
        <v>191</v>
      </c>
      <c r="AF2639" s="2">
        <f t="shared" si="297"/>
        <v>0</v>
      </c>
      <c r="AJ2639" s="2">
        <f t="shared" si="298"/>
        <v>0</v>
      </c>
      <c r="AK2639" s="2">
        <f t="shared" si="299"/>
        <v>50</v>
      </c>
      <c r="AL2639" s="5">
        <f t="shared" si="296"/>
        <v>0.5</v>
      </c>
    </row>
    <row r="2640" spans="1:38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5"/>
        <v>1</v>
      </c>
      <c r="Z2640" s="2" t="s">
        <v>120</v>
      </c>
      <c r="AA2640" s="2" t="s">
        <v>3392</v>
      </c>
      <c r="AF2640" s="2">
        <f t="shared" si="297"/>
        <v>0</v>
      </c>
      <c r="AJ2640" s="2">
        <f t="shared" si="298"/>
        <v>0</v>
      </c>
      <c r="AK2640" s="2">
        <f t="shared" si="299"/>
        <v>278.01</v>
      </c>
      <c r="AL2640" s="5">
        <f t="shared" si="296"/>
        <v>1</v>
      </c>
    </row>
    <row r="2641" spans="1:38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1078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5"/>
        <v>0.40911111111111115</v>
      </c>
      <c r="Z2641" s="2" t="s">
        <v>3237</v>
      </c>
      <c r="AA2641" s="2" t="s">
        <v>76</v>
      </c>
      <c r="AB2641" s="2" t="s">
        <v>77</v>
      </c>
      <c r="AC2641" s="2" t="s">
        <v>78</v>
      </c>
      <c r="AF2641" s="2">
        <f t="shared" si="297"/>
        <v>0</v>
      </c>
      <c r="AG2641" s="2">
        <f>144.14+15.4</f>
        <v>159.54</v>
      </c>
      <c r="AH2641" s="2">
        <v>280</v>
      </c>
      <c r="AJ2641" s="2">
        <f t="shared" si="298"/>
        <v>0</v>
      </c>
      <c r="AK2641" s="2">
        <f t="shared" si="299"/>
        <v>110.46000000000001</v>
      </c>
      <c r="AL2641" s="5">
        <f t="shared" si="296"/>
        <v>0.40911111111111115</v>
      </c>
    </row>
    <row r="2642" spans="1:38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5"/>
        <v>0</v>
      </c>
      <c r="Z2642" s="2" t="s">
        <v>3237</v>
      </c>
      <c r="AA2642" s="2" t="s">
        <v>97</v>
      </c>
      <c r="AB2642" s="2" t="s">
        <v>77</v>
      </c>
      <c r="AC2642" s="2" t="s">
        <v>94</v>
      </c>
      <c r="AF2642" s="2">
        <f t="shared" si="297"/>
        <v>0</v>
      </c>
      <c r="AJ2642" s="2">
        <f t="shared" si="298"/>
        <v>0</v>
      </c>
      <c r="AK2642" s="2">
        <f t="shared" si="299"/>
        <v>0</v>
      </c>
      <c r="AL2642" s="5">
        <f t="shared" si="296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2237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5"/>
        <v>0.24285714285714285</v>
      </c>
      <c r="Z2643" s="2" t="s">
        <v>3237</v>
      </c>
      <c r="AA2643" s="2" t="s">
        <v>46</v>
      </c>
      <c r="AB2643" s="2" t="s">
        <v>57</v>
      </c>
      <c r="AC2643" s="2" t="s">
        <v>58</v>
      </c>
      <c r="AF2643" s="2">
        <f t="shared" si="297"/>
        <v>0</v>
      </c>
      <c r="AG2643" s="2">
        <v>10.6</v>
      </c>
      <c r="AH2643" s="2">
        <v>18</v>
      </c>
      <c r="AJ2643" s="2">
        <f t="shared" si="298"/>
        <v>0</v>
      </c>
      <c r="AK2643" s="2">
        <f t="shared" si="299"/>
        <v>34</v>
      </c>
      <c r="AL2643" s="5">
        <f t="shared" si="296"/>
        <v>0.24285714285714285</v>
      </c>
    </row>
    <row r="2644" spans="1:38" x14ac:dyDescent="0.2">
      <c r="A2644" s="2">
        <v>2025</v>
      </c>
      <c r="B2644" s="2">
        <v>9</v>
      </c>
      <c r="D2644" s="2" t="s">
        <v>2238</v>
      </c>
      <c r="P2644" s="2" t="s">
        <v>115</v>
      </c>
      <c r="Q2644" s="2" t="s">
        <v>1295</v>
      </c>
      <c r="R2644" s="2" t="s">
        <v>1296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5"/>
        <v>1</v>
      </c>
      <c r="AF2644" s="2">
        <f t="shared" si="297"/>
        <v>0</v>
      </c>
      <c r="AJ2644" s="2">
        <f t="shared" si="298"/>
        <v>0</v>
      </c>
      <c r="AK2644" s="2">
        <f t="shared" si="299"/>
        <v>900</v>
      </c>
      <c r="AL2644" s="5">
        <f t="shared" si="296"/>
        <v>1</v>
      </c>
    </row>
    <row r="2645" spans="1:38" x14ac:dyDescent="0.2">
      <c r="A2645" s="2">
        <v>2025</v>
      </c>
      <c r="B2645" s="2">
        <v>9</v>
      </c>
      <c r="D2645" s="2" t="s">
        <v>2239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5"/>
        <v>1</v>
      </c>
      <c r="Z2645" s="2" t="s">
        <v>120</v>
      </c>
      <c r="AA2645" s="2" t="s">
        <v>3392</v>
      </c>
      <c r="AF2645" s="2">
        <f t="shared" si="297"/>
        <v>0</v>
      </c>
      <c r="AJ2645" s="2">
        <f t="shared" si="298"/>
        <v>0</v>
      </c>
      <c r="AK2645" s="2">
        <f t="shared" si="299"/>
        <v>100.94</v>
      </c>
      <c r="AL2645" s="5">
        <f t="shared" si="296"/>
        <v>1</v>
      </c>
    </row>
    <row r="2646" spans="1:38" x14ac:dyDescent="0.2">
      <c r="A2646" s="2">
        <v>2025</v>
      </c>
      <c r="B2646" s="2">
        <v>9</v>
      </c>
      <c r="D2646" s="2" t="s">
        <v>999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5"/>
        <v>0.40402380952380951</v>
      </c>
      <c r="Z2646" s="2" t="s">
        <v>3237</v>
      </c>
      <c r="AA2646" s="2" t="s">
        <v>76</v>
      </c>
      <c r="AB2646" s="2" t="s">
        <v>77</v>
      </c>
      <c r="AC2646" s="2" t="s">
        <v>78</v>
      </c>
      <c r="AF2646" s="2">
        <f t="shared" si="297"/>
        <v>0</v>
      </c>
      <c r="AJ2646" s="2">
        <f t="shared" si="298"/>
        <v>0</v>
      </c>
      <c r="AK2646" s="2">
        <f t="shared" si="299"/>
        <v>84.844999999999999</v>
      </c>
      <c r="AL2646" s="5">
        <f t="shared" si="296"/>
        <v>0.40402380952380951</v>
      </c>
    </row>
    <row r="2647" spans="1:38" x14ac:dyDescent="0.2">
      <c r="A2647" s="2">
        <v>2025</v>
      </c>
      <c r="B2647" s="2">
        <v>9</v>
      </c>
      <c r="D2647" s="2" t="s">
        <v>999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5"/>
        <v>0</v>
      </c>
      <c r="Z2647" s="2" t="s">
        <v>3237</v>
      </c>
      <c r="AA2647" s="2" t="s">
        <v>97</v>
      </c>
      <c r="AB2647" s="2" t="s">
        <v>77</v>
      </c>
      <c r="AC2647" s="2" t="s">
        <v>94</v>
      </c>
      <c r="AF2647" s="2">
        <f t="shared" si="297"/>
        <v>0</v>
      </c>
      <c r="AJ2647" s="2">
        <f t="shared" si="298"/>
        <v>0</v>
      </c>
      <c r="AK2647" s="2">
        <f t="shared" si="299"/>
        <v>0</v>
      </c>
      <c r="AL2647" s="5">
        <f t="shared" si="296"/>
        <v>0</v>
      </c>
    </row>
    <row r="2648" spans="1:38" x14ac:dyDescent="0.2">
      <c r="A2648" s="2">
        <v>2025</v>
      </c>
      <c r="B2648" s="2">
        <v>9</v>
      </c>
      <c r="D2648" s="2" t="s">
        <v>1703</v>
      </c>
      <c r="P2648" s="2" t="s">
        <v>283</v>
      </c>
      <c r="Q2648" s="2" t="s">
        <v>1256</v>
      </c>
      <c r="R2648" s="2" t="s">
        <v>1257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5"/>
        <v>1</v>
      </c>
      <c r="AF2648" s="2">
        <f t="shared" si="297"/>
        <v>0</v>
      </c>
      <c r="AJ2648" s="2">
        <f t="shared" si="298"/>
        <v>0</v>
      </c>
      <c r="AK2648" s="2">
        <f t="shared" si="299"/>
        <v>2840</v>
      </c>
      <c r="AL2648" s="5">
        <f t="shared" si="296"/>
        <v>1</v>
      </c>
    </row>
    <row r="2649" spans="1:38" x14ac:dyDescent="0.2">
      <c r="A2649" s="2">
        <v>2025</v>
      </c>
      <c r="B2649" s="2">
        <v>9</v>
      </c>
      <c r="D2649" s="2" t="s">
        <v>2139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5"/>
        <v>1</v>
      </c>
      <c r="Z2649" s="2" t="s">
        <v>118</v>
      </c>
      <c r="AA2649" s="2" t="s">
        <v>318</v>
      </c>
      <c r="AF2649" s="2">
        <f t="shared" si="297"/>
        <v>0</v>
      </c>
      <c r="AJ2649" s="2">
        <f t="shared" si="298"/>
        <v>0</v>
      </c>
      <c r="AK2649" s="2">
        <f t="shared" si="299"/>
        <v>975</v>
      </c>
      <c r="AL2649" s="5">
        <f t="shared" si="296"/>
        <v>1</v>
      </c>
    </row>
    <row r="2650" spans="1:38" x14ac:dyDescent="0.2">
      <c r="A2650" s="2">
        <v>2025</v>
      </c>
      <c r="B2650" s="2">
        <v>9</v>
      </c>
      <c r="D2650" s="2" t="s">
        <v>2139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5"/>
        <v>#DIV/0!</v>
      </c>
      <c r="Z2650" s="2" t="s">
        <v>118</v>
      </c>
      <c r="AA2650" s="2" t="s">
        <v>318</v>
      </c>
      <c r="AF2650" s="2">
        <f t="shared" si="297"/>
        <v>0</v>
      </c>
      <c r="AJ2650" s="2">
        <f t="shared" si="298"/>
        <v>0</v>
      </c>
      <c r="AK2650" s="2">
        <f t="shared" si="299"/>
        <v>0</v>
      </c>
      <c r="AL2650" s="5" t="e">
        <f t="shared" si="296"/>
        <v>#DIV/0!</v>
      </c>
    </row>
    <row r="2651" spans="1:38" x14ac:dyDescent="0.2">
      <c r="A2651" s="2">
        <v>2025</v>
      </c>
      <c r="B2651" s="2">
        <v>9</v>
      </c>
      <c r="D2651" s="2" t="s">
        <v>1796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7"/>
        <v>0</v>
      </c>
      <c r="AJ2651" s="2">
        <f t="shared" si="298"/>
        <v>0</v>
      </c>
      <c r="AK2651" s="2">
        <f t="shared" si="299"/>
        <v>0</v>
      </c>
      <c r="AL2651" s="5" t="e">
        <f t="shared" si="296"/>
        <v>#DIV/0!</v>
      </c>
    </row>
    <row r="2652" spans="1:38" x14ac:dyDescent="0.2">
      <c r="A2652" s="2">
        <v>2025</v>
      </c>
      <c r="B2652" s="2">
        <v>9</v>
      </c>
      <c r="D2652" s="2" t="s">
        <v>1796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5"/>
        <v>1</v>
      </c>
      <c r="Z2652" s="2" t="s">
        <v>105</v>
      </c>
      <c r="AF2652" s="2">
        <f t="shared" si="297"/>
        <v>0</v>
      </c>
      <c r="AJ2652" s="2">
        <f t="shared" si="298"/>
        <v>0</v>
      </c>
      <c r="AK2652" s="2">
        <f t="shared" si="299"/>
        <v>15990</v>
      </c>
      <c r="AL2652" s="5">
        <f t="shared" si="296"/>
        <v>1</v>
      </c>
    </row>
    <row r="2653" spans="1:38" x14ac:dyDescent="0.2">
      <c r="A2653" s="2">
        <v>2025</v>
      </c>
      <c r="B2653" s="2">
        <v>9</v>
      </c>
      <c r="D2653" s="2" t="s">
        <v>1796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0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7"/>
        <v>0</v>
      </c>
      <c r="AJ2653" s="2">
        <f t="shared" si="298"/>
        <v>0</v>
      </c>
      <c r="AK2653" s="2">
        <f t="shared" si="299"/>
        <v>-26659.4</v>
      </c>
      <c r="AL2653" s="5">
        <f t="shared" ref="AL2653:AL2716" si="301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1895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0"/>
        <v>0.62926666666666664</v>
      </c>
      <c r="Z2654" s="2" t="s">
        <v>3237</v>
      </c>
      <c r="AA2654" s="2" t="s">
        <v>46</v>
      </c>
      <c r="AB2654" s="2" t="s">
        <v>61</v>
      </c>
      <c r="AC2654" s="2" t="s">
        <v>58</v>
      </c>
      <c r="AF2654" s="2">
        <f t="shared" si="297"/>
        <v>0</v>
      </c>
      <c r="AG2654" s="2">
        <v>1.1122000000000001</v>
      </c>
      <c r="AH2654" s="2">
        <v>3</v>
      </c>
      <c r="AJ2654" s="2">
        <f t="shared" si="298"/>
        <v>0</v>
      </c>
      <c r="AK2654" s="2">
        <f t="shared" si="299"/>
        <v>15.102399999999999</v>
      </c>
      <c r="AL2654" s="5">
        <f t="shared" si="301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0"/>
        <v>0.4</v>
      </c>
      <c r="Z2655" s="2" t="s">
        <v>3237</v>
      </c>
      <c r="AA2655" s="2" t="s">
        <v>46</v>
      </c>
      <c r="AB2655" s="2" t="s">
        <v>61</v>
      </c>
      <c r="AC2655" s="2" t="s">
        <v>3343</v>
      </c>
      <c r="AF2655" s="2">
        <f t="shared" si="297"/>
        <v>0</v>
      </c>
      <c r="AJ2655" s="2">
        <f t="shared" si="298"/>
        <v>0</v>
      </c>
      <c r="AK2655" s="2">
        <f t="shared" si="299"/>
        <v>116</v>
      </c>
      <c r="AL2655" s="5">
        <f t="shared" si="301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0"/>
        <v>0.40000000000000008</v>
      </c>
      <c r="Z2656" s="2" t="s">
        <v>3237</v>
      </c>
      <c r="AA2656" s="2" t="s">
        <v>46</v>
      </c>
      <c r="AB2656" s="2" t="s">
        <v>61</v>
      </c>
      <c r="AC2656" s="2" t="s">
        <v>3343</v>
      </c>
      <c r="AF2656" s="2">
        <f t="shared" si="297"/>
        <v>0</v>
      </c>
      <c r="AJ2656" s="2">
        <f t="shared" si="298"/>
        <v>0</v>
      </c>
      <c r="AK2656" s="2">
        <f t="shared" si="299"/>
        <v>127.60000000000002</v>
      </c>
      <c r="AL2656" s="5">
        <f t="shared" si="301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2484</v>
      </c>
      <c r="J2657" s="2" t="s">
        <v>3132</v>
      </c>
      <c r="K2657" s="2">
        <v>965864665</v>
      </c>
      <c r="L2657" s="2" t="s">
        <v>345</v>
      </c>
      <c r="M2657" s="2" t="s">
        <v>81</v>
      </c>
      <c r="O2657" s="2" t="s">
        <v>3134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0"/>
        <v>0.47829629629629622</v>
      </c>
      <c r="Z2657" s="2" t="s">
        <v>3237</v>
      </c>
      <c r="AA2657" s="2" t="s">
        <v>76</v>
      </c>
      <c r="AB2657" s="2" t="s">
        <v>77</v>
      </c>
      <c r="AC2657" s="2" t="s">
        <v>78</v>
      </c>
      <c r="AF2657" s="2">
        <f t="shared" si="297"/>
        <v>0</v>
      </c>
      <c r="AG2657" s="2">
        <f>132.55+8.31</f>
        <v>140.86000000000001</v>
      </c>
      <c r="AH2657" s="2">
        <v>250</v>
      </c>
      <c r="AJ2657" s="2">
        <f t="shared" si="298"/>
        <v>0</v>
      </c>
      <c r="AK2657" s="2">
        <f t="shared" si="299"/>
        <v>129.13999999999999</v>
      </c>
      <c r="AL2657" s="5">
        <f t="shared" si="301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2484</v>
      </c>
      <c r="J2658" s="2" t="s">
        <v>3132</v>
      </c>
      <c r="K2658" s="2">
        <v>965864665</v>
      </c>
      <c r="L2658" s="2" t="s">
        <v>345</v>
      </c>
      <c r="M2658" s="2" t="s">
        <v>81</v>
      </c>
      <c r="O2658" s="2" t="s">
        <v>3134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0"/>
        <v>0</v>
      </c>
      <c r="Z2658" s="2" t="s">
        <v>3237</v>
      </c>
      <c r="AA2658" s="2" t="s">
        <v>97</v>
      </c>
      <c r="AB2658" s="2" t="s">
        <v>77</v>
      </c>
      <c r="AC2658" s="2" t="s">
        <v>94</v>
      </c>
      <c r="AF2658" s="2">
        <f t="shared" si="297"/>
        <v>0</v>
      </c>
      <c r="AJ2658" s="2">
        <f t="shared" si="298"/>
        <v>0</v>
      </c>
      <c r="AK2658" s="2">
        <f t="shared" si="299"/>
        <v>0</v>
      </c>
      <c r="AL2658" s="5">
        <f t="shared" si="301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3138</v>
      </c>
      <c r="K2659" s="2">
        <v>962555043</v>
      </c>
      <c r="L2659" s="2" t="s">
        <v>345</v>
      </c>
      <c r="M2659" s="2" t="s">
        <v>40</v>
      </c>
      <c r="O2659" s="2" t="s">
        <v>3140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0"/>
        <v>1</v>
      </c>
      <c r="Z2659" s="2" t="s">
        <v>118</v>
      </c>
      <c r="AA2659" s="2" t="s">
        <v>318</v>
      </c>
      <c r="AF2659" s="2">
        <f t="shared" si="297"/>
        <v>0</v>
      </c>
      <c r="AJ2659" s="2">
        <f t="shared" si="298"/>
        <v>0</v>
      </c>
      <c r="AK2659" s="2">
        <f t="shared" si="299"/>
        <v>-975</v>
      </c>
      <c r="AL2659" s="5">
        <f t="shared" si="301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3138</v>
      </c>
      <c r="K2660" s="2">
        <v>962555043</v>
      </c>
      <c r="L2660" s="2" t="s">
        <v>345</v>
      </c>
      <c r="M2660" s="2" t="s">
        <v>40</v>
      </c>
      <c r="O2660" s="2" t="s">
        <v>3140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0"/>
        <v>#DIV/0!</v>
      </c>
      <c r="Z2660" s="2" t="s">
        <v>118</v>
      </c>
      <c r="AA2660" s="2" t="s">
        <v>318</v>
      </c>
      <c r="AF2660" s="2">
        <f t="shared" si="297"/>
        <v>0</v>
      </c>
      <c r="AJ2660" s="2">
        <f t="shared" si="298"/>
        <v>0</v>
      </c>
      <c r="AK2660" s="2">
        <f t="shared" si="299"/>
        <v>0</v>
      </c>
      <c r="AL2660" s="5" t="e">
        <f t="shared" si="301"/>
        <v>#DIV/0!</v>
      </c>
    </row>
    <row r="2661" spans="1:38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2240</v>
      </c>
      <c r="P2661" s="2" t="s">
        <v>115</v>
      </c>
      <c r="Q2661" s="2" t="s">
        <v>2233</v>
      </c>
      <c r="R2661" s="2" t="s">
        <v>2234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0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7"/>
        <v>0</v>
      </c>
      <c r="AG2661" s="2">
        <v>5.35</v>
      </c>
      <c r="AJ2661" s="2">
        <f t="shared" si="298"/>
        <v>0</v>
      </c>
      <c r="AK2661" s="2">
        <f t="shared" si="299"/>
        <v>4.2900000000000009</v>
      </c>
      <c r="AL2661" s="5">
        <f t="shared" si="301"/>
        <v>0.44502074688796689</v>
      </c>
    </row>
    <row r="2662" spans="1:38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0"/>
        <v>1</v>
      </c>
      <c r="Z2662" s="2" t="s">
        <v>170</v>
      </c>
      <c r="AA2662" s="2" t="s">
        <v>170</v>
      </c>
      <c r="AF2662" s="2">
        <f t="shared" si="297"/>
        <v>0</v>
      </c>
      <c r="AJ2662" s="2">
        <f t="shared" si="298"/>
        <v>0</v>
      </c>
      <c r="AK2662" s="2">
        <f t="shared" si="299"/>
        <v>8</v>
      </c>
      <c r="AL2662" s="5">
        <f t="shared" si="301"/>
        <v>1</v>
      </c>
    </row>
    <row r="2663" spans="1:38" x14ac:dyDescent="0.2">
      <c r="A2663" s="2">
        <v>2025</v>
      </c>
      <c r="B2663" s="2">
        <v>9</v>
      </c>
      <c r="D2663" s="2" t="s">
        <v>1018</v>
      </c>
      <c r="P2663" s="2" t="s">
        <v>283</v>
      </c>
      <c r="Q2663" s="2" t="s">
        <v>2241</v>
      </c>
      <c r="R2663" s="2" t="s">
        <v>2242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0"/>
        <v>1</v>
      </c>
      <c r="AF2663" s="2">
        <f t="shared" si="297"/>
        <v>0</v>
      </c>
      <c r="AJ2663" s="2">
        <f t="shared" si="298"/>
        <v>0</v>
      </c>
      <c r="AK2663" s="2">
        <f t="shared" si="299"/>
        <v>37.17</v>
      </c>
      <c r="AL2663" s="5">
        <f t="shared" si="301"/>
        <v>1</v>
      </c>
    </row>
    <row r="2664" spans="1:38" x14ac:dyDescent="0.2">
      <c r="A2664" s="2">
        <v>2025</v>
      </c>
      <c r="B2664" s="2">
        <v>9</v>
      </c>
      <c r="D2664" s="2" t="s">
        <v>1018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0"/>
        <v>0.52105128205128204</v>
      </c>
      <c r="Z2664" s="2" t="s">
        <v>3237</v>
      </c>
      <c r="AA2664" s="2" t="s">
        <v>46</v>
      </c>
      <c r="AB2664" s="2" t="s">
        <v>47</v>
      </c>
      <c r="AC2664" s="2" t="s">
        <v>48</v>
      </c>
      <c r="AF2664" s="2">
        <f t="shared" si="297"/>
        <v>0</v>
      </c>
      <c r="AG2664" s="2">
        <v>3.7357999999999998</v>
      </c>
      <c r="AH2664" s="2">
        <v>9</v>
      </c>
      <c r="AJ2664" s="2">
        <f t="shared" si="298"/>
        <v>0</v>
      </c>
      <c r="AK2664" s="2">
        <f t="shared" si="299"/>
        <v>16.256799999999998</v>
      </c>
      <c r="AL2664" s="5">
        <f t="shared" si="301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2243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0"/>
        <v>0.32327790228597042</v>
      </c>
      <c r="Z2665" s="2" t="s">
        <v>3237</v>
      </c>
      <c r="AA2665" s="2" t="s">
        <v>76</v>
      </c>
      <c r="AB2665" s="2" t="s">
        <v>77</v>
      </c>
      <c r="AC2665" s="2" t="s">
        <v>78</v>
      </c>
      <c r="AF2665" s="2">
        <f t="shared" si="297"/>
        <v>0</v>
      </c>
      <c r="AJ2665" s="2">
        <f t="shared" si="298"/>
        <v>0</v>
      </c>
      <c r="AK2665" s="2">
        <f t="shared" si="299"/>
        <v>144.2466</v>
      </c>
      <c r="AL2665" s="5">
        <f t="shared" si="301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2243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0"/>
        <v>0</v>
      </c>
      <c r="Z2666" s="2" t="s">
        <v>3237</v>
      </c>
      <c r="AA2666" s="2" t="s">
        <v>97</v>
      </c>
      <c r="AB2666" s="2" t="s">
        <v>77</v>
      </c>
      <c r="AC2666" s="2" t="s">
        <v>94</v>
      </c>
      <c r="AF2666" s="2">
        <f t="shared" si="297"/>
        <v>0</v>
      </c>
      <c r="AJ2666" s="2">
        <f t="shared" si="298"/>
        <v>0</v>
      </c>
      <c r="AK2666" s="2">
        <f t="shared" si="299"/>
        <v>0</v>
      </c>
      <c r="AL2666" s="5">
        <f t="shared" si="301"/>
        <v>0</v>
      </c>
    </row>
    <row r="2667" spans="1:38" x14ac:dyDescent="0.2">
      <c r="A2667" s="2">
        <v>2025</v>
      </c>
      <c r="B2667" s="2">
        <v>9</v>
      </c>
      <c r="D2667" s="2" t="s">
        <v>1803</v>
      </c>
      <c r="P2667" s="2" t="s">
        <v>3241</v>
      </c>
      <c r="Q2667" s="2" t="s">
        <v>1794</v>
      </c>
      <c r="R2667" s="2" t="s">
        <v>1795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0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3241</v>
      </c>
      <c r="AF2667" s="2">
        <f t="shared" si="297"/>
        <v>0</v>
      </c>
      <c r="AJ2667" s="2">
        <f t="shared" si="298"/>
        <v>0</v>
      </c>
      <c r="AK2667" s="2">
        <f t="shared" si="299"/>
        <v>-2836.96</v>
      </c>
      <c r="AL2667" s="5">
        <f t="shared" si="301"/>
        <v>1.5760888888888889</v>
      </c>
    </row>
    <row r="2668" spans="1:38" x14ac:dyDescent="0.2">
      <c r="A2668" s="2">
        <v>2025</v>
      </c>
      <c r="B2668" s="2">
        <v>9</v>
      </c>
      <c r="D2668" s="2" t="s">
        <v>2244</v>
      </c>
      <c r="P2668" s="2" t="s">
        <v>3241</v>
      </c>
      <c r="Q2668" s="2" t="s">
        <v>1794</v>
      </c>
      <c r="R2668" s="2" t="s">
        <v>1795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0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3241</v>
      </c>
      <c r="AF2668" s="2">
        <f t="shared" si="297"/>
        <v>0</v>
      </c>
      <c r="AJ2668" s="2">
        <f t="shared" si="298"/>
        <v>0</v>
      </c>
      <c r="AK2668" s="2">
        <f t="shared" si="299"/>
        <v>763.04</v>
      </c>
      <c r="AL2668" s="5">
        <f t="shared" si="301"/>
        <v>0.42391111111111107</v>
      </c>
    </row>
    <row r="2669" spans="1:38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0"/>
        <v>0.42161904761904767</v>
      </c>
      <c r="Z2669" s="2" t="s">
        <v>3237</v>
      </c>
      <c r="AA2669" s="2" t="s">
        <v>76</v>
      </c>
      <c r="AB2669" s="2" t="s">
        <v>77</v>
      </c>
      <c r="AC2669" s="2" t="s">
        <v>78</v>
      </c>
      <c r="AF2669" s="2">
        <f t="shared" si="297"/>
        <v>0</v>
      </c>
      <c r="AG2669" s="2">
        <v>121.46</v>
      </c>
      <c r="AH2669" s="2">
        <v>210</v>
      </c>
      <c r="AJ2669" s="2">
        <f t="shared" si="298"/>
        <v>0</v>
      </c>
      <c r="AK2669" s="2">
        <f t="shared" si="299"/>
        <v>88.54</v>
      </c>
      <c r="AL2669" s="5">
        <f t="shared" si="301"/>
        <v>0.42161904761904767</v>
      </c>
    </row>
    <row r="2670" spans="1:38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0"/>
        <v>0</v>
      </c>
      <c r="Z2670" s="2" t="s">
        <v>3237</v>
      </c>
      <c r="AA2670" s="2" t="s">
        <v>97</v>
      </c>
      <c r="AB2670" s="2" t="s">
        <v>77</v>
      </c>
      <c r="AC2670" s="2" t="s">
        <v>94</v>
      </c>
      <c r="AF2670" s="2">
        <f t="shared" si="297"/>
        <v>0</v>
      </c>
      <c r="AJ2670" s="2">
        <f t="shared" si="298"/>
        <v>0</v>
      </c>
      <c r="AK2670" s="2">
        <f t="shared" si="299"/>
        <v>0</v>
      </c>
      <c r="AL2670" s="5">
        <f t="shared" si="301"/>
        <v>0</v>
      </c>
    </row>
    <row r="2671" spans="1:38" x14ac:dyDescent="0.2">
      <c r="A2671" s="2">
        <v>2025</v>
      </c>
      <c r="B2671" s="2">
        <v>9</v>
      </c>
      <c r="D2671" s="2" t="s">
        <v>2245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0"/>
        <v>0.4003181818181818</v>
      </c>
      <c r="Z2671" s="2" t="s">
        <v>3237</v>
      </c>
      <c r="AA2671" s="2" t="s">
        <v>76</v>
      </c>
      <c r="AB2671" s="2" t="s">
        <v>77</v>
      </c>
      <c r="AC2671" s="2" t="s">
        <v>78</v>
      </c>
      <c r="AF2671" s="2">
        <f t="shared" si="297"/>
        <v>0</v>
      </c>
      <c r="AG2671" s="2">
        <v>131.93</v>
      </c>
      <c r="AH2671" s="2">
        <v>220</v>
      </c>
      <c r="AJ2671" s="2">
        <f t="shared" si="298"/>
        <v>0</v>
      </c>
      <c r="AK2671" s="2">
        <f t="shared" si="299"/>
        <v>88.07</v>
      </c>
      <c r="AL2671" s="5">
        <f t="shared" si="301"/>
        <v>0.4003181818181818</v>
      </c>
    </row>
    <row r="2672" spans="1:38" x14ac:dyDescent="0.2">
      <c r="A2672" s="2">
        <v>2025</v>
      </c>
      <c r="B2672" s="2">
        <v>9</v>
      </c>
      <c r="D2672" s="2" t="s">
        <v>2245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0"/>
        <v>0</v>
      </c>
      <c r="Z2672" s="2" t="s">
        <v>3237</v>
      </c>
      <c r="AA2672" s="2" t="s">
        <v>97</v>
      </c>
      <c r="AB2672" s="2" t="s">
        <v>77</v>
      </c>
      <c r="AC2672" s="2" t="s">
        <v>94</v>
      </c>
      <c r="AF2672" s="2">
        <f t="shared" si="297"/>
        <v>0</v>
      </c>
      <c r="AJ2672" s="2">
        <f t="shared" si="298"/>
        <v>0</v>
      </c>
      <c r="AK2672" s="2">
        <f t="shared" si="299"/>
        <v>0</v>
      </c>
      <c r="AL2672" s="5">
        <f t="shared" si="301"/>
        <v>0</v>
      </c>
    </row>
    <row r="2673" spans="1:38" x14ac:dyDescent="0.2">
      <c r="A2673" s="2">
        <v>2025</v>
      </c>
      <c r="B2673" s="2">
        <v>9</v>
      </c>
      <c r="D2673" s="2" t="s">
        <v>1571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0"/>
        <v>0.44069999999999998</v>
      </c>
      <c r="Z2673" s="2" t="s">
        <v>3237</v>
      </c>
      <c r="AA2673" s="2" t="s">
        <v>76</v>
      </c>
      <c r="AB2673" s="2" t="s">
        <v>77</v>
      </c>
      <c r="AC2673" s="2" t="s">
        <v>78</v>
      </c>
      <c r="AF2673" s="2">
        <f t="shared" si="297"/>
        <v>0</v>
      </c>
      <c r="AG2673" s="2">
        <v>117.453</v>
      </c>
      <c r="AH2673" s="2">
        <v>220</v>
      </c>
      <c r="AJ2673" s="2">
        <f t="shared" si="298"/>
        <v>0</v>
      </c>
      <c r="AK2673" s="2">
        <f t="shared" si="299"/>
        <v>92.546999999999997</v>
      </c>
      <c r="AL2673" s="5">
        <f t="shared" si="301"/>
        <v>0.44069999999999998</v>
      </c>
    </row>
    <row r="2674" spans="1:38" x14ac:dyDescent="0.2">
      <c r="A2674" s="2">
        <v>2025</v>
      </c>
      <c r="B2674" s="2">
        <v>9</v>
      </c>
      <c r="D2674" s="2" t="s">
        <v>1571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0"/>
        <v>0</v>
      </c>
      <c r="Z2674" s="2" t="s">
        <v>3237</v>
      </c>
      <c r="AA2674" s="2" t="s">
        <v>97</v>
      </c>
      <c r="AB2674" s="2" t="s">
        <v>77</v>
      </c>
      <c r="AC2674" s="2" t="s">
        <v>94</v>
      </c>
      <c r="AF2674" s="2">
        <f t="shared" si="297"/>
        <v>0</v>
      </c>
      <c r="AJ2674" s="2">
        <f t="shared" si="298"/>
        <v>0</v>
      </c>
      <c r="AK2674" s="2">
        <f t="shared" si="299"/>
        <v>0</v>
      </c>
      <c r="AL2674" s="5">
        <f t="shared" si="301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0"/>
        <v>1</v>
      </c>
      <c r="Z2675" s="2" t="s">
        <v>118</v>
      </c>
      <c r="AF2675" s="2">
        <f t="shared" si="297"/>
        <v>0</v>
      </c>
      <c r="AJ2675" s="2">
        <f t="shared" si="298"/>
        <v>0</v>
      </c>
      <c r="AK2675" s="2">
        <f t="shared" si="299"/>
        <v>257.64999999999998</v>
      </c>
      <c r="AL2675" s="5">
        <f t="shared" si="301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1111</v>
      </c>
      <c r="Q2676" s="2" t="s">
        <v>1112</v>
      </c>
      <c r="R2676" s="2" t="s">
        <v>1113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0"/>
        <v>0.15384528301886793</v>
      </c>
      <c r="Z2676" s="2" t="s">
        <v>105</v>
      </c>
      <c r="AA2676" s="2" t="s">
        <v>1114</v>
      </c>
      <c r="AB2676" s="2" t="s">
        <v>1115</v>
      </c>
      <c r="AC2676" s="2" t="s">
        <v>1111</v>
      </c>
      <c r="AF2676" s="2">
        <f t="shared" si="297"/>
        <v>0</v>
      </c>
      <c r="AG2676" s="2">
        <v>2242.31</v>
      </c>
      <c r="AJ2676" s="2">
        <f t="shared" si="298"/>
        <v>0</v>
      </c>
      <c r="AK2676" s="2">
        <f t="shared" si="299"/>
        <v>407.69000000000005</v>
      </c>
      <c r="AL2676" s="5">
        <f t="shared" si="301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0"/>
        <v>0.6</v>
      </c>
      <c r="Z2677" s="2" t="s">
        <v>118</v>
      </c>
      <c r="AA2677" s="2" t="s">
        <v>191</v>
      </c>
      <c r="AF2677" s="2">
        <f t="shared" si="297"/>
        <v>0</v>
      </c>
      <c r="AJ2677" s="2">
        <f t="shared" si="298"/>
        <v>0</v>
      </c>
      <c r="AK2677" s="2">
        <f t="shared" si="299"/>
        <v>132.75</v>
      </c>
      <c r="AL2677" s="5">
        <f t="shared" si="301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0"/>
        <v>0.5</v>
      </c>
      <c r="Z2678" s="2" t="s">
        <v>118</v>
      </c>
      <c r="AA2678" s="2" t="s">
        <v>191</v>
      </c>
      <c r="AF2678" s="2">
        <f t="shared" si="297"/>
        <v>0</v>
      </c>
      <c r="AJ2678" s="2">
        <f t="shared" si="298"/>
        <v>0</v>
      </c>
      <c r="AK2678" s="2">
        <f t="shared" si="299"/>
        <v>101.25</v>
      </c>
      <c r="AL2678" s="5">
        <f t="shared" si="301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0"/>
        <v>1</v>
      </c>
      <c r="Z2679" s="2" t="s">
        <v>120</v>
      </c>
      <c r="AA2679" s="2" t="s">
        <v>3392</v>
      </c>
      <c r="AF2679" s="2">
        <f t="shared" si="297"/>
        <v>0</v>
      </c>
      <c r="AJ2679" s="2">
        <f t="shared" si="298"/>
        <v>0</v>
      </c>
      <c r="AK2679" s="2">
        <f t="shared" si="299"/>
        <v>75</v>
      </c>
      <c r="AL2679" s="5">
        <f t="shared" si="301"/>
        <v>1</v>
      </c>
    </row>
    <row r="2680" spans="1:38" x14ac:dyDescent="0.2">
      <c r="A2680" s="2">
        <v>2025</v>
      </c>
      <c r="B2680" s="2">
        <v>9</v>
      </c>
      <c r="D2680" s="2" t="s">
        <v>1572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0"/>
        <v>0.5</v>
      </c>
      <c r="Z2680" s="2" t="s">
        <v>118</v>
      </c>
      <c r="AA2680" s="2" t="s">
        <v>191</v>
      </c>
      <c r="AF2680" s="2">
        <f t="shared" si="297"/>
        <v>0</v>
      </c>
      <c r="AJ2680" s="2">
        <f t="shared" si="298"/>
        <v>0</v>
      </c>
      <c r="AK2680" s="2">
        <f t="shared" si="299"/>
        <v>25</v>
      </c>
      <c r="AL2680" s="5">
        <f t="shared" si="301"/>
        <v>0.5</v>
      </c>
    </row>
    <row r="2681" spans="1:38" x14ac:dyDescent="0.2">
      <c r="A2681" s="2">
        <v>2025</v>
      </c>
      <c r="B2681" s="2">
        <v>9</v>
      </c>
      <c r="D2681" s="2" t="s">
        <v>1572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0"/>
        <v>1</v>
      </c>
      <c r="Z2681" s="2" t="s">
        <v>120</v>
      </c>
      <c r="AA2681" s="2" t="s">
        <v>3392</v>
      </c>
      <c r="AF2681" s="2">
        <f t="shared" si="297"/>
        <v>0</v>
      </c>
      <c r="AJ2681" s="2">
        <f t="shared" si="298"/>
        <v>0</v>
      </c>
      <c r="AK2681" s="2">
        <f t="shared" si="299"/>
        <v>178.91</v>
      </c>
      <c r="AL2681" s="5">
        <f t="shared" si="301"/>
        <v>1</v>
      </c>
    </row>
    <row r="2682" spans="1:38" x14ac:dyDescent="0.2">
      <c r="A2682" s="2">
        <v>2025</v>
      </c>
      <c r="B2682" s="2">
        <v>9</v>
      </c>
      <c r="D2682" s="2" t="s">
        <v>1029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1030</v>
      </c>
      <c r="J2682" s="2" t="s">
        <v>1031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0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7"/>
        <v>0</v>
      </c>
      <c r="AJ2682" s="2">
        <f t="shared" si="298"/>
        <v>0</v>
      </c>
      <c r="AK2682" s="2">
        <f t="shared" si="299"/>
        <v>278</v>
      </c>
      <c r="AL2682" s="5">
        <f t="shared" si="301"/>
        <v>0.4</v>
      </c>
    </row>
    <row r="2683" spans="1:38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1336</v>
      </c>
      <c r="R2683" s="2" t="s">
        <v>1337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0"/>
        <v>1</v>
      </c>
      <c r="AF2683" s="2">
        <f t="shared" si="297"/>
        <v>0</v>
      </c>
      <c r="AJ2683" s="2">
        <f t="shared" si="298"/>
        <v>0</v>
      </c>
      <c r="AK2683" s="2">
        <f t="shared" si="299"/>
        <v>65.510000000000005</v>
      </c>
      <c r="AL2683" s="5">
        <f t="shared" si="301"/>
        <v>1</v>
      </c>
    </row>
    <row r="2684" spans="1:38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0"/>
        <v>0.59999999999999987</v>
      </c>
      <c r="Z2684" s="2" t="s">
        <v>118</v>
      </c>
      <c r="AA2684" s="2" t="s">
        <v>191</v>
      </c>
      <c r="AF2684" s="2">
        <f t="shared" si="297"/>
        <v>0</v>
      </c>
      <c r="AJ2684" s="2">
        <f t="shared" si="298"/>
        <v>0</v>
      </c>
      <c r="AK2684" s="2">
        <f t="shared" si="299"/>
        <v>42.599999999999994</v>
      </c>
      <c r="AL2684" s="5">
        <f t="shared" si="301"/>
        <v>0.59999999999999987</v>
      </c>
    </row>
    <row r="2685" spans="1:38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0"/>
        <v>0.5</v>
      </c>
      <c r="Z2685" s="2" t="s">
        <v>118</v>
      </c>
      <c r="AA2685" s="2" t="s">
        <v>191</v>
      </c>
      <c r="AF2685" s="2">
        <f t="shared" si="297"/>
        <v>0</v>
      </c>
      <c r="AJ2685" s="2">
        <f t="shared" si="298"/>
        <v>0</v>
      </c>
      <c r="AK2685" s="2">
        <f t="shared" si="299"/>
        <v>25</v>
      </c>
      <c r="AL2685" s="5">
        <f t="shared" si="301"/>
        <v>0.5</v>
      </c>
    </row>
    <row r="2686" spans="1:38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0"/>
        <v>1</v>
      </c>
      <c r="Z2686" s="2" t="s">
        <v>120</v>
      </c>
      <c r="AA2686" s="2" t="s">
        <v>3392</v>
      </c>
      <c r="AF2686" s="2">
        <f t="shared" si="297"/>
        <v>0</v>
      </c>
      <c r="AJ2686" s="2">
        <f t="shared" si="298"/>
        <v>0</v>
      </c>
      <c r="AK2686" s="2">
        <f t="shared" si="299"/>
        <v>99.75</v>
      </c>
      <c r="AL2686" s="5">
        <f t="shared" si="301"/>
        <v>1</v>
      </c>
    </row>
    <row r="2687" spans="1:38" x14ac:dyDescent="0.2">
      <c r="A2687" s="2">
        <v>2025</v>
      </c>
      <c r="B2687" s="2">
        <v>9</v>
      </c>
      <c r="D2687" s="2" t="s">
        <v>2246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0"/>
        <v>1</v>
      </c>
      <c r="AF2687" s="2">
        <f t="shared" si="297"/>
        <v>0</v>
      </c>
      <c r="AJ2687" s="2">
        <f t="shared" si="298"/>
        <v>0</v>
      </c>
      <c r="AK2687" s="2">
        <f t="shared" si="299"/>
        <v>234.11</v>
      </c>
      <c r="AL2687" s="5">
        <f t="shared" si="301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0"/>
        <v>0.4</v>
      </c>
      <c r="Z2688" s="2" t="s">
        <v>3237</v>
      </c>
      <c r="AA2688" s="2" t="s">
        <v>46</v>
      </c>
      <c r="AB2688" s="2" t="s">
        <v>61</v>
      </c>
      <c r="AC2688" s="2" t="s">
        <v>3343</v>
      </c>
      <c r="AF2688" s="2">
        <f t="shared" si="297"/>
        <v>0</v>
      </c>
      <c r="AJ2688" s="2">
        <f t="shared" si="298"/>
        <v>0</v>
      </c>
      <c r="AK2688" s="2">
        <f t="shared" si="299"/>
        <v>92.800000000000011</v>
      </c>
      <c r="AL2688" s="5">
        <f t="shared" si="301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0"/>
        <v>1</v>
      </c>
      <c r="Z2689" s="2" t="s">
        <v>3237</v>
      </c>
      <c r="AA2689" s="2" t="s">
        <v>46</v>
      </c>
      <c r="AB2689" s="2" t="s">
        <v>57</v>
      </c>
      <c r="AC2689" s="2" t="s">
        <v>58</v>
      </c>
      <c r="AF2689" s="2">
        <f t="shared" si="297"/>
        <v>0</v>
      </c>
      <c r="AJ2689" s="2">
        <f t="shared" si="298"/>
        <v>0</v>
      </c>
      <c r="AK2689" s="2">
        <f t="shared" si="299"/>
        <v>28.8</v>
      </c>
      <c r="AL2689" s="5">
        <f t="shared" si="301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0"/>
        <v>1</v>
      </c>
      <c r="Z2690" s="2" t="s">
        <v>3237</v>
      </c>
      <c r="AA2690" s="2" t="s">
        <v>46</v>
      </c>
      <c r="AB2690" s="2" t="s">
        <v>57</v>
      </c>
      <c r="AC2690" s="2" t="s">
        <v>58</v>
      </c>
      <c r="AF2690" s="2">
        <f t="shared" si="297"/>
        <v>0</v>
      </c>
      <c r="AJ2690" s="2">
        <f t="shared" si="298"/>
        <v>0</v>
      </c>
      <c r="AK2690" s="2">
        <f t="shared" si="299"/>
        <v>24</v>
      </c>
      <c r="AL2690" s="5">
        <f t="shared" si="301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0"/>
        <v>1</v>
      </c>
      <c r="Z2691" s="2" t="s">
        <v>3237</v>
      </c>
      <c r="AA2691" s="2" t="s">
        <v>46</v>
      </c>
      <c r="AB2691" s="2" t="s">
        <v>57</v>
      </c>
      <c r="AC2691" s="2" t="s">
        <v>58</v>
      </c>
      <c r="AF2691" s="2">
        <f t="shared" ref="AF2691:AF2754" si="302">AJ2691</f>
        <v>0</v>
      </c>
      <c r="AJ2691" s="2">
        <f t="shared" ref="AJ2691:AJ2754" si="303">AI2691*T2691</f>
        <v>0</v>
      </c>
      <c r="AK2691" s="2">
        <f t="shared" ref="AK2691:AK2754" si="304">T2691-W2691</f>
        <v>16.8</v>
      </c>
      <c r="AL2691" s="5">
        <f t="shared" si="301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0"/>
        <v>0.25454545454545452</v>
      </c>
      <c r="Z2692" s="2" t="s">
        <v>3237</v>
      </c>
      <c r="AA2692" s="2" t="s">
        <v>46</v>
      </c>
      <c r="AB2692" s="2" t="s">
        <v>61</v>
      </c>
      <c r="AC2692" s="2" t="s">
        <v>58</v>
      </c>
      <c r="AF2692" s="2">
        <f t="shared" si="302"/>
        <v>0</v>
      </c>
      <c r="AG2692" s="2">
        <v>8.1999999999999993</v>
      </c>
      <c r="AH2692" s="2">
        <v>13</v>
      </c>
      <c r="AJ2692" s="2">
        <f t="shared" si="303"/>
        <v>0</v>
      </c>
      <c r="AK2692" s="2">
        <f t="shared" si="304"/>
        <v>28</v>
      </c>
      <c r="AL2692" s="5">
        <f t="shared" si="301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0"/>
        <v>0.46722222222222221</v>
      </c>
      <c r="Z2693" s="2" t="s">
        <v>3237</v>
      </c>
      <c r="AA2693" s="2" t="s">
        <v>46</v>
      </c>
      <c r="AB2693" s="2" t="s">
        <v>61</v>
      </c>
      <c r="AC2693" s="2" t="s">
        <v>58</v>
      </c>
      <c r="AF2693" s="2">
        <f t="shared" si="302"/>
        <v>0</v>
      </c>
      <c r="AJ2693" s="2">
        <f t="shared" si="303"/>
        <v>0</v>
      </c>
      <c r="AK2693" s="2">
        <f t="shared" si="304"/>
        <v>8.41</v>
      </c>
      <c r="AL2693" s="5">
        <f t="shared" si="301"/>
        <v>0.46722222222222221</v>
      </c>
    </row>
    <row r="2694" spans="1:38" x14ac:dyDescent="0.2">
      <c r="A2694" s="2">
        <v>2025</v>
      </c>
      <c r="B2694" s="2">
        <v>9</v>
      </c>
      <c r="D2694" s="2" t="s">
        <v>1580</v>
      </c>
      <c r="E2694" s="2" t="s">
        <v>754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2247</v>
      </c>
      <c r="R2694" s="2" t="s">
        <v>2248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0"/>
        <v>1</v>
      </c>
      <c r="Z2694" s="2" t="s">
        <v>105</v>
      </c>
      <c r="AA2694" s="2" t="s">
        <v>1581</v>
      </c>
      <c r="AB2694" s="2" t="s">
        <v>389</v>
      </c>
      <c r="AC2694" s="2" t="s">
        <v>1331</v>
      </c>
      <c r="AF2694" s="2">
        <f t="shared" si="302"/>
        <v>0</v>
      </c>
      <c r="AJ2694" s="2">
        <f t="shared" si="303"/>
        <v>0</v>
      </c>
      <c r="AK2694" s="2">
        <f t="shared" si="304"/>
        <v>160</v>
      </c>
      <c r="AL2694" s="5">
        <f t="shared" si="301"/>
        <v>1</v>
      </c>
    </row>
    <row r="2695" spans="1:38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0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2"/>
        <v>0</v>
      </c>
      <c r="AJ2695" s="2">
        <f t="shared" si="303"/>
        <v>0</v>
      </c>
      <c r="AK2695" s="2">
        <f t="shared" si="304"/>
        <v>4330.6000000000004</v>
      </c>
      <c r="AL2695" s="5">
        <f t="shared" si="301"/>
        <v>0.28870666666666667</v>
      </c>
    </row>
    <row r="2696" spans="1:38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1197</v>
      </c>
      <c r="Q2696" s="2" t="s">
        <v>2249</v>
      </c>
      <c r="R2696" s="2" t="s">
        <v>2250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0"/>
        <v>1</v>
      </c>
      <c r="Z2696" s="2" t="s">
        <v>105</v>
      </c>
      <c r="AA2696" s="2" t="s">
        <v>1202</v>
      </c>
      <c r="AB2696" s="2" t="s">
        <v>120</v>
      </c>
      <c r="AC2696" s="2" t="s">
        <v>1197</v>
      </c>
      <c r="AF2696" s="2">
        <f t="shared" si="302"/>
        <v>0</v>
      </c>
      <c r="AJ2696" s="2">
        <f t="shared" si="303"/>
        <v>0</v>
      </c>
      <c r="AK2696" s="2">
        <f t="shared" si="304"/>
        <v>2400</v>
      </c>
      <c r="AL2696" s="5">
        <f t="shared" si="301"/>
        <v>1</v>
      </c>
    </row>
    <row r="2697" spans="1:38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0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2"/>
        <v>0</v>
      </c>
      <c r="AJ2697" s="2">
        <f t="shared" si="303"/>
        <v>0</v>
      </c>
      <c r="AK2697" s="2">
        <f t="shared" si="304"/>
        <v>57.15</v>
      </c>
      <c r="AL2697" s="5">
        <f t="shared" si="301"/>
        <v>1</v>
      </c>
    </row>
    <row r="2698" spans="1:38" x14ac:dyDescent="0.2">
      <c r="A2698" s="2">
        <v>2025</v>
      </c>
      <c r="B2698" s="2">
        <v>9</v>
      </c>
      <c r="D2698" s="2" t="s">
        <v>2251</v>
      </c>
      <c r="P2698" s="2" t="s">
        <v>73</v>
      </c>
      <c r="Q2698" s="2" t="s">
        <v>1394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0"/>
        <v>0.4797142857142857</v>
      </c>
      <c r="Z2698" s="2" t="s">
        <v>3237</v>
      </c>
      <c r="AA2698" s="2" t="s">
        <v>76</v>
      </c>
      <c r="AB2698" s="2" t="s">
        <v>77</v>
      </c>
      <c r="AC2698" s="2" t="s">
        <v>78</v>
      </c>
      <c r="AF2698" s="2">
        <f t="shared" si="302"/>
        <v>0</v>
      </c>
      <c r="AJ2698" s="2">
        <f t="shared" si="303"/>
        <v>0</v>
      </c>
      <c r="AK2698" s="2">
        <f t="shared" si="304"/>
        <v>100.74</v>
      </c>
      <c r="AL2698" s="5">
        <f t="shared" si="301"/>
        <v>0.4797142857142857</v>
      </c>
    </row>
    <row r="2699" spans="1:38" x14ac:dyDescent="0.2">
      <c r="A2699" s="2">
        <v>2025</v>
      </c>
      <c r="B2699" s="2">
        <v>9</v>
      </c>
      <c r="D2699" s="2" t="s">
        <v>2251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0"/>
        <v>0</v>
      </c>
      <c r="Z2699" s="2" t="s">
        <v>3237</v>
      </c>
      <c r="AA2699" s="2" t="s">
        <v>97</v>
      </c>
      <c r="AB2699" s="2" t="s">
        <v>77</v>
      </c>
      <c r="AC2699" s="2" t="s">
        <v>94</v>
      </c>
      <c r="AF2699" s="2">
        <f t="shared" si="302"/>
        <v>0</v>
      </c>
      <c r="AJ2699" s="2">
        <f t="shared" si="303"/>
        <v>0</v>
      </c>
      <c r="AK2699" s="2">
        <f t="shared" si="304"/>
        <v>0</v>
      </c>
      <c r="AL2699" s="5">
        <f t="shared" si="301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3157</v>
      </c>
      <c r="P2700" s="2" t="s">
        <v>1041</v>
      </c>
      <c r="Q2700" s="2" t="s">
        <v>1042</v>
      </c>
      <c r="R2700" s="2" t="s">
        <v>1043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0"/>
        <v>0.26017220172201722</v>
      </c>
      <c r="Z2700" s="2" t="s">
        <v>3237</v>
      </c>
      <c r="AA2700" s="2" t="s">
        <v>1044</v>
      </c>
      <c r="AB2700" s="2" t="s">
        <v>1045</v>
      </c>
      <c r="AC2700" s="2" t="s">
        <v>1041</v>
      </c>
      <c r="AF2700" s="2">
        <f t="shared" si="302"/>
        <v>0</v>
      </c>
      <c r="AG2700" s="2">
        <v>150.37</v>
      </c>
      <c r="AJ2700" s="2">
        <f t="shared" si="303"/>
        <v>0</v>
      </c>
      <c r="AK2700" s="2">
        <f t="shared" si="304"/>
        <v>52.879999999999995</v>
      </c>
      <c r="AL2700" s="5">
        <f t="shared" si="301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0"/>
        <v>0.23333333333333334</v>
      </c>
      <c r="Z2701" s="2" t="s">
        <v>170</v>
      </c>
      <c r="AA2701" s="2" t="s">
        <v>170</v>
      </c>
      <c r="AF2701" s="2">
        <f t="shared" si="302"/>
        <v>0</v>
      </c>
      <c r="AJ2701" s="2">
        <f t="shared" si="303"/>
        <v>0</v>
      </c>
      <c r="AK2701" s="2">
        <f t="shared" si="304"/>
        <v>7</v>
      </c>
      <c r="AL2701" s="5">
        <f t="shared" si="301"/>
        <v>0.23333333333333334</v>
      </c>
    </row>
    <row r="2702" spans="1:38" x14ac:dyDescent="0.2">
      <c r="A2702" s="2">
        <v>2025</v>
      </c>
      <c r="B2702" s="2">
        <v>9</v>
      </c>
      <c r="D2702" s="2" t="s">
        <v>2252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0"/>
        <v>0.4575909090909091</v>
      </c>
      <c r="Z2702" s="2" t="s">
        <v>3237</v>
      </c>
      <c r="AA2702" s="2" t="s">
        <v>76</v>
      </c>
      <c r="AB2702" s="2" t="s">
        <v>77</v>
      </c>
      <c r="AC2702" s="2" t="s">
        <v>78</v>
      </c>
      <c r="AF2702" s="2">
        <f t="shared" si="302"/>
        <v>0</v>
      </c>
      <c r="AG2702" s="2">
        <v>119.33</v>
      </c>
      <c r="AH2702" s="2">
        <v>220</v>
      </c>
      <c r="AJ2702" s="2">
        <f t="shared" si="303"/>
        <v>0</v>
      </c>
      <c r="AK2702" s="2">
        <f t="shared" si="304"/>
        <v>100.67</v>
      </c>
      <c r="AL2702" s="5">
        <f t="shared" si="301"/>
        <v>0.4575909090909091</v>
      </c>
    </row>
    <row r="2703" spans="1:38" x14ac:dyDescent="0.2">
      <c r="A2703" s="2">
        <v>2025</v>
      </c>
      <c r="B2703" s="2">
        <v>9</v>
      </c>
      <c r="D2703" s="2" t="s">
        <v>2252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0"/>
        <v>0</v>
      </c>
      <c r="Z2703" s="2" t="s">
        <v>3237</v>
      </c>
      <c r="AA2703" s="2" t="s">
        <v>97</v>
      </c>
      <c r="AB2703" s="2" t="s">
        <v>77</v>
      </c>
      <c r="AC2703" s="2" t="s">
        <v>94</v>
      </c>
      <c r="AF2703" s="2">
        <f t="shared" si="302"/>
        <v>0</v>
      </c>
      <c r="AJ2703" s="2">
        <f t="shared" si="303"/>
        <v>0</v>
      </c>
      <c r="AK2703" s="2">
        <f t="shared" si="304"/>
        <v>0</v>
      </c>
      <c r="AL2703" s="5">
        <f t="shared" si="301"/>
        <v>0</v>
      </c>
    </row>
    <row r="2704" spans="1:38" x14ac:dyDescent="0.2">
      <c r="A2704" s="2">
        <v>2025</v>
      </c>
      <c r="B2704" s="2">
        <v>9</v>
      </c>
      <c r="D2704" s="2" t="s">
        <v>1259</v>
      </c>
      <c r="G2704" s="2">
        <v>513777377</v>
      </c>
      <c r="M2704" s="2" t="s">
        <v>81</v>
      </c>
      <c r="O2704" s="2" t="s">
        <v>3175</v>
      </c>
      <c r="P2704" s="2" t="s">
        <v>1041</v>
      </c>
      <c r="Q2704" s="2" t="s">
        <v>2253</v>
      </c>
      <c r="R2704" s="2" t="s">
        <v>2254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0"/>
        <v>0.36376085476953862</v>
      </c>
      <c r="Z2704" s="2" t="s">
        <v>3237</v>
      </c>
      <c r="AA2704" s="2" t="s">
        <v>1044</v>
      </c>
      <c r="AB2704" s="2" t="s">
        <v>2255</v>
      </c>
      <c r="AC2704" s="2" t="s">
        <v>1041</v>
      </c>
      <c r="AF2704" s="2">
        <f t="shared" si="302"/>
        <v>0</v>
      </c>
      <c r="AJ2704" s="2">
        <f t="shared" si="303"/>
        <v>0</v>
      </c>
      <c r="AK2704" s="2">
        <f t="shared" si="304"/>
        <v>443.61</v>
      </c>
      <c r="AL2704" s="5">
        <f t="shared" si="301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0"/>
        <v>1</v>
      </c>
      <c r="Z2705" s="2" t="s">
        <v>120</v>
      </c>
      <c r="AA2705" s="2" t="s">
        <v>493</v>
      </c>
      <c r="AF2705" s="2">
        <f t="shared" si="302"/>
        <v>0</v>
      </c>
      <c r="AJ2705" s="2">
        <f t="shared" si="303"/>
        <v>0</v>
      </c>
      <c r="AK2705" s="2">
        <f t="shared" si="304"/>
        <v>664.04</v>
      </c>
      <c r="AL2705" s="5">
        <f t="shared" si="301"/>
        <v>1</v>
      </c>
    </row>
    <row r="2706" spans="1:38" x14ac:dyDescent="0.2">
      <c r="A2706" s="2">
        <v>2025</v>
      </c>
      <c r="B2706" s="2">
        <v>9</v>
      </c>
      <c r="D2706" s="2" t="s">
        <v>2256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0"/>
        <v>0.44777500000000003</v>
      </c>
      <c r="Z2706" s="2" t="s">
        <v>3237</v>
      </c>
      <c r="AA2706" s="2" t="s">
        <v>46</v>
      </c>
      <c r="AB2706" s="2" t="s">
        <v>47</v>
      </c>
      <c r="AC2706" s="2" t="s">
        <v>48</v>
      </c>
      <c r="AF2706" s="2">
        <f t="shared" si="302"/>
        <v>0</v>
      </c>
      <c r="AG2706" s="2">
        <v>6.6266999999999996</v>
      </c>
      <c r="AH2706" s="2">
        <v>12</v>
      </c>
      <c r="AJ2706" s="2">
        <f t="shared" si="303"/>
        <v>0</v>
      </c>
      <c r="AK2706" s="2">
        <f t="shared" si="304"/>
        <v>5.3733000000000004</v>
      </c>
      <c r="AL2706" s="5">
        <f t="shared" si="301"/>
        <v>0.44777500000000003</v>
      </c>
    </row>
    <row r="2707" spans="1:38" x14ac:dyDescent="0.2">
      <c r="A2707" s="2">
        <v>2025</v>
      </c>
      <c r="B2707" s="2">
        <v>9</v>
      </c>
      <c r="D2707" s="2" t="s">
        <v>2256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0"/>
        <v>0.52105128205128204</v>
      </c>
      <c r="Z2707" s="2" t="s">
        <v>3237</v>
      </c>
      <c r="AA2707" s="2" t="s">
        <v>46</v>
      </c>
      <c r="AB2707" s="2" t="s">
        <v>47</v>
      </c>
      <c r="AC2707" s="2" t="s">
        <v>48</v>
      </c>
      <c r="AF2707" s="2">
        <f t="shared" si="302"/>
        <v>0</v>
      </c>
      <c r="AG2707" s="2">
        <v>3.7357999999999998</v>
      </c>
      <c r="AH2707" s="2">
        <v>9</v>
      </c>
      <c r="AJ2707" s="2">
        <f t="shared" si="303"/>
        <v>0</v>
      </c>
      <c r="AK2707" s="2">
        <f t="shared" si="304"/>
        <v>4.0641999999999996</v>
      </c>
      <c r="AL2707" s="5">
        <f t="shared" si="301"/>
        <v>0.52105128205128204</v>
      </c>
    </row>
    <row r="2708" spans="1:38" x14ac:dyDescent="0.2">
      <c r="A2708" s="2">
        <v>2025</v>
      </c>
      <c r="B2708" s="2">
        <v>9</v>
      </c>
      <c r="D2708" s="2" t="s">
        <v>2257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0"/>
        <v>1</v>
      </c>
      <c r="Z2708" s="2" t="s">
        <v>118</v>
      </c>
      <c r="AF2708" s="2">
        <f t="shared" si="302"/>
        <v>0</v>
      </c>
      <c r="AJ2708" s="2">
        <f t="shared" si="303"/>
        <v>0</v>
      </c>
      <c r="AK2708" s="2">
        <f t="shared" si="304"/>
        <v>65.72</v>
      </c>
      <c r="AL2708" s="5">
        <f t="shared" si="301"/>
        <v>1</v>
      </c>
    </row>
    <row r="2709" spans="1:38" x14ac:dyDescent="0.2">
      <c r="A2709" s="2">
        <v>2025</v>
      </c>
      <c r="B2709" s="2">
        <v>9</v>
      </c>
      <c r="D2709" s="2" t="s">
        <v>2257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0"/>
        <v>0.5</v>
      </c>
      <c r="Z2709" s="2" t="s">
        <v>118</v>
      </c>
      <c r="AA2709" s="2" t="s">
        <v>191</v>
      </c>
      <c r="AF2709" s="2">
        <f t="shared" si="302"/>
        <v>0</v>
      </c>
      <c r="AJ2709" s="2">
        <f t="shared" si="303"/>
        <v>0</v>
      </c>
      <c r="AK2709" s="2">
        <f t="shared" si="304"/>
        <v>22.5</v>
      </c>
      <c r="AL2709" s="5">
        <f t="shared" si="301"/>
        <v>0.5</v>
      </c>
    </row>
    <row r="2710" spans="1:38" x14ac:dyDescent="0.2">
      <c r="A2710" s="2">
        <v>2025</v>
      </c>
      <c r="B2710" s="2">
        <v>9</v>
      </c>
      <c r="D2710" s="2" t="s">
        <v>2257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0"/>
        <v>1</v>
      </c>
      <c r="Z2710" s="2" t="s">
        <v>120</v>
      </c>
      <c r="AA2710" s="2" t="s">
        <v>3392</v>
      </c>
      <c r="AF2710" s="2">
        <f t="shared" si="302"/>
        <v>0</v>
      </c>
      <c r="AJ2710" s="2">
        <f t="shared" si="303"/>
        <v>0</v>
      </c>
      <c r="AK2710" s="2">
        <f t="shared" si="304"/>
        <v>418.99</v>
      </c>
      <c r="AL2710" s="5">
        <f t="shared" si="301"/>
        <v>1</v>
      </c>
    </row>
    <row r="2711" spans="1:38" x14ac:dyDescent="0.2">
      <c r="A2711" s="2">
        <v>2025</v>
      </c>
      <c r="B2711" s="2">
        <v>9</v>
      </c>
      <c r="D2711" s="2" t="s">
        <v>1401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3227</v>
      </c>
      <c r="J2711" s="2" t="s">
        <v>3226</v>
      </c>
      <c r="K2711" s="2">
        <v>913814877</v>
      </c>
      <c r="L2711" s="2" t="s">
        <v>202</v>
      </c>
      <c r="M2711" s="2" t="s">
        <v>81</v>
      </c>
      <c r="O2711" s="2" t="s">
        <v>3220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0"/>
        <v>0.41111111111111115</v>
      </c>
      <c r="Z2711" s="2" t="s">
        <v>3237</v>
      </c>
      <c r="AA2711" s="2" t="s">
        <v>46</v>
      </c>
      <c r="AB2711" s="2" t="s">
        <v>57</v>
      </c>
      <c r="AC2711" s="2" t="s">
        <v>58</v>
      </c>
      <c r="AF2711" s="2">
        <f t="shared" si="302"/>
        <v>0</v>
      </c>
      <c r="AG2711" s="2">
        <v>10.6</v>
      </c>
      <c r="AH2711" s="2">
        <v>18</v>
      </c>
      <c r="AJ2711" s="2">
        <f t="shared" si="303"/>
        <v>0</v>
      </c>
      <c r="AK2711" s="2">
        <f t="shared" si="304"/>
        <v>22.200000000000003</v>
      </c>
      <c r="AL2711" s="5">
        <f t="shared" si="301"/>
        <v>0.41111111111111115</v>
      </c>
    </row>
    <row r="2712" spans="1:38" x14ac:dyDescent="0.2">
      <c r="A2712" s="2">
        <v>2025</v>
      </c>
      <c r="B2712" s="2">
        <v>9</v>
      </c>
      <c r="D2712" s="2" t="s">
        <v>1401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3227</v>
      </c>
      <c r="J2712" s="2" t="s">
        <v>3226</v>
      </c>
      <c r="K2712" s="2">
        <v>913814877</v>
      </c>
      <c r="L2712" s="2" t="s">
        <v>202</v>
      </c>
      <c r="M2712" s="2" t="s">
        <v>81</v>
      </c>
      <c r="O2712" s="2" t="s">
        <v>3220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0"/>
        <v>1</v>
      </c>
      <c r="Z2712" s="2" t="s">
        <v>170</v>
      </c>
      <c r="AA2712" s="2" t="s">
        <v>170</v>
      </c>
      <c r="AF2712" s="2">
        <f t="shared" si="302"/>
        <v>0</v>
      </c>
      <c r="AJ2712" s="2">
        <f t="shared" si="303"/>
        <v>0</v>
      </c>
      <c r="AK2712" s="2">
        <f t="shared" si="304"/>
        <v>8.5</v>
      </c>
      <c r="AL2712" s="5">
        <f t="shared" si="301"/>
        <v>1</v>
      </c>
    </row>
    <row r="2713" spans="1:38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2258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0"/>
        <v>0.45448148148148149</v>
      </c>
      <c r="Z2713" s="2" t="s">
        <v>3237</v>
      </c>
      <c r="AA2713" s="2" t="s">
        <v>76</v>
      </c>
      <c r="AB2713" s="2" t="s">
        <v>77</v>
      </c>
      <c r="AC2713" s="2" t="s">
        <v>78</v>
      </c>
      <c r="AF2713" s="2">
        <f t="shared" si="302"/>
        <v>0</v>
      </c>
      <c r="AJ2713" s="2">
        <f t="shared" si="303"/>
        <v>0</v>
      </c>
      <c r="AK2713" s="2">
        <f t="shared" si="304"/>
        <v>122.71000000000001</v>
      </c>
      <c r="AL2713" s="5">
        <f t="shared" si="301"/>
        <v>0.45448148148148149</v>
      </c>
    </row>
    <row r="2714" spans="1:38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0"/>
        <v>0</v>
      </c>
      <c r="Z2714" s="2" t="s">
        <v>3237</v>
      </c>
      <c r="AA2714" s="2" t="s">
        <v>97</v>
      </c>
      <c r="AB2714" s="2" t="s">
        <v>77</v>
      </c>
      <c r="AC2714" s="2" t="s">
        <v>94</v>
      </c>
      <c r="AF2714" s="2">
        <f t="shared" si="302"/>
        <v>0</v>
      </c>
      <c r="AJ2714" s="2">
        <f t="shared" si="303"/>
        <v>0</v>
      </c>
      <c r="AK2714" s="2">
        <f t="shared" si="304"/>
        <v>0</v>
      </c>
      <c r="AL2714" s="5">
        <f t="shared" si="301"/>
        <v>0</v>
      </c>
    </row>
    <row r="2715" spans="1:38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2259</v>
      </c>
      <c r="P2715" s="2" t="s">
        <v>283</v>
      </c>
      <c r="Q2715" s="2" t="s">
        <v>2260</v>
      </c>
      <c r="R2715" s="2" t="s">
        <v>2261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0"/>
        <v>0.34111111111111114</v>
      </c>
      <c r="Z2715" s="2" t="s">
        <v>3237</v>
      </c>
      <c r="AA2715" s="2" t="s">
        <v>72</v>
      </c>
      <c r="AB2715" s="2" t="s">
        <v>120</v>
      </c>
      <c r="AC2715" s="2" t="s">
        <v>120</v>
      </c>
      <c r="AF2715" s="2">
        <f t="shared" si="302"/>
        <v>0</v>
      </c>
      <c r="AG2715" s="2">
        <v>5.93</v>
      </c>
      <c r="AJ2715" s="2">
        <f t="shared" si="303"/>
        <v>0</v>
      </c>
      <c r="AK2715" s="2">
        <f t="shared" si="304"/>
        <v>3.0700000000000003</v>
      </c>
      <c r="AL2715" s="5">
        <f t="shared" si="301"/>
        <v>0.34111111111111114</v>
      </c>
    </row>
    <row r="2716" spans="1:38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2259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0"/>
        <v>0.53037634408602152</v>
      </c>
      <c r="Z2716" s="2" t="s">
        <v>3237</v>
      </c>
      <c r="AA2716" s="2" t="s">
        <v>46</v>
      </c>
      <c r="AB2716" s="2" t="s">
        <v>47</v>
      </c>
      <c r="AC2716" s="2" t="s">
        <v>48</v>
      </c>
      <c r="AF2716" s="2">
        <f t="shared" si="302"/>
        <v>0</v>
      </c>
      <c r="AJ2716" s="2">
        <f t="shared" si="303"/>
        <v>0</v>
      </c>
      <c r="AK2716" s="2">
        <f t="shared" si="304"/>
        <v>9.865000000000002</v>
      </c>
      <c r="AL2716" s="5">
        <f t="shared" si="301"/>
        <v>0.53037634408602152</v>
      </c>
    </row>
    <row r="2717" spans="1:38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2259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5">(T2717-W2717)/T2717</f>
        <v>0.44777500000000003</v>
      </c>
      <c r="Z2717" s="2" t="s">
        <v>3237</v>
      </c>
      <c r="AA2717" s="2" t="s">
        <v>46</v>
      </c>
      <c r="AB2717" s="2" t="s">
        <v>47</v>
      </c>
      <c r="AC2717" s="2" t="s">
        <v>48</v>
      </c>
      <c r="AF2717" s="2">
        <f t="shared" si="302"/>
        <v>0</v>
      </c>
      <c r="AG2717" s="2">
        <v>6.6266999999999996</v>
      </c>
      <c r="AH2717" s="2">
        <v>12</v>
      </c>
      <c r="AJ2717" s="2">
        <f t="shared" si="303"/>
        <v>0</v>
      </c>
      <c r="AK2717" s="2">
        <f t="shared" si="304"/>
        <v>10.746600000000001</v>
      </c>
      <c r="AL2717" s="5">
        <f t="shared" ref="AL2717:AL2773" si="306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2259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5"/>
        <v>0.24999999999999994</v>
      </c>
      <c r="Z2718" s="2" t="s">
        <v>3237</v>
      </c>
      <c r="AA2718" s="2" t="s">
        <v>46</v>
      </c>
      <c r="AB2718" s="2" t="s">
        <v>47</v>
      </c>
      <c r="AC2718" s="2" t="s">
        <v>48</v>
      </c>
      <c r="AF2718" s="2">
        <f t="shared" si="302"/>
        <v>0</v>
      </c>
      <c r="AG2718" s="2">
        <v>10.2346</v>
      </c>
      <c r="AH2718" s="2">
        <v>18</v>
      </c>
      <c r="AJ2718" s="2">
        <f t="shared" si="303"/>
        <v>0</v>
      </c>
      <c r="AK2718" s="2">
        <f t="shared" si="304"/>
        <v>4.7999999999999989</v>
      </c>
      <c r="AL2718" s="5">
        <f t="shared" si="306"/>
        <v>0.24999999999999994</v>
      </c>
    </row>
    <row r="2719" spans="1:38" x14ac:dyDescent="0.2">
      <c r="A2719" s="2">
        <v>2025</v>
      </c>
      <c r="B2719" s="2">
        <v>9</v>
      </c>
      <c r="D2719" s="2" t="s">
        <v>1056</v>
      </c>
      <c r="E2719" s="2" t="s">
        <v>184</v>
      </c>
      <c r="F2719" s="2" t="s">
        <v>1057</v>
      </c>
      <c r="G2719" s="2">
        <v>500199523</v>
      </c>
      <c r="H2719" s="2" t="s">
        <v>291</v>
      </c>
      <c r="I2719" s="2" t="s">
        <v>294</v>
      </c>
      <c r="J2719" s="2" t="s">
        <v>1058</v>
      </c>
      <c r="L2719" s="2" t="s">
        <v>294</v>
      </c>
      <c r="M2719" s="2" t="s">
        <v>81</v>
      </c>
      <c r="O2719" s="2" t="s">
        <v>2262</v>
      </c>
      <c r="P2719" s="2" t="s">
        <v>73</v>
      </c>
      <c r="Q2719" s="2" t="s">
        <v>1452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5"/>
        <v>0.44201375000000004</v>
      </c>
      <c r="Z2719" s="2" t="s">
        <v>3237</v>
      </c>
      <c r="AA2719" s="2" t="s">
        <v>76</v>
      </c>
      <c r="AB2719" s="2" t="s">
        <v>77</v>
      </c>
      <c r="AC2719" s="2" t="s">
        <v>78</v>
      </c>
      <c r="AF2719" s="2">
        <f t="shared" si="302"/>
        <v>0</v>
      </c>
      <c r="AG2719" s="2">
        <v>133.91669999999999</v>
      </c>
      <c r="AJ2719" s="2">
        <f t="shared" si="303"/>
        <v>0</v>
      </c>
      <c r="AK2719" s="2">
        <f t="shared" si="304"/>
        <v>106.08330000000001</v>
      </c>
      <c r="AL2719" s="5">
        <f t="shared" si="306"/>
        <v>0.44201375000000004</v>
      </c>
    </row>
    <row r="2720" spans="1:38" x14ac:dyDescent="0.2">
      <c r="A2720" s="2">
        <v>2025</v>
      </c>
      <c r="B2720" s="2">
        <v>9</v>
      </c>
      <c r="D2720" s="2" t="s">
        <v>1056</v>
      </c>
      <c r="E2720" s="2" t="s">
        <v>184</v>
      </c>
      <c r="F2720" s="2" t="s">
        <v>1057</v>
      </c>
      <c r="G2720" s="2">
        <v>500199523</v>
      </c>
      <c r="H2720" s="2" t="s">
        <v>291</v>
      </c>
      <c r="I2720" s="2" t="s">
        <v>294</v>
      </c>
      <c r="J2720" s="2" t="s">
        <v>1058</v>
      </c>
      <c r="L2720" s="2" t="s">
        <v>294</v>
      </c>
      <c r="M2720" s="2" t="s">
        <v>81</v>
      </c>
      <c r="O2720" s="2" t="s">
        <v>2263</v>
      </c>
      <c r="P2720" s="2" t="s">
        <v>73</v>
      </c>
      <c r="Q2720" s="2" t="s">
        <v>2264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5"/>
        <v>0.4851428571428571</v>
      </c>
      <c r="Z2720" s="2" t="s">
        <v>3237</v>
      </c>
      <c r="AA2720" s="2" t="s">
        <v>76</v>
      </c>
      <c r="AB2720" s="2" t="s">
        <v>77</v>
      </c>
      <c r="AC2720" s="2" t="s">
        <v>78</v>
      </c>
      <c r="AF2720" s="2">
        <f t="shared" si="302"/>
        <v>0</v>
      </c>
      <c r="AG2720" s="2">
        <v>108.12</v>
      </c>
      <c r="AJ2720" s="2">
        <f t="shared" si="303"/>
        <v>0</v>
      </c>
      <c r="AK2720" s="2">
        <f t="shared" si="304"/>
        <v>101.88</v>
      </c>
      <c r="AL2720" s="5">
        <f t="shared" si="306"/>
        <v>0.4851428571428571</v>
      </c>
    </row>
    <row r="2721" spans="1:38" x14ac:dyDescent="0.2">
      <c r="A2721" s="2">
        <v>2025</v>
      </c>
      <c r="B2721" s="2">
        <v>9</v>
      </c>
      <c r="D2721" s="2" t="s">
        <v>1056</v>
      </c>
      <c r="E2721" s="2" t="s">
        <v>184</v>
      </c>
      <c r="F2721" s="2" t="s">
        <v>1057</v>
      </c>
      <c r="G2721" s="2">
        <v>500199523</v>
      </c>
      <c r="H2721" s="2" t="s">
        <v>291</v>
      </c>
      <c r="I2721" s="2" t="s">
        <v>294</v>
      </c>
      <c r="J2721" s="2" t="s">
        <v>1058</v>
      </c>
      <c r="L2721" s="2" t="s">
        <v>294</v>
      </c>
      <c r="M2721" s="2" t="s">
        <v>81</v>
      </c>
      <c r="O2721" s="2" t="s">
        <v>2265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5"/>
        <v>0</v>
      </c>
      <c r="Z2721" s="2" t="s">
        <v>3237</v>
      </c>
      <c r="AA2721" s="2" t="s">
        <v>97</v>
      </c>
      <c r="AB2721" s="2" t="s">
        <v>77</v>
      </c>
      <c r="AC2721" s="2" t="s">
        <v>94</v>
      </c>
      <c r="AF2721" s="2">
        <f t="shared" si="302"/>
        <v>0</v>
      </c>
      <c r="AJ2721" s="2">
        <f t="shared" si="303"/>
        <v>0</v>
      </c>
      <c r="AK2721" s="2">
        <f t="shared" si="304"/>
        <v>0</v>
      </c>
      <c r="AL2721" s="5">
        <f t="shared" si="306"/>
        <v>0</v>
      </c>
    </row>
    <row r="2722" spans="1:38" x14ac:dyDescent="0.2">
      <c r="A2722" s="2">
        <v>2025</v>
      </c>
      <c r="B2722" s="2">
        <v>9</v>
      </c>
      <c r="D2722" s="2" t="s">
        <v>2266</v>
      </c>
      <c r="P2722" s="2" t="s">
        <v>115</v>
      </c>
      <c r="Q2722" s="16" t="s">
        <v>711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305"/>
        <v>1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2"/>
        <v>0</v>
      </c>
      <c r="AJ2722" s="2">
        <f t="shared" si="303"/>
        <v>0</v>
      </c>
      <c r="AK2722" s="2">
        <f t="shared" si="304"/>
        <v>1790</v>
      </c>
      <c r="AL2722" s="5">
        <f t="shared" si="306"/>
        <v>1</v>
      </c>
    </row>
    <row r="2723" spans="1:38" x14ac:dyDescent="0.2">
      <c r="A2723" s="2">
        <v>2025</v>
      </c>
      <c r="B2723" s="2">
        <v>9</v>
      </c>
      <c r="D2723" s="2" t="s">
        <v>2267</v>
      </c>
      <c r="P2723" s="2" t="s">
        <v>283</v>
      </c>
      <c r="Q2723" s="2" t="s">
        <v>1000</v>
      </c>
      <c r="R2723" s="2" t="s">
        <v>1001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5"/>
        <v>1</v>
      </c>
      <c r="Z2723" s="2" t="s">
        <v>3237</v>
      </c>
      <c r="AF2723" s="2">
        <f t="shared" si="302"/>
        <v>0</v>
      </c>
      <c r="AJ2723" s="2">
        <f t="shared" si="303"/>
        <v>0</v>
      </c>
      <c r="AK2723" s="2">
        <f t="shared" si="304"/>
        <v>119</v>
      </c>
      <c r="AL2723" s="5">
        <f t="shared" si="306"/>
        <v>1</v>
      </c>
    </row>
    <row r="2724" spans="1:38" x14ac:dyDescent="0.2">
      <c r="A2724" s="2">
        <v>2025</v>
      </c>
      <c r="B2724" s="2">
        <v>9</v>
      </c>
      <c r="D2724" s="2" t="s">
        <v>2267</v>
      </c>
      <c r="P2724" s="2" t="s">
        <v>283</v>
      </c>
      <c r="Q2724" s="2" t="s">
        <v>2241</v>
      </c>
      <c r="R2724" s="2" t="s">
        <v>2242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5"/>
        <v>1</v>
      </c>
      <c r="Z2724" s="2" t="s">
        <v>3237</v>
      </c>
      <c r="AF2724" s="2">
        <f t="shared" si="302"/>
        <v>0</v>
      </c>
      <c r="AJ2724" s="2">
        <f t="shared" si="303"/>
        <v>0</v>
      </c>
      <c r="AK2724" s="2">
        <f t="shared" si="304"/>
        <v>12.39</v>
      </c>
      <c r="AL2724" s="5">
        <f t="shared" si="306"/>
        <v>1</v>
      </c>
    </row>
    <row r="2725" spans="1:38" x14ac:dyDescent="0.2">
      <c r="A2725" s="2">
        <v>2025</v>
      </c>
      <c r="B2725" s="2">
        <v>9</v>
      </c>
      <c r="D2725" s="2" t="s">
        <v>2267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2268</v>
      </c>
      <c r="J2725" s="2" t="s">
        <v>2269</v>
      </c>
      <c r="L2725" s="2" t="s">
        <v>419</v>
      </c>
      <c r="M2725" s="2" t="s">
        <v>41</v>
      </c>
      <c r="O2725" s="2" t="s">
        <v>2270</v>
      </c>
      <c r="P2725" s="2" t="s">
        <v>43</v>
      </c>
      <c r="Q2725" s="2" t="s">
        <v>1107</v>
      </c>
      <c r="R2725" s="2" t="s">
        <v>1108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5"/>
        <v>0.4623655913978495</v>
      </c>
      <c r="Z2725" s="2" t="s">
        <v>3237</v>
      </c>
      <c r="AA2725" s="2" t="s">
        <v>46</v>
      </c>
      <c r="AB2725" s="2" t="s">
        <v>47</v>
      </c>
      <c r="AC2725" s="2" t="s">
        <v>48</v>
      </c>
      <c r="AF2725" s="2">
        <f t="shared" si="302"/>
        <v>0</v>
      </c>
      <c r="AG2725" s="2">
        <v>10</v>
      </c>
      <c r="AH2725" s="2">
        <v>21</v>
      </c>
      <c r="AJ2725" s="2">
        <f t="shared" si="303"/>
        <v>0</v>
      </c>
      <c r="AK2725" s="2">
        <f t="shared" si="304"/>
        <v>8.6000000000000014</v>
      </c>
      <c r="AL2725" s="5">
        <f t="shared" si="306"/>
        <v>0.4623655913978495</v>
      </c>
    </row>
    <row r="2726" spans="1:38" x14ac:dyDescent="0.2">
      <c r="A2726" s="2">
        <v>2025</v>
      </c>
      <c r="B2726" s="2">
        <v>9</v>
      </c>
      <c r="D2726" s="2" t="s">
        <v>2267</v>
      </c>
      <c r="M2726" s="2" t="s">
        <v>41</v>
      </c>
      <c r="O2726" s="2" t="s">
        <v>2270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5"/>
        <v>0.42634408602150542</v>
      </c>
      <c r="Z2726" s="2" t="s">
        <v>3237</v>
      </c>
      <c r="AA2726" s="2" t="s">
        <v>46</v>
      </c>
      <c r="AB2726" s="2" t="s">
        <v>47</v>
      </c>
      <c r="AC2726" s="2" t="s">
        <v>48</v>
      </c>
      <c r="AF2726" s="2">
        <f t="shared" si="302"/>
        <v>0</v>
      </c>
      <c r="AG2726" s="2">
        <v>10.67</v>
      </c>
      <c r="AH2726" s="2">
        <v>21</v>
      </c>
      <c r="AJ2726" s="2">
        <f t="shared" si="303"/>
        <v>0</v>
      </c>
      <c r="AK2726" s="2">
        <f t="shared" si="304"/>
        <v>7.9300000000000015</v>
      </c>
      <c r="AL2726" s="5">
        <f t="shared" si="306"/>
        <v>0.42634408602150542</v>
      </c>
    </row>
    <row r="2727" spans="1:38" x14ac:dyDescent="0.2">
      <c r="A2727" s="2">
        <v>2025</v>
      </c>
      <c r="B2727" s="2">
        <v>9</v>
      </c>
      <c r="D2727" s="2" t="s">
        <v>2267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5"/>
        <v>0.49025384615384621</v>
      </c>
      <c r="Z2727" s="2" t="s">
        <v>3237</v>
      </c>
      <c r="AA2727" s="2" t="s">
        <v>46</v>
      </c>
      <c r="AB2727" s="2" t="s">
        <v>47</v>
      </c>
      <c r="AC2727" s="2" t="s">
        <v>48</v>
      </c>
      <c r="AF2727" s="2">
        <f t="shared" si="302"/>
        <v>0</v>
      </c>
      <c r="AG2727" s="2">
        <v>6.6266999999999996</v>
      </c>
      <c r="AH2727" s="2">
        <v>12</v>
      </c>
      <c r="AJ2727" s="2">
        <f t="shared" si="303"/>
        <v>0</v>
      </c>
      <c r="AK2727" s="2">
        <f t="shared" si="304"/>
        <v>6.3733000000000004</v>
      </c>
      <c r="AL2727" s="5">
        <f t="shared" si="306"/>
        <v>0.49025384615384621</v>
      </c>
    </row>
    <row r="2728" spans="1:38" x14ac:dyDescent="0.2">
      <c r="A2728" s="2">
        <v>2025</v>
      </c>
      <c r="B2728" s="2">
        <v>9</v>
      </c>
      <c r="D2728" s="2" t="s">
        <v>2267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5"/>
        <v>0.41111111111111115</v>
      </c>
      <c r="Z2728" s="2" t="s">
        <v>3237</v>
      </c>
      <c r="AA2728" s="2" t="s">
        <v>46</v>
      </c>
      <c r="AB2728" s="2" t="s">
        <v>57</v>
      </c>
      <c r="AC2728" s="2" t="s">
        <v>58</v>
      </c>
      <c r="AF2728" s="2">
        <f t="shared" si="302"/>
        <v>0</v>
      </c>
      <c r="AG2728" s="2">
        <v>10.6</v>
      </c>
      <c r="AH2728" s="2">
        <v>18</v>
      </c>
      <c r="AJ2728" s="2">
        <f t="shared" si="303"/>
        <v>0</v>
      </c>
      <c r="AK2728" s="2">
        <f t="shared" si="304"/>
        <v>7.4</v>
      </c>
      <c r="AL2728" s="5">
        <f t="shared" si="306"/>
        <v>0.41111111111111115</v>
      </c>
    </row>
    <row r="2729" spans="1:38" x14ac:dyDescent="0.2">
      <c r="A2729" s="2">
        <v>2025</v>
      </c>
      <c r="B2729" s="2">
        <v>9</v>
      </c>
      <c r="D2729" s="2" t="s">
        <v>2267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5"/>
        <v>0.36923076923076914</v>
      </c>
      <c r="Z2729" s="2" t="s">
        <v>3237</v>
      </c>
      <c r="AA2729" s="2" t="s">
        <v>46</v>
      </c>
      <c r="AB2729" s="2" t="s">
        <v>61</v>
      </c>
      <c r="AC2729" s="2" t="s">
        <v>58</v>
      </c>
      <c r="AF2729" s="2">
        <f t="shared" si="302"/>
        <v>0</v>
      </c>
      <c r="AG2729" s="2">
        <v>8.1999999999999993</v>
      </c>
      <c r="AH2729" s="2">
        <v>13</v>
      </c>
      <c r="AJ2729" s="2">
        <f t="shared" si="303"/>
        <v>0</v>
      </c>
      <c r="AK2729" s="2">
        <f t="shared" si="304"/>
        <v>4.7999999999999989</v>
      </c>
      <c r="AL2729" s="5">
        <f t="shared" si="306"/>
        <v>0.36923076923076914</v>
      </c>
    </row>
    <row r="2730" spans="1:38" x14ac:dyDescent="0.2">
      <c r="A2730" s="2">
        <v>2025</v>
      </c>
      <c r="B2730" s="2">
        <v>9</v>
      </c>
      <c r="D2730" s="2" t="s">
        <v>1074</v>
      </c>
      <c r="P2730" s="2" t="s">
        <v>283</v>
      </c>
      <c r="Q2730" s="2" t="s">
        <v>1543</v>
      </c>
      <c r="R2730" s="2" t="s">
        <v>1544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5"/>
        <v>1</v>
      </c>
      <c r="Z2730" s="2" t="s">
        <v>3237</v>
      </c>
      <c r="AA2730" s="2" t="s">
        <v>579</v>
      </c>
      <c r="AB2730" s="2" t="s">
        <v>120</v>
      </c>
      <c r="AC2730" s="2" t="s">
        <v>1331</v>
      </c>
      <c r="AF2730" s="2">
        <f t="shared" si="302"/>
        <v>0</v>
      </c>
      <c r="AJ2730" s="2">
        <f t="shared" si="303"/>
        <v>0</v>
      </c>
      <c r="AK2730" s="2">
        <f t="shared" si="304"/>
        <v>52.98</v>
      </c>
      <c r="AL2730" s="5">
        <f t="shared" si="306"/>
        <v>1</v>
      </c>
    </row>
    <row r="2731" spans="1:38" x14ac:dyDescent="0.2">
      <c r="A2731" s="2">
        <v>2025</v>
      </c>
      <c r="B2731" s="2">
        <v>9</v>
      </c>
      <c r="D2731" s="2" t="s">
        <v>1074</v>
      </c>
      <c r="P2731" s="2" t="s">
        <v>283</v>
      </c>
      <c r="Q2731" s="2" t="s">
        <v>2271</v>
      </c>
      <c r="R2731" s="2" t="s">
        <v>2272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5"/>
        <v>1</v>
      </c>
      <c r="Z2731" s="2" t="s">
        <v>3237</v>
      </c>
      <c r="AA2731" s="2" t="s">
        <v>579</v>
      </c>
      <c r="AB2731" s="2" t="s">
        <v>120</v>
      </c>
      <c r="AC2731" s="2" t="s">
        <v>1331</v>
      </c>
      <c r="AF2731" s="2">
        <f t="shared" si="302"/>
        <v>0</v>
      </c>
      <c r="AJ2731" s="2">
        <f t="shared" si="303"/>
        <v>0</v>
      </c>
      <c r="AK2731" s="2">
        <f t="shared" si="304"/>
        <v>42</v>
      </c>
      <c r="AL2731" s="5">
        <f t="shared" si="306"/>
        <v>1</v>
      </c>
    </row>
    <row r="2732" spans="1:38" x14ac:dyDescent="0.2">
      <c r="A2732" s="2">
        <v>2025</v>
      </c>
      <c r="B2732" s="2">
        <v>9</v>
      </c>
      <c r="D2732" s="2" t="s">
        <v>1074</v>
      </c>
      <c r="P2732" s="2" t="s">
        <v>283</v>
      </c>
      <c r="Q2732" s="2" t="s">
        <v>1789</v>
      </c>
      <c r="R2732" s="2" t="s">
        <v>1790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5"/>
        <v>1</v>
      </c>
      <c r="AF2732" s="2">
        <f t="shared" si="302"/>
        <v>0</v>
      </c>
      <c r="AJ2732" s="2">
        <f t="shared" si="303"/>
        <v>0</v>
      </c>
      <c r="AK2732" s="2">
        <f t="shared" si="304"/>
        <v>59.95</v>
      </c>
      <c r="AL2732" s="5">
        <f t="shared" si="306"/>
        <v>1</v>
      </c>
    </row>
    <row r="2733" spans="1:38" x14ac:dyDescent="0.2">
      <c r="A2733" s="2">
        <v>2025</v>
      </c>
      <c r="B2733" s="2">
        <v>9</v>
      </c>
      <c r="D2733" s="2" t="s">
        <v>1074</v>
      </c>
      <c r="P2733" s="2" t="s">
        <v>283</v>
      </c>
      <c r="Q2733" s="2" t="s">
        <v>1791</v>
      </c>
      <c r="R2733" s="2" t="s">
        <v>1790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5"/>
        <v>1</v>
      </c>
      <c r="AF2733" s="2">
        <f t="shared" si="302"/>
        <v>0</v>
      </c>
      <c r="AJ2733" s="2">
        <f t="shared" si="303"/>
        <v>0</v>
      </c>
      <c r="AK2733" s="2">
        <f t="shared" si="304"/>
        <v>59.95</v>
      </c>
      <c r="AL2733" s="5">
        <f t="shared" si="306"/>
        <v>1</v>
      </c>
    </row>
    <row r="2734" spans="1:38" x14ac:dyDescent="0.2">
      <c r="A2734" s="2">
        <v>2025</v>
      </c>
      <c r="B2734" s="2">
        <v>9</v>
      </c>
      <c r="D2734" s="2" t="s">
        <v>2057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5"/>
        <v>0.60000000000000009</v>
      </c>
      <c r="Z2734" s="2" t="s">
        <v>118</v>
      </c>
      <c r="AA2734" s="2" t="s">
        <v>191</v>
      </c>
      <c r="AF2734" s="2">
        <f t="shared" si="302"/>
        <v>0</v>
      </c>
      <c r="AJ2734" s="2">
        <f t="shared" si="303"/>
        <v>0</v>
      </c>
      <c r="AK2734" s="2">
        <f t="shared" si="304"/>
        <v>68.400000000000006</v>
      </c>
      <c r="AL2734" s="5">
        <f t="shared" si="306"/>
        <v>0.60000000000000009</v>
      </c>
    </row>
    <row r="2735" spans="1:38" x14ac:dyDescent="0.2">
      <c r="A2735" s="2">
        <v>2025</v>
      </c>
      <c r="B2735" s="2">
        <v>9</v>
      </c>
      <c r="D2735" s="2" t="s">
        <v>2057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5"/>
        <v>0.5</v>
      </c>
      <c r="Z2735" s="2" t="s">
        <v>118</v>
      </c>
      <c r="AA2735" s="2" t="s">
        <v>191</v>
      </c>
      <c r="AF2735" s="2">
        <f t="shared" si="302"/>
        <v>0</v>
      </c>
      <c r="AJ2735" s="2">
        <f t="shared" si="303"/>
        <v>0</v>
      </c>
      <c r="AK2735" s="2">
        <f t="shared" si="304"/>
        <v>100</v>
      </c>
      <c r="AL2735" s="5">
        <f t="shared" si="306"/>
        <v>0.5</v>
      </c>
    </row>
    <row r="2736" spans="1:38" x14ac:dyDescent="0.2">
      <c r="A2736" s="2">
        <v>2025</v>
      </c>
      <c r="B2736" s="2">
        <v>9</v>
      </c>
      <c r="D2736" s="2" t="s">
        <v>2057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5"/>
        <v>1</v>
      </c>
      <c r="Z2736" s="2" t="s">
        <v>120</v>
      </c>
      <c r="AA2736" s="2" t="s">
        <v>3392</v>
      </c>
      <c r="AF2736" s="2">
        <f t="shared" si="302"/>
        <v>0</v>
      </c>
      <c r="AJ2736" s="2">
        <f t="shared" si="303"/>
        <v>0</v>
      </c>
      <c r="AK2736" s="2">
        <f t="shared" si="304"/>
        <v>220.11</v>
      </c>
      <c r="AL2736" s="5">
        <f t="shared" si="306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5"/>
        <v>0.44067336539835233</v>
      </c>
      <c r="Z2737" s="2" t="s">
        <v>3237</v>
      </c>
      <c r="AA2737" s="2" t="s">
        <v>76</v>
      </c>
      <c r="AB2737" s="2" t="s">
        <v>77</v>
      </c>
      <c r="AC2737" s="2" t="s">
        <v>78</v>
      </c>
      <c r="AF2737" s="2">
        <f t="shared" si="302"/>
        <v>0</v>
      </c>
      <c r="AG2737" s="2">
        <v>117.453</v>
      </c>
      <c r="AH2737" s="2">
        <v>220</v>
      </c>
      <c r="AJ2737" s="2">
        <f t="shared" si="303"/>
        <v>0</v>
      </c>
      <c r="AK2737" s="2">
        <f t="shared" si="304"/>
        <v>92.537000000000006</v>
      </c>
      <c r="AL2737" s="5">
        <f t="shared" si="306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5"/>
        <v>0</v>
      </c>
      <c r="Z2738" s="2" t="s">
        <v>3237</v>
      </c>
      <c r="AA2738" s="2" t="s">
        <v>97</v>
      </c>
      <c r="AB2738" s="2" t="s">
        <v>77</v>
      </c>
      <c r="AC2738" s="2" t="s">
        <v>94</v>
      </c>
      <c r="AF2738" s="2">
        <f t="shared" si="302"/>
        <v>0</v>
      </c>
      <c r="AJ2738" s="2">
        <f t="shared" si="303"/>
        <v>0</v>
      </c>
      <c r="AK2738" s="2">
        <f t="shared" si="304"/>
        <v>0</v>
      </c>
      <c r="AL2738" s="5">
        <f t="shared" si="306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2273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5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2"/>
        <v>0</v>
      </c>
      <c r="AG2739" s="2">
        <v>5.33</v>
      </c>
      <c r="AJ2739" s="2">
        <f t="shared" si="303"/>
        <v>0</v>
      </c>
      <c r="AK2739" s="2">
        <f t="shared" si="304"/>
        <v>13.829999999999998</v>
      </c>
      <c r="AL2739" s="5">
        <f t="shared" si="306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2274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5"/>
        <v>0.4575909090909091</v>
      </c>
      <c r="Z2740" s="2" t="s">
        <v>3237</v>
      </c>
      <c r="AA2740" s="2" t="s">
        <v>76</v>
      </c>
      <c r="AB2740" s="2" t="s">
        <v>77</v>
      </c>
      <c r="AC2740" s="2" t="s">
        <v>78</v>
      </c>
      <c r="AF2740" s="2">
        <f t="shared" si="302"/>
        <v>0</v>
      </c>
      <c r="AG2740" s="2">
        <v>119.33</v>
      </c>
      <c r="AH2740" s="2">
        <v>220</v>
      </c>
      <c r="AJ2740" s="2">
        <f t="shared" si="303"/>
        <v>0</v>
      </c>
      <c r="AK2740" s="2">
        <f t="shared" si="304"/>
        <v>100.67</v>
      </c>
      <c r="AL2740" s="5">
        <f t="shared" si="306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2274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5"/>
        <v>0</v>
      </c>
      <c r="Z2741" s="2" t="s">
        <v>3237</v>
      </c>
      <c r="AA2741" s="2" t="s">
        <v>97</v>
      </c>
      <c r="AB2741" s="2" t="s">
        <v>77</v>
      </c>
      <c r="AC2741" s="2" t="s">
        <v>94</v>
      </c>
      <c r="AF2741" s="2">
        <f t="shared" si="302"/>
        <v>0</v>
      </c>
      <c r="AG2741" s="2">
        <v>1.1399999999999999</v>
      </c>
      <c r="AH2741" s="2">
        <v>1.1399999999999999</v>
      </c>
      <c r="AJ2741" s="2">
        <f t="shared" si="303"/>
        <v>0</v>
      </c>
      <c r="AK2741" s="2">
        <f t="shared" si="304"/>
        <v>0</v>
      </c>
      <c r="AL2741" s="5">
        <f t="shared" si="306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5"/>
        <v>1</v>
      </c>
      <c r="AF2742" s="2">
        <f t="shared" si="302"/>
        <v>0</v>
      </c>
      <c r="AJ2742" s="2">
        <f t="shared" si="303"/>
        <v>0</v>
      </c>
      <c r="AK2742" s="2">
        <f t="shared" si="304"/>
        <v>44.98</v>
      </c>
      <c r="AL2742" s="5">
        <f t="shared" si="306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2275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5"/>
        <v>0.59999999999999987</v>
      </c>
      <c r="Z2743" s="2" t="s">
        <v>118</v>
      </c>
      <c r="AA2743" s="2" t="s">
        <v>191</v>
      </c>
      <c r="AF2743" s="2">
        <f t="shared" si="302"/>
        <v>0</v>
      </c>
      <c r="AJ2743" s="2">
        <f t="shared" si="303"/>
        <v>0</v>
      </c>
      <c r="AK2743" s="2">
        <f t="shared" si="304"/>
        <v>64.199999999999989</v>
      </c>
      <c r="AL2743" s="5">
        <f t="shared" si="306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2275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5"/>
        <v>0.5</v>
      </c>
      <c r="Z2744" s="2" t="s">
        <v>118</v>
      </c>
      <c r="AA2744" s="2" t="s">
        <v>191</v>
      </c>
      <c r="AF2744" s="2">
        <f t="shared" si="302"/>
        <v>0</v>
      </c>
      <c r="AJ2744" s="2">
        <f t="shared" si="303"/>
        <v>0</v>
      </c>
      <c r="AK2744" s="2">
        <f t="shared" si="304"/>
        <v>25</v>
      </c>
      <c r="AL2744" s="5">
        <f t="shared" si="306"/>
        <v>0.5</v>
      </c>
    </row>
    <row r="2745" spans="1:38" x14ac:dyDescent="0.2">
      <c r="A2745" s="2">
        <v>2025</v>
      </c>
      <c r="B2745" s="2">
        <v>9</v>
      </c>
      <c r="D2745" s="2" t="s">
        <v>1091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1092</v>
      </c>
      <c r="J2745" s="2" t="s">
        <v>1093</v>
      </c>
      <c r="K2745" s="2">
        <v>917523997</v>
      </c>
      <c r="L2745" s="2" t="s">
        <v>113</v>
      </c>
      <c r="M2745" s="2" t="s">
        <v>40</v>
      </c>
      <c r="O2745" s="2" t="s">
        <v>2276</v>
      </c>
      <c r="P2745" s="2" t="s">
        <v>115</v>
      </c>
      <c r="Q2745" s="2" t="s">
        <v>2277</v>
      </c>
      <c r="R2745" s="2" t="s">
        <v>2278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5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2"/>
        <v>0</v>
      </c>
      <c r="AJ2745" s="2">
        <f t="shared" si="303"/>
        <v>0</v>
      </c>
      <c r="AK2745" s="2">
        <f t="shared" si="304"/>
        <v>123.57</v>
      </c>
      <c r="AL2745" s="5">
        <f t="shared" si="306"/>
        <v>1</v>
      </c>
    </row>
    <row r="2746" spans="1:38" x14ac:dyDescent="0.2">
      <c r="A2746" s="2">
        <v>2025</v>
      </c>
      <c r="B2746" s="2">
        <v>9</v>
      </c>
      <c r="D2746" s="2" t="s">
        <v>1091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1092</v>
      </c>
      <c r="J2746" s="2" t="s">
        <v>1093</v>
      </c>
      <c r="K2746" s="2">
        <v>917523997</v>
      </c>
      <c r="L2746" s="2" t="s">
        <v>113</v>
      </c>
      <c r="M2746" s="2" t="s">
        <v>40</v>
      </c>
      <c r="O2746" s="2" t="s">
        <v>2279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3237</v>
      </c>
      <c r="AF2746" s="2">
        <f t="shared" si="302"/>
        <v>0</v>
      </c>
      <c r="AJ2746" s="2">
        <f t="shared" si="303"/>
        <v>0</v>
      </c>
      <c r="AK2746" s="2">
        <f t="shared" si="304"/>
        <v>0</v>
      </c>
      <c r="AL2746" s="5" t="e">
        <f t="shared" si="306"/>
        <v>#DIV/0!</v>
      </c>
    </row>
    <row r="2747" spans="1:38" x14ac:dyDescent="0.2">
      <c r="A2747" s="2">
        <v>2025</v>
      </c>
      <c r="B2747" s="2">
        <v>9</v>
      </c>
      <c r="D2747" s="2" t="s">
        <v>1091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1092</v>
      </c>
      <c r="J2747" s="2" t="s">
        <v>1093</v>
      </c>
      <c r="K2747" s="2">
        <v>917523997</v>
      </c>
      <c r="L2747" s="2" t="s">
        <v>113</v>
      </c>
      <c r="M2747" s="2" t="s">
        <v>40</v>
      </c>
      <c r="O2747" s="2" t="s">
        <v>2279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7">(T2747-W2747)/T2747</f>
        <v>0.25</v>
      </c>
      <c r="Z2747" s="2" t="s">
        <v>3237</v>
      </c>
      <c r="AA2747" s="2" t="s">
        <v>72</v>
      </c>
      <c r="AB2747" s="2" t="s">
        <v>120</v>
      </c>
      <c r="AC2747" s="2" t="s">
        <v>120</v>
      </c>
      <c r="AF2747" s="2">
        <f t="shared" si="302"/>
        <v>0</v>
      </c>
      <c r="AJ2747" s="2">
        <f t="shared" si="303"/>
        <v>0</v>
      </c>
      <c r="AK2747" s="2">
        <f t="shared" si="304"/>
        <v>199.5</v>
      </c>
      <c r="AL2747" s="5">
        <f t="shared" si="306"/>
        <v>0.25</v>
      </c>
    </row>
    <row r="2748" spans="1:38" x14ac:dyDescent="0.2">
      <c r="A2748" s="2">
        <v>2025</v>
      </c>
      <c r="B2748" s="2">
        <v>9</v>
      </c>
      <c r="D2748" s="2" t="s">
        <v>2280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7"/>
        <v>0.6</v>
      </c>
      <c r="Z2748" s="2" t="s">
        <v>118</v>
      </c>
      <c r="AA2748" s="2" t="s">
        <v>191</v>
      </c>
      <c r="AF2748" s="2">
        <f t="shared" si="302"/>
        <v>0</v>
      </c>
      <c r="AJ2748" s="2">
        <f t="shared" si="303"/>
        <v>0</v>
      </c>
      <c r="AK2748" s="2">
        <f t="shared" si="304"/>
        <v>61.199999999999996</v>
      </c>
      <c r="AL2748" s="5">
        <f t="shared" si="306"/>
        <v>0.6</v>
      </c>
    </row>
    <row r="2749" spans="1:38" x14ac:dyDescent="0.2">
      <c r="A2749" s="2">
        <v>2025</v>
      </c>
      <c r="B2749" s="2">
        <v>9</v>
      </c>
      <c r="D2749" s="2" t="s">
        <v>2280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7"/>
        <v>0.5</v>
      </c>
      <c r="Z2749" s="2" t="s">
        <v>118</v>
      </c>
      <c r="AA2749" s="2" t="s">
        <v>191</v>
      </c>
      <c r="AF2749" s="2">
        <f t="shared" si="302"/>
        <v>0</v>
      </c>
      <c r="AJ2749" s="2">
        <f t="shared" si="303"/>
        <v>0</v>
      </c>
      <c r="AK2749" s="2">
        <f t="shared" si="304"/>
        <v>22.5</v>
      </c>
      <c r="AL2749" s="5">
        <f t="shared" si="306"/>
        <v>0.5</v>
      </c>
    </row>
    <row r="2750" spans="1:38" x14ac:dyDescent="0.2">
      <c r="A2750" s="2">
        <v>2025</v>
      </c>
      <c r="B2750" s="2">
        <v>9</v>
      </c>
      <c r="D2750" s="2" t="s">
        <v>2280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7"/>
        <v>1</v>
      </c>
      <c r="Z2750" s="2" t="s">
        <v>120</v>
      </c>
      <c r="AA2750" s="2" t="s">
        <v>3392</v>
      </c>
      <c r="AF2750" s="2">
        <f t="shared" si="302"/>
        <v>0</v>
      </c>
      <c r="AJ2750" s="2">
        <f t="shared" si="303"/>
        <v>0</v>
      </c>
      <c r="AK2750" s="2">
        <f t="shared" si="304"/>
        <v>99.75</v>
      </c>
      <c r="AL2750" s="5">
        <f t="shared" si="306"/>
        <v>1</v>
      </c>
    </row>
    <row r="2751" spans="1:38" x14ac:dyDescent="0.2">
      <c r="A2751" s="2">
        <v>2025</v>
      </c>
      <c r="B2751" s="2">
        <v>9</v>
      </c>
      <c r="D2751" s="2" t="s">
        <v>1294</v>
      </c>
      <c r="P2751" s="2" t="s">
        <v>115</v>
      </c>
      <c r="Q2751" s="2" t="s">
        <v>2281</v>
      </c>
      <c r="R2751" s="2" t="s">
        <v>2282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7"/>
        <v>1</v>
      </c>
      <c r="AF2751" s="2">
        <f t="shared" si="302"/>
        <v>0</v>
      </c>
      <c r="AJ2751" s="2">
        <f t="shared" si="303"/>
        <v>0</v>
      </c>
      <c r="AK2751" s="2">
        <f t="shared" si="304"/>
        <v>23.62</v>
      </c>
      <c r="AL2751" s="5">
        <f t="shared" si="306"/>
        <v>1</v>
      </c>
    </row>
    <row r="2752" spans="1:38" x14ac:dyDescent="0.2">
      <c r="A2752" s="2">
        <v>2025</v>
      </c>
      <c r="B2752" s="2">
        <v>9</v>
      </c>
      <c r="D2752" s="2" t="s">
        <v>1294</v>
      </c>
      <c r="P2752" s="2" t="s">
        <v>115</v>
      </c>
      <c r="Q2752" s="2" t="s">
        <v>1697</v>
      </c>
      <c r="R2752" s="2" t="s">
        <v>1698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7"/>
        <v>1</v>
      </c>
      <c r="AF2752" s="2">
        <f t="shared" si="302"/>
        <v>0</v>
      </c>
      <c r="AJ2752" s="2">
        <f t="shared" si="303"/>
        <v>0</v>
      </c>
      <c r="AK2752" s="2">
        <f t="shared" si="304"/>
        <v>63.16</v>
      </c>
      <c r="AL2752" s="5">
        <f t="shared" si="306"/>
        <v>1</v>
      </c>
    </row>
    <row r="2753" spans="1:38" x14ac:dyDescent="0.2">
      <c r="A2753" s="2">
        <v>2025</v>
      </c>
      <c r="B2753" s="2">
        <v>9</v>
      </c>
      <c r="D2753" s="2" t="s">
        <v>1294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7"/>
        <v>0.42232441471571902</v>
      </c>
      <c r="Z2753" s="2" t="s">
        <v>3237</v>
      </c>
      <c r="AA2753" s="2" t="s">
        <v>76</v>
      </c>
      <c r="AB2753" s="2" t="s">
        <v>77</v>
      </c>
      <c r="AC2753" s="2" t="s">
        <v>78</v>
      </c>
      <c r="AF2753" s="2">
        <f t="shared" si="302"/>
        <v>0</v>
      </c>
      <c r="AG2753" s="2">
        <v>117.453</v>
      </c>
      <c r="AH2753" s="2">
        <v>220</v>
      </c>
      <c r="AJ2753" s="2">
        <f t="shared" si="303"/>
        <v>0</v>
      </c>
      <c r="AK2753" s="2">
        <f t="shared" si="304"/>
        <v>85.86699999999999</v>
      </c>
      <c r="AL2753" s="5">
        <f t="shared" si="306"/>
        <v>0.42232441471571902</v>
      </c>
    </row>
    <row r="2754" spans="1:38" x14ac:dyDescent="0.2">
      <c r="A2754" s="2">
        <v>2025</v>
      </c>
      <c r="B2754" s="2">
        <v>9</v>
      </c>
      <c r="D2754" s="2" t="s">
        <v>1294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2"/>
        <v>0</v>
      </c>
      <c r="AJ2754" s="2">
        <f t="shared" si="303"/>
        <v>0</v>
      </c>
      <c r="AK2754" s="2">
        <f t="shared" si="304"/>
        <v>0</v>
      </c>
      <c r="AL2754" s="5" t="e">
        <f t="shared" si="306"/>
        <v>#DIV/0!</v>
      </c>
    </row>
    <row r="2755" spans="1:38" x14ac:dyDescent="0.2">
      <c r="A2755" s="2">
        <v>2025</v>
      </c>
      <c r="B2755" s="2">
        <v>9</v>
      </c>
      <c r="D2755" s="2" t="s">
        <v>1294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7"/>
        <v>0.5</v>
      </c>
      <c r="Z2755" s="2" t="s">
        <v>118</v>
      </c>
      <c r="AA2755" s="2" t="s">
        <v>191</v>
      </c>
      <c r="AF2755" s="2">
        <f t="shared" ref="AF2755:AF2818" si="308">AJ2755</f>
        <v>0</v>
      </c>
      <c r="AJ2755" s="2">
        <f t="shared" ref="AJ2755:AJ2818" si="309">AI2755*T2755</f>
        <v>0</v>
      </c>
      <c r="AK2755" s="2">
        <f t="shared" ref="AK2755:AK2818" si="310">T2755-W2755</f>
        <v>22.5</v>
      </c>
      <c r="AL2755" s="5">
        <f t="shared" si="306"/>
        <v>0.5</v>
      </c>
    </row>
    <row r="2756" spans="1:38" x14ac:dyDescent="0.2">
      <c r="A2756" s="2">
        <v>2025</v>
      </c>
      <c r="B2756" s="2">
        <v>9</v>
      </c>
      <c r="D2756" s="2" t="s">
        <v>1294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7"/>
        <v>0</v>
      </c>
      <c r="Z2756" s="2" t="s">
        <v>3237</v>
      </c>
      <c r="AA2756" s="2" t="s">
        <v>97</v>
      </c>
      <c r="AB2756" s="2" t="s">
        <v>77</v>
      </c>
      <c r="AC2756" s="2" t="s">
        <v>94</v>
      </c>
      <c r="AF2756" s="2">
        <f t="shared" si="308"/>
        <v>0</v>
      </c>
      <c r="AJ2756" s="2">
        <f t="shared" si="309"/>
        <v>0</v>
      </c>
      <c r="AK2756" s="2">
        <f t="shared" si="310"/>
        <v>0</v>
      </c>
      <c r="AL2756" s="5">
        <f t="shared" si="306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2283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7"/>
        <v>0.36923076923076914</v>
      </c>
      <c r="Z2757" s="2" t="s">
        <v>3237</v>
      </c>
      <c r="AA2757" s="2" t="s">
        <v>46</v>
      </c>
      <c r="AB2757" s="2" t="s">
        <v>61</v>
      </c>
      <c r="AC2757" s="2" t="s">
        <v>58</v>
      </c>
      <c r="AF2757" s="2">
        <f t="shared" si="308"/>
        <v>0</v>
      </c>
      <c r="AG2757" s="2">
        <v>8.1999999999999993</v>
      </c>
      <c r="AH2757" s="2">
        <v>13</v>
      </c>
      <c r="AJ2757" s="2">
        <f t="shared" si="309"/>
        <v>0</v>
      </c>
      <c r="AK2757" s="2">
        <f t="shared" si="310"/>
        <v>4.7999999999999989</v>
      </c>
      <c r="AL2757" s="5">
        <f t="shared" si="306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2283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7"/>
        <v>1</v>
      </c>
      <c r="Z2758" s="2" t="s">
        <v>170</v>
      </c>
      <c r="AA2758" s="2" t="s">
        <v>170</v>
      </c>
      <c r="AF2758" s="2">
        <f t="shared" si="308"/>
        <v>0</v>
      </c>
      <c r="AJ2758" s="2">
        <f t="shared" si="309"/>
        <v>0</v>
      </c>
      <c r="AK2758" s="2">
        <f t="shared" si="310"/>
        <v>8</v>
      </c>
      <c r="AL2758" s="5">
        <f t="shared" si="306"/>
        <v>1</v>
      </c>
    </row>
    <row r="2759" spans="1:38" x14ac:dyDescent="0.2">
      <c r="A2759" s="2">
        <v>2025</v>
      </c>
      <c r="B2759" s="2">
        <v>9</v>
      </c>
      <c r="D2759" s="2" t="s">
        <v>1951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7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8"/>
        <v>0</v>
      </c>
      <c r="AJ2759" s="2">
        <f t="shared" si="309"/>
        <v>0</v>
      </c>
      <c r="AK2759" s="2">
        <f t="shared" si="310"/>
        <v>5320.6</v>
      </c>
      <c r="AL2759" s="5">
        <f t="shared" si="306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7"/>
        <v>0.24285714285714285</v>
      </c>
      <c r="Z2760" s="2" t="s">
        <v>3237</v>
      </c>
      <c r="AA2760" s="2" t="s">
        <v>46</v>
      </c>
      <c r="AB2760" s="2" t="s">
        <v>57</v>
      </c>
      <c r="AC2760" s="2" t="s">
        <v>58</v>
      </c>
      <c r="AF2760" s="2">
        <f t="shared" si="308"/>
        <v>0</v>
      </c>
      <c r="AG2760" s="2">
        <v>10.6</v>
      </c>
      <c r="AH2760" s="2">
        <v>18</v>
      </c>
      <c r="AJ2760" s="2">
        <f t="shared" si="309"/>
        <v>0</v>
      </c>
      <c r="AK2760" s="2">
        <f t="shared" si="310"/>
        <v>34</v>
      </c>
      <c r="AL2760" s="5">
        <f t="shared" si="306"/>
        <v>0.24285714285714285</v>
      </c>
    </row>
    <row r="2761" spans="1:38" x14ac:dyDescent="0.2">
      <c r="A2761" s="2">
        <v>2025</v>
      </c>
      <c r="B2761" s="2">
        <v>9</v>
      </c>
      <c r="D2761" s="2" t="s">
        <v>2284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7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8"/>
        <v>0</v>
      </c>
      <c r="AJ2761" s="2">
        <f t="shared" si="309"/>
        <v>0</v>
      </c>
      <c r="AK2761" s="2">
        <f t="shared" si="310"/>
        <v>4330.6000000000004</v>
      </c>
      <c r="AL2761" s="5">
        <f t="shared" si="306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2285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7"/>
        <v>0.42634408602150542</v>
      </c>
      <c r="Z2762" s="2" t="s">
        <v>3237</v>
      </c>
      <c r="AA2762" s="2" t="s">
        <v>46</v>
      </c>
      <c r="AB2762" s="2" t="s">
        <v>47</v>
      </c>
      <c r="AC2762" s="2" t="s">
        <v>48</v>
      </c>
      <c r="AF2762" s="2">
        <f t="shared" si="308"/>
        <v>0</v>
      </c>
      <c r="AG2762" s="2">
        <v>10.67</v>
      </c>
      <c r="AH2762" s="2">
        <v>21</v>
      </c>
      <c r="AJ2762" s="2">
        <f t="shared" si="309"/>
        <v>0</v>
      </c>
      <c r="AK2762" s="2">
        <f t="shared" si="310"/>
        <v>7.9300000000000015</v>
      </c>
      <c r="AL2762" s="5">
        <f t="shared" si="306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07"/>
        <v>0.62349999999999994</v>
      </c>
      <c r="Z2763" s="2" t="s">
        <v>3237</v>
      </c>
      <c r="AA2763" s="2" t="s">
        <v>46</v>
      </c>
      <c r="AB2763" s="2" t="s">
        <v>47</v>
      </c>
      <c r="AC2763" s="2" t="s">
        <v>48</v>
      </c>
      <c r="AF2763" s="2">
        <f t="shared" si="308"/>
        <v>0</v>
      </c>
      <c r="AJ2763" s="2">
        <f t="shared" si="309"/>
        <v>0</v>
      </c>
      <c r="AK2763" s="2">
        <f t="shared" si="310"/>
        <v>18.704999999999998</v>
      </c>
      <c r="AL2763" s="5">
        <f t="shared" si="306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7"/>
        <v>0.21904761904761905</v>
      </c>
      <c r="Z2764" s="2" t="s">
        <v>3237</v>
      </c>
      <c r="AA2764" s="2" t="s">
        <v>46</v>
      </c>
      <c r="AB2764" s="2" t="s">
        <v>61</v>
      </c>
      <c r="AC2764" s="2" t="s">
        <v>58</v>
      </c>
      <c r="AF2764" s="2">
        <f t="shared" si="308"/>
        <v>0</v>
      </c>
      <c r="AG2764" s="2">
        <v>8.1999999999999993</v>
      </c>
      <c r="AH2764" s="2">
        <v>13</v>
      </c>
      <c r="AJ2764" s="2">
        <f t="shared" si="309"/>
        <v>0</v>
      </c>
      <c r="AK2764" s="2">
        <f t="shared" si="310"/>
        <v>23</v>
      </c>
      <c r="AL2764" s="5">
        <f t="shared" si="306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1928</v>
      </c>
      <c r="R2765" s="2" t="s">
        <v>1929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7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8"/>
        <v>0</v>
      </c>
      <c r="AJ2765" s="2">
        <f t="shared" si="309"/>
        <v>0</v>
      </c>
      <c r="AK2765" s="2">
        <f t="shared" si="310"/>
        <v>4416.41</v>
      </c>
      <c r="AL2765" s="5">
        <f t="shared" si="306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1028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7"/>
        <v>0.40058823529411769</v>
      </c>
      <c r="Z2766" s="2" t="s">
        <v>3237</v>
      </c>
      <c r="AA2766" s="2" t="s">
        <v>76</v>
      </c>
      <c r="AB2766" s="2" t="s">
        <v>77</v>
      </c>
      <c r="AC2766" s="2" t="s">
        <v>78</v>
      </c>
      <c r="AF2766" s="2">
        <f t="shared" si="308"/>
        <v>0</v>
      </c>
      <c r="AJ2766" s="2">
        <f t="shared" si="309"/>
        <v>0</v>
      </c>
      <c r="AK2766" s="2">
        <f t="shared" si="310"/>
        <v>102.15</v>
      </c>
      <c r="AL2766" s="5">
        <f t="shared" si="306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7"/>
        <v>0</v>
      </c>
      <c r="Z2767" s="2" t="s">
        <v>3237</v>
      </c>
      <c r="AA2767" s="2" t="s">
        <v>97</v>
      </c>
      <c r="AB2767" s="2" t="s">
        <v>77</v>
      </c>
      <c r="AC2767" s="2" t="s">
        <v>94</v>
      </c>
      <c r="AF2767" s="2">
        <f t="shared" si="308"/>
        <v>0</v>
      </c>
      <c r="AJ2767" s="2">
        <f t="shared" si="309"/>
        <v>0</v>
      </c>
      <c r="AK2767" s="2">
        <f t="shared" si="310"/>
        <v>0</v>
      </c>
      <c r="AL2767" s="5">
        <f t="shared" si="306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7"/>
        <v>0.44777500000000003</v>
      </c>
      <c r="Z2768" s="2" t="s">
        <v>3237</v>
      </c>
      <c r="AA2768" s="2" t="s">
        <v>46</v>
      </c>
      <c r="AB2768" s="2" t="s">
        <v>47</v>
      </c>
      <c r="AC2768" s="2" t="s">
        <v>48</v>
      </c>
      <c r="AF2768" s="2">
        <f t="shared" si="308"/>
        <v>0</v>
      </c>
      <c r="AG2768" s="2">
        <v>6.6266999999999996</v>
      </c>
      <c r="AH2768" s="2">
        <v>12</v>
      </c>
      <c r="AJ2768" s="2">
        <f t="shared" si="309"/>
        <v>0</v>
      </c>
      <c r="AK2768" s="2">
        <f t="shared" si="310"/>
        <v>16.119900000000001</v>
      </c>
      <c r="AL2768" s="5">
        <f t="shared" si="306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07"/>
        <v>0.62349999999999994</v>
      </c>
      <c r="Z2769" s="2" t="s">
        <v>3237</v>
      </c>
      <c r="AA2769" s="2" t="s">
        <v>46</v>
      </c>
      <c r="AB2769" s="2" t="s">
        <v>47</v>
      </c>
      <c r="AC2769" s="2" t="s">
        <v>48</v>
      </c>
      <c r="AF2769" s="2">
        <f t="shared" si="308"/>
        <v>0</v>
      </c>
      <c r="AJ2769" s="2">
        <f t="shared" si="309"/>
        <v>0</v>
      </c>
      <c r="AK2769" s="2">
        <f t="shared" si="310"/>
        <v>18.704999999999998</v>
      </c>
      <c r="AL2769" s="5">
        <f t="shared" si="306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7"/>
        <v>0.44819791666666664</v>
      </c>
      <c r="Z2770" s="2" t="s">
        <v>3237</v>
      </c>
      <c r="AA2770" s="2" t="s">
        <v>46</v>
      </c>
      <c r="AB2770" s="2" t="s">
        <v>47</v>
      </c>
      <c r="AC2770" s="2" t="s">
        <v>48</v>
      </c>
      <c r="AF2770" s="2">
        <f t="shared" si="308"/>
        <v>0</v>
      </c>
      <c r="AG2770" s="2">
        <v>5.2972999999999999</v>
      </c>
      <c r="AH2770" s="2">
        <v>10.8</v>
      </c>
      <c r="AJ2770" s="2">
        <f t="shared" si="309"/>
        <v>0</v>
      </c>
      <c r="AK2770" s="2">
        <f t="shared" si="310"/>
        <v>4.3026999999999997</v>
      </c>
      <c r="AL2770" s="5">
        <f t="shared" si="306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2286</v>
      </c>
      <c r="R2771" s="2" t="s">
        <v>2287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7"/>
        <v>1</v>
      </c>
      <c r="Z2771" s="2" t="s">
        <v>3237</v>
      </c>
      <c r="AA2771" s="2" t="s">
        <v>88</v>
      </c>
      <c r="AB2771" s="2" t="s">
        <v>120</v>
      </c>
      <c r="AC2771" s="2" t="s">
        <v>167</v>
      </c>
      <c r="AF2771" s="2">
        <f t="shared" si="308"/>
        <v>0</v>
      </c>
      <c r="AJ2771" s="2">
        <f t="shared" si="309"/>
        <v>0</v>
      </c>
      <c r="AK2771" s="2">
        <f t="shared" si="310"/>
        <v>6.52</v>
      </c>
      <c r="AL2771" s="5">
        <f t="shared" si="306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1049</v>
      </c>
      <c r="R2772" s="2" t="s">
        <v>1050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7"/>
        <v>1</v>
      </c>
      <c r="Z2772" s="2" t="s">
        <v>3237</v>
      </c>
      <c r="AA2772" s="2" t="s">
        <v>88</v>
      </c>
      <c r="AB2772" s="2" t="s">
        <v>120</v>
      </c>
      <c r="AC2772" s="2" t="s">
        <v>167</v>
      </c>
      <c r="AF2772" s="2">
        <f t="shared" si="308"/>
        <v>0</v>
      </c>
      <c r="AJ2772" s="2">
        <f t="shared" si="309"/>
        <v>0</v>
      </c>
      <c r="AK2772" s="2">
        <f t="shared" si="310"/>
        <v>3</v>
      </c>
      <c r="AL2772" s="5">
        <f t="shared" si="306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2075</v>
      </c>
      <c r="R2773" s="2" t="s">
        <v>2076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7"/>
        <v>1</v>
      </c>
      <c r="Z2773" s="2" t="s">
        <v>3237</v>
      </c>
      <c r="AA2773" s="2" t="s">
        <v>88</v>
      </c>
      <c r="AB2773" s="2" t="s">
        <v>91</v>
      </c>
      <c r="AC2773" s="2" t="s">
        <v>85</v>
      </c>
      <c r="AF2773" s="2">
        <f t="shared" si="308"/>
        <v>0</v>
      </c>
      <c r="AJ2773" s="2">
        <f t="shared" si="309"/>
        <v>0</v>
      </c>
      <c r="AK2773" s="2">
        <f t="shared" si="310"/>
        <v>8.4</v>
      </c>
      <c r="AL2773" s="5">
        <f t="shared" si="306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2288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1">IF(T2774=0,IF(W2774&gt;0,-100%,0%),(T2774-W2774)/T2774)</f>
        <v>-1</v>
      </c>
      <c r="Z2774" s="2" t="s">
        <v>3237</v>
      </c>
      <c r="AA2774" s="2" t="s">
        <v>46</v>
      </c>
      <c r="AB2774" s="2" t="s">
        <v>57</v>
      </c>
      <c r="AC2774" s="2" t="s">
        <v>58</v>
      </c>
      <c r="AF2774" s="2">
        <f t="shared" si="308"/>
        <v>0</v>
      </c>
      <c r="AJ2774" s="2">
        <f t="shared" si="309"/>
        <v>0</v>
      </c>
      <c r="AK2774" s="2">
        <f t="shared" si="310"/>
        <v>-7.915</v>
      </c>
      <c r="AL2774" s="18">
        <f t="shared" ref="AL2774:AL2784" si="312"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2288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1"/>
        <v>-1</v>
      </c>
      <c r="Z2775" s="2" t="s">
        <v>3237</v>
      </c>
      <c r="AA2775" s="2" t="s">
        <v>46</v>
      </c>
      <c r="AB2775" s="2" t="s">
        <v>57</v>
      </c>
      <c r="AC2775" s="2" t="s">
        <v>58</v>
      </c>
      <c r="AF2775" s="2">
        <f t="shared" si="308"/>
        <v>0</v>
      </c>
      <c r="AJ2775" s="2">
        <f t="shared" si="309"/>
        <v>0</v>
      </c>
      <c r="AK2775" s="2">
        <f t="shared" si="310"/>
        <v>-12.4434</v>
      </c>
      <c r="AL2775" s="18">
        <f t="shared" si="312"/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2288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1"/>
        <v>0</v>
      </c>
      <c r="Z2776" s="2" t="s">
        <v>3237</v>
      </c>
      <c r="AA2776" s="2" t="s">
        <v>46</v>
      </c>
      <c r="AB2776" s="2" t="s">
        <v>57</v>
      </c>
      <c r="AC2776" s="2" t="s">
        <v>58</v>
      </c>
      <c r="AF2776" s="2">
        <f t="shared" si="308"/>
        <v>0</v>
      </c>
      <c r="AJ2776" s="2">
        <f t="shared" si="309"/>
        <v>0</v>
      </c>
      <c r="AK2776" s="2">
        <f t="shared" si="310"/>
        <v>0</v>
      </c>
      <c r="AL2776" s="5">
        <f t="shared" si="312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2288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1"/>
        <v>-1</v>
      </c>
      <c r="Z2777" s="2" t="s">
        <v>3237</v>
      </c>
      <c r="AA2777" s="2" t="s">
        <v>46</v>
      </c>
      <c r="AB2777" s="2" t="s">
        <v>57</v>
      </c>
      <c r="AC2777" s="2" t="s">
        <v>58</v>
      </c>
      <c r="AF2777" s="2">
        <f t="shared" si="308"/>
        <v>0</v>
      </c>
      <c r="AG2777" s="2">
        <v>5.9066999999999998</v>
      </c>
      <c r="AH2777" s="2">
        <v>12.6</v>
      </c>
      <c r="AJ2777" s="2">
        <f t="shared" si="309"/>
        <v>0</v>
      </c>
      <c r="AK2777" s="2">
        <f t="shared" si="310"/>
        <v>-5.9066999999999998</v>
      </c>
      <c r="AL2777" s="5">
        <f t="shared" si="312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2288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3237</v>
      </c>
      <c r="AA2778" s="2" t="s">
        <v>46</v>
      </c>
      <c r="AB2778" s="2" t="s">
        <v>57</v>
      </c>
      <c r="AC2778" s="2" t="s">
        <v>58</v>
      </c>
      <c r="AF2778" s="2">
        <f t="shared" si="308"/>
        <v>0</v>
      </c>
      <c r="AJ2778" s="2">
        <f t="shared" si="309"/>
        <v>0</v>
      </c>
      <c r="AK2778" s="2">
        <f t="shared" si="310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2288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1"/>
        <v>0</v>
      </c>
      <c r="Z2779" s="2" t="s">
        <v>3237</v>
      </c>
      <c r="AA2779" s="2" t="s">
        <v>46</v>
      </c>
      <c r="AB2779" s="2" t="s">
        <v>57</v>
      </c>
      <c r="AC2779" s="2" t="s">
        <v>58</v>
      </c>
      <c r="AF2779" s="2">
        <f t="shared" si="308"/>
        <v>0</v>
      </c>
      <c r="AJ2779" s="2">
        <f t="shared" si="309"/>
        <v>0</v>
      </c>
      <c r="AK2779" s="2">
        <f t="shared" si="310"/>
        <v>0</v>
      </c>
      <c r="AL2779" s="5">
        <f t="shared" si="312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2288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1"/>
        <v>0</v>
      </c>
      <c r="Z2780" s="2" t="s">
        <v>3237</v>
      </c>
      <c r="AA2780" s="2" t="s">
        <v>46</v>
      </c>
      <c r="AB2780" s="2" t="s">
        <v>57</v>
      </c>
      <c r="AC2780" s="2" t="s">
        <v>58</v>
      </c>
      <c r="AF2780" s="2">
        <f t="shared" si="308"/>
        <v>0</v>
      </c>
      <c r="AG2780" s="2">
        <v>29.27</v>
      </c>
      <c r="AH2780" s="2">
        <v>60</v>
      </c>
      <c r="AJ2780" s="2">
        <f t="shared" si="309"/>
        <v>0</v>
      </c>
      <c r="AK2780" s="2">
        <f t="shared" si="310"/>
        <v>0</v>
      </c>
      <c r="AL2780" s="5">
        <f t="shared" si="312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2288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1"/>
        <v>-1</v>
      </c>
      <c r="Z2781" s="2" t="s">
        <v>3237</v>
      </c>
      <c r="AA2781" s="2" t="s">
        <v>46</v>
      </c>
      <c r="AB2781" s="2" t="s">
        <v>61</v>
      </c>
      <c r="AC2781" s="2" t="s">
        <v>58</v>
      </c>
      <c r="AF2781" s="2">
        <f t="shared" si="308"/>
        <v>0</v>
      </c>
      <c r="AG2781" s="2">
        <v>8.1999999999999993</v>
      </c>
      <c r="AH2781" s="2">
        <v>13</v>
      </c>
      <c r="AJ2781" s="2">
        <f t="shared" si="309"/>
        <v>0</v>
      </c>
      <c r="AK2781" s="2">
        <f t="shared" si="310"/>
        <v>-8.2000000000000011</v>
      </c>
      <c r="AL2781" s="5">
        <f t="shared" si="312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2288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1"/>
        <v>-1</v>
      </c>
      <c r="Z2782" s="2" t="s">
        <v>3237</v>
      </c>
      <c r="AA2782" s="2" t="s">
        <v>46</v>
      </c>
      <c r="AB2782" s="2" t="s">
        <v>61</v>
      </c>
      <c r="AC2782" s="2" t="s">
        <v>58</v>
      </c>
      <c r="AF2782" s="2">
        <f t="shared" si="308"/>
        <v>0</v>
      </c>
      <c r="AJ2782" s="2">
        <f t="shared" si="309"/>
        <v>0</v>
      </c>
      <c r="AK2782" s="2">
        <f t="shared" si="310"/>
        <v>-9.1399999999999988</v>
      </c>
      <c r="AL2782" s="19">
        <f t="shared" si="312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2288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1"/>
        <v>-1</v>
      </c>
      <c r="Z2783" s="2" t="s">
        <v>3237</v>
      </c>
      <c r="AA2783" s="2" t="s">
        <v>46</v>
      </c>
      <c r="AB2783" s="2" t="s">
        <v>68</v>
      </c>
      <c r="AC2783" s="2" t="s">
        <v>58</v>
      </c>
      <c r="AF2783" s="2">
        <f t="shared" si="308"/>
        <v>0</v>
      </c>
      <c r="AG2783" s="2">
        <v>15.020300000000001</v>
      </c>
      <c r="AH2783" s="2">
        <v>27.6</v>
      </c>
      <c r="AJ2783" s="2">
        <f t="shared" si="309"/>
        <v>0</v>
      </c>
      <c r="AK2783" s="2">
        <f t="shared" si="310"/>
        <v>-45.060900000000004</v>
      </c>
      <c r="AL2783" s="5">
        <f t="shared" si="312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2288</v>
      </c>
      <c r="P2784" s="2" t="s">
        <v>43</v>
      </c>
      <c r="Q2784" s="2" t="s">
        <v>1435</v>
      </c>
      <c r="R2784" s="2" t="s">
        <v>1436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1"/>
        <v>0</v>
      </c>
      <c r="Z2784" s="2" t="s">
        <v>3237</v>
      </c>
      <c r="AA2784" s="2" t="s">
        <v>46</v>
      </c>
      <c r="AB2784" s="2" t="s">
        <v>61</v>
      </c>
      <c r="AC2784" s="2" t="s">
        <v>58</v>
      </c>
      <c r="AF2784" s="2">
        <f t="shared" si="308"/>
        <v>0</v>
      </c>
      <c r="AJ2784" s="2">
        <f t="shared" si="309"/>
        <v>0</v>
      </c>
      <c r="AK2784" s="2">
        <f t="shared" si="310"/>
        <v>0</v>
      </c>
      <c r="AL2784" s="5">
        <f t="shared" si="312"/>
        <v>0</v>
      </c>
    </row>
    <row r="2785" spans="1:38" x14ac:dyDescent="0.2">
      <c r="A2785" s="2">
        <v>2025</v>
      </c>
      <c r="B2785" s="2">
        <v>9</v>
      </c>
      <c r="D2785" s="2" t="s">
        <v>1299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1300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3">(T2785-W2785)/T2785</f>
        <v>0.3549081129538324</v>
      </c>
      <c r="Z2785" s="2" t="s">
        <v>3237</v>
      </c>
      <c r="AA2785" s="2" t="s">
        <v>76</v>
      </c>
      <c r="AB2785" s="2" t="s">
        <v>77</v>
      </c>
      <c r="AC2785" s="2" t="s">
        <v>78</v>
      </c>
      <c r="AF2785" s="2">
        <f t="shared" si="308"/>
        <v>0</v>
      </c>
      <c r="AJ2785" s="2">
        <f t="shared" si="309"/>
        <v>0</v>
      </c>
      <c r="AK2785" s="2">
        <f t="shared" si="310"/>
        <v>79.180000000000007</v>
      </c>
      <c r="AL2785" s="5">
        <f t="shared" ref="AL2785:AL2828" si="314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1299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1300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3"/>
        <v>0</v>
      </c>
      <c r="Z2786" s="2" t="s">
        <v>3237</v>
      </c>
      <c r="AA2786" s="2" t="s">
        <v>97</v>
      </c>
      <c r="AB2786" s="2" t="s">
        <v>77</v>
      </c>
      <c r="AC2786" s="2" t="s">
        <v>94</v>
      </c>
      <c r="AF2786" s="2">
        <f t="shared" si="308"/>
        <v>0</v>
      </c>
      <c r="AJ2786" s="2">
        <f t="shared" si="309"/>
        <v>0</v>
      </c>
      <c r="AK2786" s="2">
        <f t="shared" si="310"/>
        <v>0</v>
      </c>
      <c r="AL2786" s="5">
        <f t="shared" si="314"/>
        <v>0</v>
      </c>
    </row>
    <row r="2787" spans="1:38" x14ac:dyDescent="0.2">
      <c r="A2787" s="2">
        <v>2025</v>
      </c>
      <c r="B2787" s="2">
        <v>9</v>
      </c>
      <c r="D2787" s="2" t="s">
        <v>1439</v>
      </c>
      <c r="P2787" s="2" t="s">
        <v>115</v>
      </c>
      <c r="Q2787" s="2" t="s">
        <v>2289</v>
      </c>
      <c r="R2787" s="2" t="s">
        <v>2290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3"/>
        <v>1</v>
      </c>
      <c r="AF2787" s="2">
        <f t="shared" si="308"/>
        <v>0</v>
      </c>
      <c r="AJ2787" s="2">
        <f t="shared" si="309"/>
        <v>0</v>
      </c>
      <c r="AK2787" s="2">
        <f t="shared" si="310"/>
        <v>234.52</v>
      </c>
      <c r="AL2787" s="5">
        <f t="shared" si="314"/>
        <v>1</v>
      </c>
    </row>
    <row r="2788" spans="1:38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3"/>
        <v>0.25</v>
      </c>
      <c r="Z2788" s="2" t="s">
        <v>3237</v>
      </c>
      <c r="AA2788" s="2" t="s">
        <v>72</v>
      </c>
      <c r="AB2788" s="2" t="s">
        <v>120</v>
      </c>
      <c r="AC2788" s="2" t="s">
        <v>120</v>
      </c>
      <c r="AF2788" s="2">
        <f t="shared" si="308"/>
        <v>0</v>
      </c>
      <c r="AJ2788" s="2">
        <f t="shared" si="309"/>
        <v>0</v>
      </c>
      <c r="AK2788" s="2">
        <f t="shared" si="310"/>
        <v>99.75</v>
      </c>
      <c r="AL2788" s="5">
        <f t="shared" si="314"/>
        <v>0.25</v>
      </c>
    </row>
    <row r="2789" spans="1:38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3"/>
        <v>0.4</v>
      </c>
      <c r="Z2789" s="2" t="s">
        <v>3237</v>
      </c>
      <c r="AA2789" s="2" t="s">
        <v>46</v>
      </c>
      <c r="AB2789" s="2" t="s">
        <v>61</v>
      </c>
      <c r="AC2789" s="2" t="s">
        <v>3343</v>
      </c>
      <c r="AF2789" s="2">
        <f t="shared" si="308"/>
        <v>0</v>
      </c>
      <c r="AJ2789" s="2">
        <f t="shared" si="309"/>
        <v>0</v>
      </c>
      <c r="AK2789" s="2">
        <f t="shared" si="310"/>
        <v>23.200000000000003</v>
      </c>
      <c r="AL2789" s="5">
        <f t="shared" si="314"/>
        <v>0.4</v>
      </c>
    </row>
    <row r="2790" spans="1:38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1367</v>
      </c>
      <c r="R2790" s="2" t="s">
        <v>1368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3"/>
        <v>0.6542553191489362</v>
      </c>
      <c r="Z2790" s="2" t="s">
        <v>3237</v>
      </c>
      <c r="AA2790" s="2" t="s">
        <v>46</v>
      </c>
      <c r="AB2790" s="2" t="s">
        <v>47</v>
      </c>
      <c r="AC2790" s="2" t="s">
        <v>48</v>
      </c>
      <c r="AF2790" s="2">
        <f t="shared" si="308"/>
        <v>0</v>
      </c>
      <c r="AJ2790" s="2">
        <f t="shared" si="309"/>
        <v>0</v>
      </c>
      <c r="AK2790" s="2">
        <f t="shared" si="310"/>
        <v>55.349999999999994</v>
      </c>
      <c r="AL2790" s="5">
        <f t="shared" si="314"/>
        <v>0.6542553191489362</v>
      </c>
    </row>
    <row r="2791" spans="1:38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3"/>
        <v>0.62350000000000005</v>
      </c>
      <c r="Z2791" s="2" t="s">
        <v>3237</v>
      </c>
      <c r="AA2791" s="2" t="s">
        <v>46</v>
      </c>
      <c r="AB2791" s="2" t="s">
        <v>47</v>
      </c>
      <c r="AC2791" s="2" t="s">
        <v>48</v>
      </c>
      <c r="AF2791" s="2">
        <f t="shared" si="308"/>
        <v>0</v>
      </c>
      <c r="AJ2791" s="2">
        <f t="shared" si="309"/>
        <v>0</v>
      </c>
      <c r="AK2791" s="2">
        <f t="shared" si="310"/>
        <v>56.115000000000002</v>
      </c>
      <c r="AL2791" s="5">
        <f t="shared" si="314"/>
        <v>0.62350000000000005</v>
      </c>
    </row>
    <row r="2792" spans="1:38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3"/>
        <v>1</v>
      </c>
      <c r="Z2792" s="2" t="s">
        <v>3237</v>
      </c>
      <c r="AA2792" s="2" t="s">
        <v>46</v>
      </c>
      <c r="AB2792" s="2" t="s">
        <v>57</v>
      </c>
      <c r="AC2792" s="2" t="s">
        <v>58</v>
      </c>
      <c r="AF2792" s="2">
        <f t="shared" si="308"/>
        <v>0</v>
      </c>
      <c r="AJ2792" s="2">
        <f t="shared" si="309"/>
        <v>0</v>
      </c>
      <c r="AK2792" s="2">
        <f t="shared" si="310"/>
        <v>19.8</v>
      </c>
      <c r="AL2792" s="5">
        <f t="shared" si="314"/>
        <v>1</v>
      </c>
    </row>
    <row r="2793" spans="1:38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3"/>
        <v>1</v>
      </c>
      <c r="Z2793" s="2" t="s">
        <v>3237</v>
      </c>
      <c r="AA2793" s="2" t="s">
        <v>46</v>
      </c>
      <c r="AB2793" s="2" t="s">
        <v>57</v>
      </c>
      <c r="AC2793" s="2" t="s">
        <v>58</v>
      </c>
      <c r="AF2793" s="2">
        <f t="shared" si="308"/>
        <v>0</v>
      </c>
      <c r="AJ2793" s="2">
        <f t="shared" si="309"/>
        <v>0</v>
      </c>
      <c r="AK2793" s="2">
        <f t="shared" si="310"/>
        <v>24</v>
      </c>
      <c r="AL2793" s="5">
        <f t="shared" si="314"/>
        <v>1</v>
      </c>
    </row>
    <row r="2794" spans="1:38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3"/>
        <v>1</v>
      </c>
      <c r="Z2794" s="2" t="s">
        <v>3237</v>
      </c>
      <c r="AA2794" s="2" t="s">
        <v>46</v>
      </c>
      <c r="AB2794" s="2" t="s">
        <v>57</v>
      </c>
      <c r="AC2794" s="2" t="s">
        <v>58</v>
      </c>
      <c r="AF2794" s="2">
        <f t="shared" si="308"/>
        <v>0</v>
      </c>
      <c r="AJ2794" s="2">
        <f t="shared" si="309"/>
        <v>0</v>
      </c>
      <c r="AK2794" s="2">
        <f t="shared" si="310"/>
        <v>28.8</v>
      </c>
      <c r="AL2794" s="5">
        <f t="shared" si="314"/>
        <v>1</v>
      </c>
    </row>
    <row r="2795" spans="1:38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3"/>
        <v>1</v>
      </c>
      <c r="Z2795" s="2" t="s">
        <v>3237</v>
      </c>
      <c r="AA2795" s="2" t="s">
        <v>46</v>
      </c>
      <c r="AB2795" s="2" t="s">
        <v>57</v>
      </c>
      <c r="AC2795" s="2" t="s">
        <v>58</v>
      </c>
      <c r="AF2795" s="2">
        <f t="shared" si="308"/>
        <v>0</v>
      </c>
      <c r="AJ2795" s="2">
        <f t="shared" si="309"/>
        <v>0</v>
      </c>
      <c r="AK2795" s="2">
        <f t="shared" si="310"/>
        <v>16.8</v>
      </c>
      <c r="AL2795" s="5">
        <f t="shared" si="314"/>
        <v>1</v>
      </c>
    </row>
    <row r="2796" spans="1:38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3"/>
        <v>0.29692307692307701</v>
      </c>
      <c r="Z2796" s="2" t="s">
        <v>3237</v>
      </c>
      <c r="AA2796" s="2" t="s">
        <v>46</v>
      </c>
      <c r="AB2796" s="2" t="s">
        <v>61</v>
      </c>
      <c r="AC2796" s="2" t="s">
        <v>58</v>
      </c>
      <c r="AF2796" s="2">
        <f t="shared" si="308"/>
        <v>0</v>
      </c>
      <c r="AG2796" s="2">
        <v>9.14</v>
      </c>
      <c r="AH2796" s="2">
        <v>16</v>
      </c>
      <c r="AJ2796" s="2">
        <f t="shared" si="309"/>
        <v>0</v>
      </c>
      <c r="AK2796" s="2">
        <f t="shared" si="310"/>
        <v>3.8600000000000012</v>
      </c>
      <c r="AL2796" s="5">
        <f t="shared" si="314"/>
        <v>0.29692307692307701</v>
      </c>
    </row>
    <row r="2797" spans="1:38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3"/>
        <v>0.3166666666666666</v>
      </c>
      <c r="Z2797" s="2" t="s">
        <v>3237</v>
      </c>
      <c r="AA2797" s="2" t="s">
        <v>46</v>
      </c>
      <c r="AB2797" s="2" t="s">
        <v>61</v>
      </c>
      <c r="AC2797" s="2" t="s">
        <v>58</v>
      </c>
      <c r="AF2797" s="2">
        <f t="shared" si="308"/>
        <v>0</v>
      </c>
      <c r="AG2797" s="2">
        <v>8.1999999999999993</v>
      </c>
      <c r="AH2797" s="2">
        <v>13</v>
      </c>
      <c r="AJ2797" s="2">
        <f t="shared" si="309"/>
        <v>0</v>
      </c>
      <c r="AK2797" s="2">
        <f t="shared" si="310"/>
        <v>3.7999999999999989</v>
      </c>
      <c r="AL2797" s="5">
        <f t="shared" si="314"/>
        <v>0.3166666666666666</v>
      </c>
    </row>
    <row r="2798" spans="1:38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3"/>
        <v>0.31725909090909088</v>
      </c>
      <c r="Z2798" s="2" t="s">
        <v>3237</v>
      </c>
      <c r="AA2798" s="2" t="s">
        <v>46</v>
      </c>
      <c r="AB2798" s="2" t="s">
        <v>68</v>
      </c>
      <c r="AC2798" s="2" t="s">
        <v>58</v>
      </c>
      <c r="AF2798" s="2">
        <f t="shared" si="308"/>
        <v>0</v>
      </c>
      <c r="AG2798" s="2">
        <v>15.020300000000001</v>
      </c>
      <c r="AH2798" s="2">
        <v>27.6</v>
      </c>
      <c r="AJ2798" s="2">
        <f t="shared" si="309"/>
        <v>0</v>
      </c>
      <c r="AK2798" s="2">
        <f t="shared" si="310"/>
        <v>6.9796999999999993</v>
      </c>
      <c r="AL2798" s="5">
        <f t="shared" si="314"/>
        <v>0.31725909090909088</v>
      </c>
    </row>
    <row r="2799" spans="1:38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3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8"/>
        <v>0</v>
      </c>
      <c r="AJ2799" s="2">
        <f t="shared" si="309"/>
        <v>0</v>
      </c>
      <c r="AK2799" s="2">
        <f t="shared" si="310"/>
        <v>361.48979999999983</v>
      </c>
      <c r="AL2799" s="5">
        <f t="shared" si="314"/>
        <v>0.25874296757569243</v>
      </c>
    </row>
    <row r="2800" spans="1:38" x14ac:dyDescent="0.2">
      <c r="A2800" s="2">
        <v>2025</v>
      </c>
      <c r="B2800" s="2">
        <v>9</v>
      </c>
      <c r="D2800" s="2" t="s">
        <v>2291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3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8"/>
        <v>0</v>
      </c>
      <c r="AJ2800" s="2">
        <f t="shared" si="309"/>
        <v>0</v>
      </c>
      <c r="AK2800" s="2">
        <f t="shared" si="310"/>
        <v>25.908000000000001</v>
      </c>
      <c r="AL2800" s="5">
        <f t="shared" si="314"/>
        <v>0.52927477017364655</v>
      </c>
    </row>
    <row r="2801" spans="1:38" x14ac:dyDescent="0.2">
      <c r="A2801" s="2">
        <v>2025</v>
      </c>
      <c r="B2801" s="2">
        <v>9</v>
      </c>
      <c r="D2801" s="2" t="s">
        <v>2291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3"/>
        <v>1</v>
      </c>
      <c r="Z2801" s="2" t="s">
        <v>170</v>
      </c>
      <c r="AA2801" s="2" t="s">
        <v>170</v>
      </c>
      <c r="AF2801" s="2">
        <f t="shared" si="308"/>
        <v>0</v>
      </c>
      <c r="AJ2801" s="2">
        <f t="shared" si="309"/>
        <v>0</v>
      </c>
      <c r="AK2801" s="2">
        <f t="shared" si="310"/>
        <v>5</v>
      </c>
      <c r="AL2801" s="5">
        <f t="shared" si="314"/>
        <v>1</v>
      </c>
    </row>
    <row r="2802" spans="1:38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2292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3"/>
        <v>0.48117391304347829</v>
      </c>
      <c r="Z2802" s="2" t="s">
        <v>3237</v>
      </c>
      <c r="AA2802" s="2" t="s">
        <v>76</v>
      </c>
      <c r="AB2802" s="2" t="s">
        <v>77</v>
      </c>
      <c r="AC2802" s="2" t="s">
        <v>78</v>
      </c>
      <c r="AF2802" s="2">
        <f t="shared" si="308"/>
        <v>0</v>
      </c>
      <c r="AG2802" s="2">
        <v>119.33</v>
      </c>
      <c r="AH2802" s="2">
        <v>220</v>
      </c>
      <c r="AJ2802" s="2">
        <f t="shared" si="309"/>
        <v>0</v>
      </c>
      <c r="AK2802" s="2">
        <f t="shared" si="310"/>
        <v>110.67</v>
      </c>
      <c r="AL2802" s="5">
        <f t="shared" si="314"/>
        <v>0.48117391304347829</v>
      </c>
    </row>
    <row r="2803" spans="1:38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2292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3"/>
        <v>0</v>
      </c>
      <c r="Z2803" s="2" t="s">
        <v>3237</v>
      </c>
      <c r="AA2803" s="2" t="s">
        <v>97</v>
      </c>
      <c r="AB2803" s="2" t="s">
        <v>77</v>
      </c>
      <c r="AC2803" s="2" t="s">
        <v>94</v>
      </c>
      <c r="AF2803" s="2">
        <f t="shared" si="308"/>
        <v>0</v>
      </c>
      <c r="AG2803" s="2">
        <v>1.1399999999999999</v>
      </c>
      <c r="AH2803" s="2">
        <v>1.1399999999999999</v>
      </c>
      <c r="AJ2803" s="2">
        <f t="shared" si="309"/>
        <v>0</v>
      </c>
      <c r="AK2803" s="2">
        <f t="shared" si="310"/>
        <v>0</v>
      </c>
      <c r="AL2803" s="5">
        <f t="shared" si="314"/>
        <v>0</v>
      </c>
    </row>
    <row r="2804" spans="1:38" x14ac:dyDescent="0.2">
      <c r="A2804" s="2">
        <v>2025</v>
      </c>
      <c r="B2804" s="2">
        <v>9</v>
      </c>
      <c r="D2804" s="2" t="s">
        <v>1443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3"/>
        <v>0.6</v>
      </c>
      <c r="Z2804" s="2" t="s">
        <v>118</v>
      </c>
      <c r="AA2804" s="2" t="s">
        <v>191</v>
      </c>
      <c r="AF2804" s="2">
        <f t="shared" si="308"/>
        <v>0</v>
      </c>
      <c r="AJ2804" s="2">
        <f t="shared" si="309"/>
        <v>0</v>
      </c>
      <c r="AK2804" s="2">
        <f t="shared" si="310"/>
        <v>47.4</v>
      </c>
      <c r="AL2804" s="5">
        <f t="shared" si="314"/>
        <v>0.6</v>
      </c>
    </row>
    <row r="2805" spans="1:38" x14ac:dyDescent="0.2">
      <c r="A2805" s="2">
        <v>2025</v>
      </c>
      <c r="B2805" s="2">
        <v>9</v>
      </c>
      <c r="D2805" s="2" t="s">
        <v>1443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3"/>
        <v>0.5</v>
      </c>
      <c r="Z2805" s="2" t="s">
        <v>118</v>
      </c>
      <c r="AA2805" s="2" t="s">
        <v>191</v>
      </c>
      <c r="AF2805" s="2">
        <f t="shared" si="308"/>
        <v>0</v>
      </c>
      <c r="AJ2805" s="2">
        <f t="shared" si="309"/>
        <v>0</v>
      </c>
      <c r="AK2805" s="2">
        <f t="shared" si="310"/>
        <v>25</v>
      </c>
      <c r="AL2805" s="5">
        <f t="shared" si="314"/>
        <v>0.5</v>
      </c>
    </row>
    <row r="2806" spans="1:38" x14ac:dyDescent="0.2">
      <c r="A2806" s="2">
        <v>2025</v>
      </c>
      <c r="B2806" s="2">
        <v>9</v>
      </c>
      <c r="D2806" s="2" t="s">
        <v>2199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3"/>
        <v>0.46612272727272724</v>
      </c>
      <c r="Z2806" s="2" t="s">
        <v>3237</v>
      </c>
      <c r="AA2806" s="2" t="s">
        <v>76</v>
      </c>
      <c r="AB2806" s="2" t="s">
        <v>77</v>
      </c>
      <c r="AC2806" s="2" t="s">
        <v>78</v>
      </c>
      <c r="AF2806" s="2">
        <f t="shared" si="308"/>
        <v>0</v>
      </c>
      <c r="AG2806" s="2">
        <v>117.453</v>
      </c>
      <c r="AH2806" s="2">
        <v>220</v>
      </c>
      <c r="AJ2806" s="2">
        <f t="shared" si="309"/>
        <v>0</v>
      </c>
      <c r="AK2806" s="2">
        <f t="shared" si="310"/>
        <v>102.547</v>
      </c>
      <c r="AL2806" s="5">
        <f t="shared" si="314"/>
        <v>0.46612272727272724</v>
      </c>
    </row>
    <row r="2807" spans="1:38" x14ac:dyDescent="0.2">
      <c r="A2807" s="2">
        <v>2025</v>
      </c>
      <c r="B2807" s="2">
        <v>9</v>
      </c>
      <c r="D2807" s="2" t="s">
        <v>2199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3"/>
        <v>0</v>
      </c>
      <c r="Z2807" s="2" t="s">
        <v>3237</v>
      </c>
      <c r="AA2807" s="2" t="s">
        <v>97</v>
      </c>
      <c r="AB2807" s="2" t="s">
        <v>77</v>
      </c>
      <c r="AC2807" s="2" t="s">
        <v>94</v>
      </c>
      <c r="AF2807" s="2">
        <f t="shared" si="308"/>
        <v>0</v>
      </c>
      <c r="AJ2807" s="2">
        <f t="shared" si="309"/>
        <v>0</v>
      </c>
      <c r="AK2807" s="2">
        <f t="shared" si="310"/>
        <v>0</v>
      </c>
      <c r="AL2807" s="5">
        <f t="shared" si="314"/>
        <v>0</v>
      </c>
    </row>
    <row r="2808" spans="1:38" x14ac:dyDescent="0.2">
      <c r="A2808" s="2">
        <v>2025</v>
      </c>
      <c r="B2808" s="2">
        <v>9</v>
      </c>
      <c r="D2808" s="2" t="s">
        <v>1316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1317</v>
      </c>
      <c r="L2808" s="2" t="s">
        <v>178</v>
      </c>
      <c r="M2808" s="2" t="s">
        <v>41</v>
      </c>
      <c r="O2808" s="2" t="s">
        <v>2293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3"/>
        <v>0.25</v>
      </c>
      <c r="Z2808" s="2" t="s">
        <v>3237</v>
      </c>
      <c r="AA2808" s="2" t="s">
        <v>72</v>
      </c>
      <c r="AB2808" s="2" t="s">
        <v>120</v>
      </c>
      <c r="AC2808" s="2" t="s">
        <v>120</v>
      </c>
      <c r="AF2808" s="2">
        <f t="shared" si="308"/>
        <v>0</v>
      </c>
      <c r="AG2808" s="2">
        <v>299.25</v>
      </c>
      <c r="AH2808" s="2">
        <v>399</v>
      </c>
      <c r="AJ2808" s="2">
        <f t="shared" si="309"/>
        <v>0</v>
      </c>
      <c r="AK2808" s="2">
        <f t="shared" si="310"/>
        <v>99.75</v>
      </c>
      <c r="AL2808" s="5">
        <f t="shared" si="314"/>
        <v>0.25</v>
      </c>
    </row>
    <row r="2809" spans="1:38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3"/>
        <v>0.6</v>
      </c>
      <c r="Z2809" s="2" t="s">
        <v>118</v>
      </c>
      <c r="AA2809" s="2" t="s">
        <v>191</v>
      </c>
      <c r="AF2809" s="2">
        <f t="shared" si="308"/>
        <v>0</v>
      </c>
      <c r="AJ2809" s="2">
        <f t="shared" si="309"/>
        <v>0</v>
      </c>
      <c r="AK2809" s="2">
        <f t="shared" si="310"/>
        <v>31.2</v>
      </c>
      <c r="AL2809" s="5">
        <f t="shared" si="314"/>
        <v>0.6</v>
      </c>
    </row>
    <row r="2810" spans="1:38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3"/>
        <v>0.5</v>
      </c>
      <c r="Z2810" s="2" t="s">
        <v>118</v>
      </c>
      <c r="AA2810" s="2" t="s">
        <v>191</v>
      </c>
      <c r="AF2810" s="2">
        <f t="shared" si="308"/>
        <v>0</v>
      </c>
      <c r="AJ2810" s="2">
        <f t="shared" si="309"/>
        <v>0</v>
      </c>
      <c r="AK2810" s="2">
        <f t="shared" si="310"/>
        <v>25</v>
      </c>
      <c r="AL2810" s="5">
        <f t="shared" si="314"/>
        <v>0.5</v>
      </c>
    </row>
    <row r="2811" spans="1:38" x14ac:dyDescent="0.2">
      <c r="A2811" s="2">
        <v>2025</v>
      </c>
      <c r="B2811" s="2">
        <v>9</v>
      </c>
      <c r="D2811" s="2" t="s">
        <v>2294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3"/>
        <v>0.60000000000000009</v>
      </c>
      <c r="Z2811" s="2" t="s">
        <v>118</v>
      </c>
      <c r="AA2811" s="2" t="s">
        <v>191</v>
      </c>
      <c r="AF2811" s="2">
        <f t="shared" si="308"/>
        <v>0</v>
      </c>
      <c r="AJ2811" s="2">
        <f t="shared" si="309"/>
        <v>0</v>
      </c>
      <c r="AK2811" s="2">
        <f t="shared" si="310"/>
        <v>83.4</v>
      </c>
      <c r="AL2811" s="5">
        <f t="shared" si="314"/>
        <v>0.60000000000000009</v>
      </c>
    </row>
    <row r="2812" spans="1:38" x14ac:dyDescent="0.2">
      <c r="A2812" s="2">
        <v>2025</v>
      </c>
      <c r="B2812" s="2">
        <v>9</v>
      </c>
      <c r="D2812" s="2" t="s">
        <v>2294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3"/>
        <v>0.5</v>
      </c>
      <c r="Z2812" s="2" t="s">
        <v>118</v>
      </c>
      <c r="AA2812" s="2" t="s">
        <v>191</v>
      </c>
      <c r="AF2812" s="2">
        <f t="shared" si="308"/>
        <v>0</v>
      </c>
      <c r="AJ2812" s="2">
        <f t="shared" si="309"/>
        <v>0</v>
      </c>
      <c r="AK2812" s="2">
        <f t="shared" si="310"/>
        <v>25</v>
      </c>
      <c r="AL2812" s="5">
        <f t="shared" si="314"/>
        <v>0.5</v>
      </c>
    </row>
    <row r="2813" spans="1:38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3"/>
        <v>0.45290151515151511</v>
      </c>
      <c r="Z2813" s="2" t="s">
        <v>3237</v>
      </c>
      <c r="AA2813" s="2" t="s">
        <v>46</v>
      </c>
      <c r="AB2813" s="2" t="s">
        <v>57</v>
      </c>
      <c r="AC2813" s="2" t="s">
        <v>58</v>
      </c>
      <c r="AF2813" s="2">
        <f t="shared" si="308"/>
        <v>0</v>
      </c>
      <c r="AG2813" s="2">
        <v>7.2217000000000002</v>
      </c>
      <c r="AH2813" s="2">
        <v>14.4</v>
      </c>
      <c r="AJ2813" s="2">
        <f t="shared" si="309"/>
        <v>0</v>
      </c>
      <c r="AK2813" s="2">
        <f t="shared" si="310"/>
        <v>11.956599999999998</v>
      </c>
      <c r="AL2813" s="5">
        <f t="shared" si="314"/>
        <v>0.45290151515151511</v>
      </c>
    </row>
    <row r="2814" spans="1:38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3"/>
        <v>1</v>
      </c>
      <c r="Z2814" s="2" t="s">
        <v>3237</v>
      </c>
      <c r="AA2814" s="2" t="s">
        <v>46</v>
      </c>
      <c r="AB2814" s="2" t="s">
        <v>57</v>
      </c>
      <c r="AC2814" s="2" t="s">
        <v>58</v>
      </c>
      <c r="AF2814" s="2">
        <f t="shared" si="308"/>
        <v>0</v>
      </c>
      <c r="AJ2814" s="2">
        <f t="shared" si="309"/>
        <v>0</v>
      </c>
      <c r="AK2814" s="2">
        <f t="shared" si="310"/>
        <v>19.8</v>
      </c>
      <c r="AL2814" s="5">
        <f t="shared" si="314"/>
        <v>1</v>
      </c>
    </row>
    <row r="2815" spans="1:38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3"/>
        <v>1</v>
      </c>
      <c r="Z2815" s="2" t="s">
        <v>3237</v>
      </c>
      <c r="AA2815" s="2" t="s">
        <v>46</v>
      </c>
      <c r="AB2815" s="2" t="s">
        <v>57</v>
      </c>
      <c r="AC2815" s="2" t="s">
        <v>58</v>
      </c>
      <c r="AF2815" s="2">
        <f t="shared" si="308"/>
        <v>0</v>
      </c>
      <c r="AJ2815" s="2">
        <f t="shared" si="309"/>
        <v>0</v>
      </c>
      <c r="AK2815" s="2">
        <f t="shared" si="310"/>
        <v>24</v>
      </c>
      <c r="AL2815" s="5">
        <f t="shared" si="314"/>
        <v>1</v>
      </c>
    </row>
    <row r="2816" spans="1:38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3"/>
        <v>0.21904761904761905</v>
      </c>
      <c r="Z2816" s="2" t="s">
        <v>3237</v>
      </c>
      <c r="AA2816" s="2" t="s">
        <v>46</v>
      </c>
      <c r="AB2816" s="2" t="s">
        <v>61</v>
      </c>
      <c r="AC2816" s="2" t="s">
        <v>58</v>
      </c>
      <c r="AF2816" s="2">
        <f t="shared" si="308"/>
        <v>0</v>
      </c>
      <c r="AG2816" s="2">
        <v>8.1999999999999993</v>
      </c>
      <c r="AH2816" s="2">
        <v>13</v>
      </c>
      <c r="AJ2816" s="2">
        <f t="shared" si="309"/>
        <v>0</v>
      </c>
      <c r="AK2816" s="2">
        <f t="shared" si="310"/>
        <v>46</v>
      </c>
      <c r="AL2816" s="5">
        <f t="shared" si="314"/>
        <v>0.21904761904761905</v>
      </c>
    </row>
    <row r="2817" spans="1:38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3"/>
        <v>0.20521739130434791</v>
      </c>
      <c r="Z2817" s="2" t="s">
        <v>3237</v>
      </c>
      <c r="AA2817" s="2" t="s">
        <v>46</v>
      </c>
      <c r="AB2817" s="2" t="s">
        <v>61</v>
      </c>
      <c r="AC2817" s="2" t="s">
        <v>58</v>
      </c>
      <c r="AF2817" s="2">
        <f t="shared" si="308"/>
        <v>0</v>
      </c>
      <c r="AJ2817" s="2">
        <f t="shared" si="309"/>
        <v>0</v>
      </c>
      <c r="AK2817" s="2">
        <f t="shared" si="310"/>
        <v>11.800000000000004</v>
      </c>
      <c r="AL2817" s="5">
        <f t="shared" si="314"/>
        <v>0.20521739130434791</v>
      </c>
    </row>
    <row r="2818" spans="1:38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3"/>
        <v>0.31725909090909088</v>
      </c>
      <c r="Z2818" s="2" t="s">
        <v>3237</v>
      </c>
      <c r="AA2818" s="2" t="s">
        <v>46</v>
      </c>
      <c r="AB2818" s="2" t="s">
        <v>68</v>
      </c>
      <c r="AC2818" s="2" t="s">
        <v>58</v>
      </c>
      <c r="AF2818" s="2">
        <f t="shared" si="308"/>
        <v>0</v>
      </c>
      <c r="AG2818" s="2">
        <v>15.020300000000001</v>
      </c>
      <c r="AH2818" s="2">
        <v>27.6</v>
      </c>
      <c r="AJ2818" s="2">
        <f t="shared" si="309"/>
        <v>0</v>
      </c>
      <c r="AK2818" s="2">
        <f t="shared" si="310"/>
        <v>13.959399999999999</v>
      </c>
      <c r="AL2818" s="5">
        <f t="shared" si="314"/>
        <v>0.31725909090909088</v>
      </c>
    </row>
    <row r="2819" spans="1:38" x14ac:dyDescent="0.2">
      <c r="A2819" s="2">
        <v>2026</v>
      </c>
      <c r="B2819" s="2">
        <v>2</v>
      </c>
      <c r="D2819" s="2" t="s">
        <v>2295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2296</v>
      </c>
      <c r="L2819" s="2" t="s">
        <v>202</v>
      </c>
      <c r="M2819" s="2" t="s">
        <v>40</v>
      </c>
      <c r="O2819" s="2" t="s">
        <v>2297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3"/>
        <v>0.6</v>
      </c>
      <c r="Z2819" s="2" t="s">
        <v>118</v>
      </c>
      <c r="AA2819" s="2" t="s">
        <v>191</v>
      </c>
      <c r="AF2819" s="2">
        <f t="shared" ref="AF2819:AF2882" si="315">AJ2819</f>
        <v>0</v>
      </c>
      <c r="AJ2819" s="2">
        <f t="shared" ref="AJ2819:AJ2882" si="316">AI2819*T2819</f>
        <v>0</v>
      </c>
      <c r="AK2819" s="2">
        <f t="shared" ref="AK2819:AK2882" si="317">T2819-W2819</f>
        <v>30</v>
      </c>
      <c r="AL2819" s="5">
        <f t="shared" si="314"/>
        <v>0.6</v>
      </c>
    </row>
    <row r="2820" spans="1:38" x14ac:dyDescent="0.2">
      <c r="A2820" s="2">
        <v>2026</v>
      </c>
      <c r="B2820" s="2">
        <v>2</v>
      </c>
      <c r="D2820" s="2" t="s">
        <v>2295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2296</v>
      </c>
      <c r="L2820" s="2" t="s">
        <v>202</v>
      </c>
      <c r="M2820" s="2" t="s">
        <v>40</v>
      </c>
      <c r="O2820" s="2" t="s">
        <v>2297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3"/>
        <v>0.5</v>
      </c>
      <c r="Z2820" s="2" t="s">
        <v>118</v>
      </c>
      <c r="AA2820" s="2" t="s">
        <v>191</v>
      </c>
      <c r="AF2820" s="2">
        <f t="shared" si="315"/>
        <v>0</v>
      </c>
      <c r="AG2820" s="2">
        <f>W2820</f>
        <v>25</v>
      </c>
      <c r="AJ2820" s="2">
        <f t="shared" si="316"/>
        <v>0</v>
      </c>
      <c r="AK2820" s="2">
        <f t="shared" si="317"/>
        <v>25</v>
      </c>
      <c r="AL2820" s="5">
        <f t="shared" si="314"/>
        <v>0.5</v>
      </c>
    </row>
    <row r="2821" spans="1:38" x14ac:dyDescent="0.2">
      <c r="A2821" s="2">
        <v>2026</v>
      </c>
      <c r="B2821" s="2">
        <v>2</v>
      </c>
      <c r="D2821" s="2" t="s">
        <v>2298</v>
      </c>
      <c r="E2821" s="2" t="s">
        <v>38</v>
      </c>
      <c r="G2821" s="2">
        <v>509800696</v>
      </c>
      <c r="H2821" s="2" t="s">
        <v>291</v>
      </c>
      <c r="I2821" s="2" t="s">
        <v>2299</v>
      </c>
      <c r="J2821" s="2" t="s">
        <v>2300</v>
      </c>
      <c r="K2821" s="2">
        <v>930444437</v>
      </c>
      <c r="L2821" s="2" t="s">
        <v>2299</v>
      </c>
      <c r="M2821" s="2" t="s">
        <v>40</v>
      </c>
      <c r="O2821" s="2" t="s">
        <v>2301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3"/>
        <v>0.6</v>
      </c>
      <c r="Z2821" s="2" t="s">
        <v>118</v>
      </c>
      <c r="AA2821" s="2" t="s">
        <v>191</v>
      </c>
      <c r="AF2821" s="2">
        <f t="shared" si="315"/>
        <v>0</v>
      </c>
      <c r="AJ2821" s="2">
        <f t="shared" si="316"/>
        <v>0</v>
      </c>
      <c r="AK2821" s="2">
        <f t="shared" si="317"/>
        <v>242.39999999999998</v>
      </c>
      <c r="AL2821" s="5">
        <f t="shared" si="314"/>
        <v>0.6</v>
      </c>
    </row>
    <row r="2822" spans="1:38" x14ac:dyDescent="0.2">
      <c r="A2822" s="2">
        <v>2026</v>
      </c>
      <c r="B2822" s="2">
        <v>2</v>
      </c>
      <c r="D2822" s="2" t="s">
        <v>2298</v>
      </c>
      <c r="E2822" s="2" t="s">
        <v>38</v>
      </c>
      <c r="G2822" s="2">
        <v>509800696</v>
      </c>
      <c r="H2822" s="2" t="s">
        <v>291</v>
      </c>
      <c r="I2822" s="2" t="s">
        <v>2299</v>
      </c>
      <c r="J2822" s="2" t="s">
        <v>2300</v>
      </c>
      <c r="K2822" s="2">
        <v>930444437</v>
      </c>
      <c r="L2822" s="2" t="s">
        <v>2299</v>
      </c>
      <c r="M2822" s="2" t="s">
        <v>40</v>
      </c>
      <c r="O2822" s="2" t="s">
        <v>2301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3"/>
        <v>0.5</v>
      </c>
      <c r="Z2822" s="2" t="s">
        <v>118</v>
      </c>
      <c r="AA2822" s="2" t="s">
        <v>191</v>
      </c>
      <c r="AF2822" s="2">
        <f t="shared" si="315"/>
        <v>0</v>
      </c>
      <c r="AG2822" s="2">
        <f>W2822</f>
        <v>165</v>
      </c>
      <c r="AJ2822" s="2">
        <f t="shared" si="316"/>
        <v>0</v>
      </c>
      <c r="AK2822" s="2">
        <f t="shared" si="317"/>
        <v>165</v>
      </c>
      <c r="AL2822" s="5">
        <f t="shared" si="314"/>
        <v>0.5</v>
      </c>
    </row>
    <row r="2823" spans="1:38" x14ac:dyDescent="0.2">
      <c r="A2823" s="2">
        <v>2026</v>
      </c>
      <c r="B2823" s="2">
        <v>1</v>
      </c>
      <c r="D2823" s="2" t="s">
        <v>1127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2302</v>
      </c>
      <c r="J2823" s="2" t="s">
        <v>2303</v>
      </c>
      <c r="K2823" s="2">
        <v>965790183</v>
      </c>
      <c r="L2823" s="2" t="s">
        <v>178</v>
      </c>
      <c r="M2823" s="2" t="s">
        <v>40</v>
      </c>
      <c r="O2823" s="2" t="s">
        <v>2304</v>
      </c>
      <c r="P2823" s="2" t="s">
        <v>115</v>
      </c>
      <c r="Q2823" s="2" t="s">
        <v>2305</v>
      </c>
      <c r="R2823" s="2" t="s">
        <v>2306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3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5"/>
        <v>0</v>
      </c>
      <c r="AG2823" s="2">
        <v>136.38999999999999</v>
      </c>
      <c r="AH2823" s="2">
        <v>282.11399999999998</v>
      </c>
      <c r="AJ2823" s="2">
        <f t="shared" si="316"/>
        <v>0</v>
      </c>
      <c r="AK2823" s="2">
        <f t="shared" si="317"/>
        <v>60.320000000000022</v>
      </c>
      <c r="AL2823" s="5">
        <f t="shared" si="314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2307</v>
      </c>
      <c r="P2824" s="2" t="s">
        <v>115</v>
      </c>
      <c r="Q2824" s="2" t="s">
        <v>1378</v>
      </c>
      <c r="R2824" s="2" t="s">
        <v>1379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3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5"/>
        <v>0</v>
      </c>
      <c r="AG2824" s="2">
        <v>27.86</v>
      </c>
      <c r="AJ2824" s="2">
        <f t="shared" si="316"/>
        <v>0</v>
      </c>
      <c r="AK2824" s="2">
        <f t="shared" si="317"/>
        <v>30.880000000000003</v>
      </c>
      <c r="AL2824" s="5">
        <f t="shared" si="314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2307</v>
      </c>
      <c r="P2825" s="2" t="s">
        <v>115</v>
      </c>
      <c r="Q2825" s="2" t="s">
        <v>2235</v>
      </c>
      <c r="R2825" s="2" t="s">
        <v>2236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3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5"/>
        <v>0</v>
      </c>
      <c r="AG2825" s="2">
        <v>28.372499999999999</v>
      </c>
      <c r="AJ2825" s="2">
        <f t="shared" si="316"/>
        <v>0</v>
      </c>
      <c r="AK2825" s="2">
        <f t="shared" si="317"/>
        <v>30.37</v>
      </c>
      <c r="AL2825" s="5">
        <f t="shared" si="314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2308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3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5"/>
        <v>0</v>
      </c>
      <c r="AG2826" s="2">
        <v>12.938599999999999</v>
      </c>
      <c r="AJ2826" s="2">
        <f t="shared" si="316"/>
        <v>0</v>
      </c>
      <c r="AK2826" s="2">
        <f t="shared" si="317"/>
        <v>13.8514</v>
      </c>
      <c r="AL2826" s="5">
        <f t="shared" si="314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2309</v>
      </c>
      <c r="P2827" s="2" t="s">
        <v>115</v>
      </c>
      <c r="Q2827" s="2" t="s">
        <v>1521</v>
      </c>
      <c r="R2827" s="2" t="s">
        <v>1522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3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5"/>
        <v>0</v>
      </c>
      <c r="AG2827" s="2">
        <v>11.246700000000001</v>
      </c>
      <c r="AJ2827" s="2">
        <f t="shared" si="316"/>
        <v>0</v>
      </c>
      <c r="AK2827" s="2">
        <f t="shared" si="317"/>
        <v>12.543299999999999</v>
      </c>
      <c r="AL2827" s="5">
        <f t="shared" si="314"/>
        <v>0.52725094577553588</v>
      </c>
    </row>
    <row r="2828" spans="1:38" x14ac:dyDescent="0.2">
      <c r="A2828" s="2">
        <v>2026</v>
      </c>
      <c r="B2828" s="2">
        <v>1</v>
      </c>
      <c r="D2828" s="2" t="s">
        <v>1667</v>
      </c>
      <c r="G2828" s="2">
        <v>510222340</v>
      </c>
      <c r="I2828" s="2" t="s">
        <v>2310</v>
      </c>
      <c r="L2828" s="2" t="s">
        <v>345</v>
      </c>
      <c r="M2828" s="2" t="s">
        <v>40</v>
      </c>
      <c r="O2828" s="2" t="s">
        <v>2311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3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5"/>
        <v>0</v>
      </c>
      <c r="AG2828" s="2">
        <v>386</v>
      </c>
      <c r="AJ2828" s="2">
        <f t="shared" si="316"/>
        <v>0</v>
      </c>
      <c r="AK2828" s="2">
        <f t="shared" si="317"/>
        <v>759.15000000000009</v>
      </c>
      <c r="AL2828" s="5">
        <f t="shared" si="314"/>
        <v>0.66292625420250628</v>
      </c>
    </row>
    <row r="2829" spans="1:38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2312</v>
      </c>
      <c r="P2829" s="2" t="s">
        <v>115</v>
      </c>
      <c r="Q2829" s="2" t="s">
        <v>2313</v>
      </c>
      <c r="R2829" s="2" t="s">
        <v>2314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5"/>
        <v>0</v>
      </c>
      <c r="AG2829" s="2">
        <v>11.182499999999999</v>
      </c>
      <c r="AJ2829" s="2">
        <f t="shared" si="316"/>
        <v>0</v>
      </c>
      <c r="AK2829" s="2">
        <f t="shared" si="317"/>
        <v>-44.73</v>
      </c>
    </row>
    <row r="2830" spans="1:38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2312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5"/>
        <v>0</v>
      </c>
      <c r="AJ2830" s="2">
        <f t="shared" si="316"/>
        <v>0</v>
      </c>
      <c r="AK2830" s="2">
        <f t="shared" si="317"/>
        <v>-5.2342000000000004</v>
      </c>
    </row>
    <row r="2831" spans="1:38" x14ac:dyDescent="0.2">
      <c r="A2831" s="2">
        <v>2026</v>
      </c>
      <c r="B2831" s="2">
        <v>1</v>
      </c>
      <c r="D2831" s="2" t="s">
        <v>1589</v>
      </c>
      <c r="G2831" s="2">
        <v>504855395</v>
      </c>
      <c r="M2831" s="2" t="s">
        <v>40</v>
      </c>
      <c r="O2831" s="2" t="s">
        <v>2315</v>
      </c>
      <c r="P2831" s="2" t="s">
        <v>115</v>
      </c>
      <c r="Q2831" s="2" t="s">
        <v>2316</v>
      </c>
      <c r="R2831" s="2" t="s">
        <v>2317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8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5"/>
        <v>0</v>
      </c>
      <c r="AG2831" s="2">
        <v>6.2991999999999999</v>
      </c>
      <c r="AJ2831" s="2">
        <f t="shared" si="316"/>
        <v>0</v>
      </c>
      <c r="AK2831" s="2">
        <f t="shared" si="317"/>
        <v>14.0816</v>
      </c>
      <c r="AL2831" s="5">
        <f t="shared" ref="AL2831:AL2862" si="319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1589</v>
      </c>
      <c r="M2832" s="2" t="s">
        <v>40</v>
      </c>
      <c r="O2832" s="2" t="s">
        <v>2315</v>
      </c>
      <c r="P2832" s="2" t="s">
        <v>115</v>
      </c>
      <c r="Q2832" s="2" t="s">
        <v>2318</v>
      </c>
      <c r="R2832" s="2" t="s">
        <v>2319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8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5"/>
        <v>0</v>
      </c>
      <c r="AG2832" s="2">
        <v>6.3601999999999999</v>
      </c>
      <c r="AJ2832" s="2">
        <f t="shared" si="316"/>
        <v>0</v>
      </c>
      <c r="AK2832" s="2">
        <f t="shared" si="317"/>
        <v>7.1597999999999997</v>
      </c>
      <c r="AL2832" s="5">
        <f t="shared" si="319"/>
        <v>0.52957100591715978</v>
      </c>
    </row>
    <row r="2833" spans="1:38" x14ac:dyDescent="0.2">
      <c r="A2833" s="2">
        <v>2026</v>
      </c>
      <c r="B2833" s="2">
        <v>1</v>
      </c>
      <c r="D2833" s="2" t="s">
        <v>2320</v>
      </c>
      <c r="E2833" s="2" t="s">
        <v>38</v>
      </c>
      <c r="G2833" s="2">
        <v>169582760</v>
      </c>
      <c r="H2833" s="2" t="s">
        <v>291</v>
      </c>
      <c r="I2833" s="2" t="s">
        <v>2321</v>
      </c>
      <c r="J2833" s="2" t="s">
        <v>2322</v>
      </c>
      <c r="L2833" s="2" t="s">
        <v>2299</v>
      </c>
      <c r="M2833" s="2" t="s">
        <v>40</v>
      </c>
      <c r="O2833" s="2" t="s">
        <v>2323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8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5"/>
        <v>0</v>
      </c>
      <c r="AG2833" s="2">
        <v>35.931699999999999</v>
      </c>
      <c r="AJ2833" s="2">
        <f t="shared" si="316"/>
        <v>0</v>
      </c>
      <c r="AK2833" s="2">
        <f t="shared" si="317"/>
        <v>81.476600000000005</v>
      </c>
      <c r="AL2833" s="5">
        <f t="shared" si="319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2309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8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5"/>
        <v>0</v>
      </c>
      <c r="AG2834" s="2">
        <v>35.931699999999999</v>
      </c>
      <c r="AJ2834" s="2">
        <f t="shared" si="316"/>
        <v>0</v>
      </c>
      <c r="AK2834" s="2">
        <f t="shared" si="317"/>
        <v>40.738300000000002</v>
      </c>
      <c r="AL2834" s="5">
        <f t="shared" si="319"/>
        <v>0.53134602843354639</v>
      </c>
    </row>
    <row r="2835" spans="1:38" x14ac:dyDescent="0.2">
      <c r="A2835" s="2">
        <v>2026</v>
      </c>
      <c r="B2835" s="2">
        <v>1</v>
      </c>
      <c r="D2835" s="2" t="s">
        <v>976</v>
      </c>
      <c r="M2835" s="2" t="s">
        <v>40</v>
      </c>
      <c r="O2835" s="2" t="s">
        <v>2324</v>
      </c>
      <c r="P2835" s="2" t="s">
        <v>115</v>
      </c>
      <c r="Q2835" s="2" t="s">
        <v>2325</v>
      </c>
      <c r="R2835" s="2" t="s">
        <v>2326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8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5"/>
        <v>0</v>
      </c>
      <c r="AG2835" s="2">
        <v>34.743400000000001</v>
      </c>
      <c r="AJ2835" s="2">
        <f t="shared" si="316"/>
        <v>0</v>
      </c>
      <c r="AK2835" s="2">
        <f t="shared" si="317"/>
        <v>38.686600000000006</v>
      </c>
      <c r="AL2835" s="5">
        <f t="shared" si="319"/>
        <v>0.5268500612828545</v>
      </c>
    </row>
    <row r="2836" spans="1:38" x14ac:dyDescent="0.2">
      <c r="A2836" s="2">
        <v>2026</v>
      </c>
      <c r="B2836" s="2">
        <v>1</v>
      </c>
      <c r="D2836" s="2" t="s">
        <v>2327</v>
      </c>
      <c r="M2836" s="2" t="s">
        <v>40</v>
      </c>
      <c r="O2836" s="2" t="s">
        <v>2328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0">23.042*S2836</f>
        <v>46.084000000000003</v>
      </c>
      <c r="X2836" s="5">
        <f t="shared" si="318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5"/>
        <v>0</v>
      </c>
      <c r="AG2836" s="2">
        <v>22.2</v>
      </c>
      <c r="AJ2836" s="2">
        <f t="shared" si="316"/>
        <v>0</v>
      </c>
      <c r="AK2836" s="2">
        <f t="shared" si="317"/>
        <v>51.816000000000003</v>
      </c>
      <c r="AL2836" s="5">
        <f t="shared" si="319"/>
        <v>0.52927477017364655</v>
      </c>
    </row>
    <row r="2837" spans="1:38" x14ac:dyDescent="0.2">
      <c r="A2837" s="2">
        <v>2026</v>
      </c>
      <c r="B2837" s="2">
        <v>1</v>
      </c>
      <c r="D2837" s="2" t="s">
        <v>1294</v>
      </c>
      <c r="I2837" s="2" t="s">
        <v>2329</v>
      </c>
      <c r="M2837" s="2" t="s">
        <v>40</v>
      </c>
      <c r="O2837" s="2" t="s">
        <v>2330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0"/>
        <v>46.084000000000003</v>
      </c>
      <c r="X2837" s="5">
        <f t="shared" si="318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5"/>
        <v>0</v>
      </c>
      <c r="AG2837" s="2">
        <v>22.2</v>
      </c>
      <c r="AJ2837" s="2">
        <f t="shared" si="316"/>
        <v>0</v>
      </c>
      <c r="AK2837" s="2">
        <f t="shared" si="317"/>
        <v>51.816000000000003</v>
      </c>
      <c r="AL2837" s="5">
        <f t="shared" si="319"/>
        <v>0.52927477017364655</v>
      </c>
    </row>
    <row r="2838" spans="1:38" x14ac:dyDescent="0.2">
      <c r="A2838" s="2">
        <v>2026</v>
      </c>
      <c r="B2838" s="2">
        <v>1</v>
      </c>
      <c r="D2838" s="2" t="s">
        <v>1885</v>
      </c>
      <c r="M2838" s="2" t="s">
        <v>40</v>
      </c>
      <c r="O2838" s="2" t="s">
        <v>2331</v>
      </c>
      <c r="P2838" s="2" t="s">
        <v>115</v>
      </c>
      <c r="Q2838" s="2" t="s">
        <v>1417</v>
      </c>
      <c r="R2838" s="2" t="s">
        <v>1418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8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5"/>
        <v>0</v>
      </c>
      <c r="AG2838" s="2">
        <v>102.39</v>
      </c>
      <c r="AJ2838" s="2">
        <f t="shared" si="316"/>
        <v>0</v>
      </c>
      <c r="AK2838" s="2">
        <f t="shared" si="317"/>
        <v>113.55</v>
      </c>
      <c r="AL2838" s="5">
        <f t="shared" si="319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2332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8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5"/>
        <v>0</v>
      </c>
      <c r="AG2839" s="2">
        <v>30.22</v>
      </c>
      <c r="AJ2839" s="2">
        <f t="shared" si="316"/>
        <v>0</v>
      </c>
      <c r="AK2839" s="2">
        <f t="shared" si="317"/>
        <v>33.24</v>
      </c>
      <c r="AL2839" s="5">
        <f t="shared" si="319"/>
        <v>0.52379451623069651</v>
      </c>
    </row>
    <row r="2840" spans="1:38" x14ac:dyDescent="0.2">
      <c r="A2840" s="2">
        <v>2026</v>
      </c>
      <c r="B2840" s="2">
        <v>1</v>
      </c>
      <c r="D2840" s="2" t="s">
        <v>2239</v>
      </c>
      <c r="M2840" s="2" t="s">
        <v>40</v>
      </c>
      <c r="O2840" s="2" t="s">
        <v>2333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8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5"/>
        <v>0</v>
      </c>
      <c r="AG2840" s="2">
        <v>342.22</v>
      </c>
      <c r="AJ2840" s="2">
        <f t="shared" si="316"/>
        <v>0</v>
      </c>
      <c r="AK2840" s="2">
        <f t="shared" si="317"/>
        <v>354.09659999999997</v>
      </c>
      <c r="AL2840" s="5">
        <f t="shared" si="319"/>
        <v>0.50635864435864431</v>
      </c>
    </row>
    <row r="2841" spans="1:38" x14ac:dyDescent="0.2">
      <c r="A2841" s="2">
        <v>2026</v>
      </c>
      <c r="B2841" s="2">
        <v>1</v>
      </c>
      <c r="D2841" s="2" t="s">
        <v>1011</v>
      </c>
      <c r="M2841" s="2" t="s">
        <v>40</v>
      </c>
      <c r="O2841" s="2" t="s">
        <v>2334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8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5"/>
        <v>0</v>
      </c>
      <c r="AG2841" s="2">
        <v>342.22</v>
      </c>
      <c r="AJ2841" s="2">
        <f t="shared" si="316"/>
        <v>0</v>
      </c>
      <c r="AK2841" s="2">
        <f t="shared" si="317"/>
        <v>354.09659999999997</v>
      </c>
      <c r="AL2841" s="5">
        <f t="shared" si="319"/>
        <v>0.50635864435864431</v>
      </c>
    </row>
    <row r="2842" spans="1:38" x14ac:dyDescent="0.2">
      <c r="A2842" s="2">
        <v>2026</v>
      </c>
      <c r="B2842" s="2">
        <v>1</v>
      </c>
      <c r="D2842" s="2" t="s">
        <v>2335</v>
      </c>
      <c r="I2842" s="2" t="s">
        <v>806</v>
      </c>
      <c r="L2842" s="2" t="s">
        <v>100</v>
      </c>
      <c r="M2842" s="2" t="s">
        <v>40</v>
      </c>
      <c r="O2842" s="2" t="s">
        <v>2336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8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5"/>
        <v>0</v>
      </c>
      <c r="AG2842" s="2">
        <v>343.38569999999999</v>
      </c>
      <c r="AJ2842" s="2">
        <f t="shared" si="316"/>
        <v>0</v>
      </c>
      <c r="AK2842" s="2">
        <f t="shared" si="317"/>
        <v>355.72999999999996</v>
      </c>
      <c r="AL2842" s="5">
        <f t="shared" si="319"/>
        <v>0.50869440869440863</v>
      </c>
    </row>
    <row r="2843" spans="1:38" x14ac:dyDescent="0.2">
      <c r="A2843" s="2">
        <v>2026</v>
      </c>
      <c r="B2843" s="2">
        <v>1</v>
      </c>
      <c r="D2843" s="2" t="s">
        <v>1294</v>
      </c>
      <c r="M2843" s="2" t="s">
        <v>40</v>
      </c>
      <c r="O2843" s="2" t="s">
        <v>2337</v>
      </c>
      <c r="P2843" s="2" t="s">
        <v>115</v>
      </c>
      <c r="Q2843" s="2" t="s">
        <v>2338</v>
      </c>
      <c r="R2843" s="2" t="s">
        <v>2339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8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5"/>
        <v>0</v>
      </c>
      <c r="AG2843" s="2">
        <v>21.6</v>
      </c>
      <c r="AJ2843" s="2">
        <f t="shared" si="316"/>
        <v>0</v>
      </c>
      <c r="AK2843" s="2">
        <f t="shared" si="317"/>
        <v>20.36</v>
      </c>
      <c r="AL2843" s="5">
        <f t="shared" si="319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2340</v>
      </c>
      <c r="P2844" s="2" t="s">
        <v>115</v>
      </c>
      <c r="Q2844" s="2" t="s">
        <v>1662</v>
      </c>
      <c r="R2844" s="2" t="s">
        <v>1663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8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5"/>
        <v>0</v>
      </c>
      <c r="AG2844" s="2">
        <v>565.755</v>
      </c>
      <c r="AJ2844" s="2">
        <f t="shared" si="316"/>
        <v>0</v>
      </c>
      <c r="AK2844" s="2">
        <f t="shared" si="317"/>
        <v>2069.8145000000004</v>
      </c>
      <c r="AL2844" s="5">
        <f t="shared" si="319"/>
        <v>0.7853384656829453</v>
      </c>
    </row>
    <row r="2845" spans="1:38" x14ac:dyDescent="0.2">
      <c r="A2845" s="2">
        <v>2026</v>
      </c>
      <c r="B2845" s="2">
        <v>1</v>
      </c>
      <c r="D2845" s="2" t="s">
        <v>1885</v>
      </c>
      <c r="M2845" s="2" t="s">
        <v>40</v>
      </c>
      <c r="O2845" s="2" t="s">
        <v>2331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8"/>
        <v>0.52584528070923831</v>
      </c>
      <c r="Z2845" s="2" t="s">
        <v>118</v>
      </c>
      <c r="AF2845" s="2">
        <f t="shared" si="315"/>
        <v>0</v>
      </c>
      <c r="AG2845" s="2">
        <v>255.65</v>
      </c>
      <c r="AJ2845" s="2">
        <f t="shared" si="316"/>
        <v>0</v>
      </c>
      <c r="AK2845" s="2">
        <f t="shared" si="317"/>
        <v>283.52</v>
      </c>
      <c r="AL2845" s="5">
        <f t="shared" si="319"/>
        <v>0.52584528070923831</v>
      </c>
    </row>
    <row r="2846" spans="1:38" x14ac:dyDescent="0.2">
      <c r="A2846" s="2">
        <v>2026</v>
      </c>
      <c r="B2846" s="2">
        <v>1</v>
      </c>
      <c r="D2846" s="2" t="s">
        <v>2341</v>
      </c>
      <c r="P2846" s="2" t="s">
        <v>115</v>
      </c>
      <c r="Q2846" s="2" t="s">
        <v>981</v>
      </c>
      <c r="R2846" s="2" t="s">
        <v>982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8"/>
        <v>1</v>
      </c>
      <c r="Z2846" s="2" t="s">
        <v>118</v>
      </c>
      <c r="AF2846" s="2">
        <f t="shared" si="315"/>
        <v>0</v>
      </c>
      <c r="AJ2846" s="2">
        <f t="shared" si="316"/>
        <v>0</v>
      </c>
      <c r="AK2846" s="2">
        <f t="shared" si="317"/>
        <v>79.819999999999993</v>
      </c>
      <c r="AL2846" s="5">
        <f t="shared" si="319"/>
        <v>1</v>
      </c>
    </row>
    <row r="2847" spans="1:38" x14ac:dyDescent="0.2">
      <c r="A2847" s="2">
        <v>2026</v>
      </c>
      <c r="B2847" s="2">
        <v>1</v>
      </c>
      <c r="D2847" s="2" t="s">
        <v>2342</v>
      </c>
      <c r="M2847" s="2" t="s">
        <v>41</v>
      </c>
      <c r="P2847" s="2" t="s">
        <v>115</v>
      </c>
      <c r="Q2847" s="2" t="s">
        <v>2343</v>
      </c>
      <c r="R2847" s="2" t="s">
        <v>2344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8"/>
        <v>1</v>
      </c>
      <c r="Z2847" s="2" t="s">
        <v>118</v>
      </c>
      <c r="AF2847" s="2">
        <f t="shared" si="315"/>
        <v>0</v>
      </c>
      <c r="AJ2847" s="2">
        <f t="shared" si="316"/>
        <v>0</v>
      </c>
      <c r="AK2847" s="2">
        <f t="shared" si="317"/>
        <v>422.5</v>
      </c>
      <c r="AL2847" s="5">
        <f t="shared" si="319"/>
        <v>1</v>
      </c>
    </row>
    <row r="2848" spans="1:38" x14ac:dyDescent="0.2">
      <c r="A2848" s="2">
        <v>2026</v>
      </c>
      <c r="B2848" s="2">
        <v>1</v>
      </c>
      <c r="D2848" s="2" t="s">
        <v>1629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1630</v>
      </c>
      <c r="J2848" s="2" t="s">
        <v>1631</v>
      </c>
      <c r="L2848" s="2" t="s">
        <v>294</v>
      </c>
      <c r="M2848" s="2" t="s">
        <v>40</v>
      </c>
      <c r="O2848" s="2" t="s">
        <v>2345</v>
      </c>
      <c r="P2848" s="2" t="s">
        <v>115</v>
      </c>
      <c r="Q2848" s="2" t="s">
        <v>1475</v>
      </c>
      <c r="R2848" s="2" t="s">
        <v>1476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8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5"/>
        <v>0</v>
      </c>
      <c r="AG2848" s="2">
        <v>343.38</v>
      </c>
      <c r="AH2848" s="2">
        <v>986.58</v>
      </c>
      <c r="AJ2848" s="2">
        <f t="shared" si="316"/>
        <v>0</v>
      </c>
      <c r="AK2848" s="2">
        <f t="shared" si="317"/>
        <v>248.57000000000005</v>
      </c>
      <c r="AL2848" s="5">
        <f t="shared" si="319"/>
        <v>0.41991722273840704</v>
      </c>
    </row>
    <row r="2849" spans="1:38" x14ac:dyDescent="0.2">
      <c r="A2849" s="2">
        <v>2026</v>
      </c>
      <c r="B2849" s="2">
        <v>1</v>
      </c>
      <c r="D2849" s="2" t="s">
        <v>2346</v>
      </c>
      <c r="M2849" s="2" t="s">
        <v>40</v>
      </c>
      <c r="P2849" s="2" t="s">
        <v>115</v>
      </c>
      <c r="Q2849" s="2" t="s">
        <v>1475</v>
      </c>
      <c r="R2849" s="2" t="s">
        <v>1476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8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5"/>
        <v>0</v>
      </c>
      <c r="AG2849" s="2">
        <v>343.38</v>
      </c>
      <c r="AH2849" s="2">
        <v>986.58</v>
      </c>
      <c r="AJ2849" s="2">
        <f t="shared" si="316"/>
        <v>0</v>
      </c>
      <c r="AK2849" s="2">
        <f t="shared" si="317"/>
        <v>347.23</v>
      </c>
      <c r="AL2849" s="5">
        <f t="shared" si="319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1475</v>
      </c>
      <c r="R2850" s="2" t="s">
        <v>1476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5"/>
        <v>0</v>
      </c>
      <c r="AG2850" s="2">
        <v>343.38</v>
      </c>
      <c r="AH2850" s="2">
        <v>986.58</v>
      </c>
      <c r="AJ2850" s="2">
        <f t="shared" si="316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2347</v>
      </c>
      <c r="R2851" s="2" t="s">
        <v>2348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1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5"/>
        <v>0</v>
      </c>
      <c r="AJ2851" s="2">
        <f t="shared" si="316"/>
        <v>0</v>
      </c>
      <c r="AK2851" s="2">
        <f t="shared" si="317"/>
        <v>1601.8500000000001</v>
      </c>
      <c r="AL2851" s="5">
        <f t="shared" si="319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2349</v>
      </c>
      <c r="R2852" s="2" t="s">
        <v>2350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1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5"/>
        <v>0</v>
      </c>
      <c r="AJ2852" s="2">
        <f t="shared" si="316"/>
        <v>0</v>
      </c>
      <c r="AK2852" s="2">
        <f t="shared" si="317"/>
        <v>558.98</v>
      </c>
      <c r="AL2852" s="5">
        <f t="shared" si="319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1186</v>
      </c>
      <c r="R2853" s="2" t="s">
        <v>1187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1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5"/>
        <v>0</v>
      </c>
      <c r="AG2853" s="2">
        <v>7437.5950000000003</v>
      </c>
      <c r="AJ2853" s="2">
        <f t="shared" si="316"/>
        <v>0</v>
      </c>
      <c r="AK2853" s="2">
        <f t="shared" si="317"/>
        <v>692.48499999999967</v>
      </c>
      <c r="AL2853" s="5">
        <f t="shared" si="319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2351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1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5"/>
        <v>0</v>
      </c>
      <c r="AJ2854" s="2">
        <f t="shared" si="316"/>
        <v>0</v>
      </c>
      <c r="AK2854" s="2">
        <f t="shared" si="317"/>
        <v>4400.1200000000008</v>
      </c>
      <c r="AL2854" s="5">
        <f t="shared" si="319"/>
        <v>0.31451894210150111</v>
      </c>
    </row>
    <row r="2855" spans="1:38" x14ac:dyDescent="0.2">
      <c r="A2855" s="2">
        <v>2026</v>
      </c>
      <c r="B2855" s="2">
        <v>1</v>
      </c>
      <c r="C2855" s="2" t="s">
        <v>3338</v>
      </c>
      <c r="D2855" s="2" t="s">
        <v>3339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2351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1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5"/>
        <v>0</v>
      </c>
      <c r="AG2855" s="2">
        <v>10669.4</v>
      </c>
      <c r="AJ2855" s="2">
        <f t="shared" si="316"/>
        <v>0</v>
      </c>
      <c r="AK2855" s="2">
        <f t="shared" si="317"/>
        <v>3336.2000000000007</v>
      </c>
      <c r="AL2855" s="5">
        <f t="shared" si="319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2352</v>
      </c>
      <c r="P2856" s="2" t="s">
        <v>115</v>
      </c>
      <c r="Q2856" s="2" t="s">
        <v>958</v>
      </c>
      <c r="R2856" s="2" t="s">
        <v>959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1"/>
        <v>0.19140875000000004</v>
      </c>
      <c r="Z2856" s="2" t="s">
        <v>105</v>
      </c>
      <c r="AA2856" s="2" t="s">
        <v>617</v>
      </c>
      <c r="AB2856" s="2" t="s">
        <v>960</v>
      </c>
      <c r="AC2856" s="2" t="s">
        <v>115</v>
      </c>
      <c r="AF2856" s="2">
        <f t="shared" si="315"/>
        <v>0</v>
      </c>
      <c r="AG2856" s="2">
        <v>6468.73</v>
      </c>
      <c r="AJ2856" s="2">
        <f t="shared" si="316"/>
        <v>0</v>
      </c>
      <c r="AK2856" s="2">
        <f t="shared" si="317"/>
        <v>1531.2700000000004</v>
      </c>
      <c r="AL2856" s="5">
        <f t="shared" si="319"/>
        <v>0.19140875000000004</v>
      </c>
    </row>
    <row r="2857" spans="1:38" x14ac:dyDescent="0.2">
      <c r="A2857" s="2">
        <v>2026</v>
      </c>
      <c r="B2857" s="2">
        <v>1</v>
      </c>
      <c r="D2857" s="2" t="s">
        <v>2327</v>
      </c>
      <c r="P2857" s="2" t="s">
        <v>115</v>
      </c>
      <c r="Q2857" s="2" t="s">
        <v>958</v>
      </c>
      <c r="R2857" s="2" t="s">
        <v>959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1"/>
        <v>0.27561814109742444</v>
      </c>
      <c r="Z2857" s="2" t="s">
        <v>105</v>
      </c>
      <c r="AA2857" s="2" t="s">
        <v>617</v>
      </c>
      <c r="AB2857" s="2" t="s">
        <v>960</v>
      </c>
      <c r="AC2857" s="2" t="s">
        <v>115</v>
      </c>
      <c r="AF2857" s="2">
        <f t="shared" si="315"/>
        <v>0</v>
      </c>
      <c r="AG2857" s="2">
        <f>6193.4+275.33</f>
        <v>6468.73</v>
      </c>
      <c r="AJ2857" s="2">
        <f t="shared" si="316"/>
        <v>0</v>
      </c>
      <c r="AK2857" s="2">
        <f t="shared" si="317"/>
        <v>2461.2700000000004</v>
      </c>
      <c r="AL2857" s="5">
        <f t="shared" si="319"/>
        <v>0.27561814109742444</v>
      </c>
    </row>
    <row r="2858" spans="1:38" x14ac:dyDescent="0.2">
      <c r="A2858" s="2">
        <v>2026</v>
      </c>
      <c r="B2858" s="2">
        <v>1</v>
      </c>
      <c r="D2858" s="2" t="s">
        <v>1127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2302</v>
      </c>
      <c r="J2858" s="2" t="s">
        <v>2303</v>
      </c>
      <c r="K2858" s="2">
        <v>965790183</v>
      </c>
      <c r="L2858" s="2" t="s">
        <v>178</v>
      </c>
      <c r="M2858" s="2" t="s">
        <v>41</v>
      </c>
      <c r="O2858" s="2" t="s">
        <v>2353</v>
      </c>
      <c r="P2858" s="2" t="s">
        <v>115</v>
      </c>
      <c r="Q2858" s="2" t="s">
        <v>958</v>
      </c>
      <c r="R2858" s="2" t="s">
        <v>959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1"/>
        <v>0.31908105263157899</v>
      </c>
      <c r="Z2858" s="2" t="s">
        <v>105</v>
      </c>
      <c r="AA2858" s="2" t="s">
        <v>617</v>
      </c>
      <c r="AB2858" s="2" t="s">
        <v>960</v>
      </c>
      <c r="AC2858" s="2" t="s">
        <v>115</v>
      </c>
      <c r="AF2858" s="2">
        <f t="shared" si="315"/>
        <v>0</v>
      </c>
      <c r="AG2858" s="2">
        <f>6193.4+275.33</f>
        <v>6468.73</v>
      </c>
      <c r="AJ2858" s="2">
        <f t="shared" si="316"/>
        <v>0</v>
      </c>
      <c r="AK2858" s="2">
        <f t="shared" si="317"/>
        <v>3031.2700000000004</v>
      </c>
      <c r="AL2858" s="5">
        <f t="shared" si="319"/>
        <v>0.31908105263157899</v>
      </c>
    </row>
    <row r="2859" spans="1:38" x14ac:dyDescent="0.2">
      <c r="A2859" s="2">
        <v>2026</v>
      </c>
      <c r="B2859" s="2">
        <v>1</v>
      </c>
      <c r="D2859" s="2" t="s">
        <v>976</v>
      </c>
      <c r="M2859" s="2" t="s">
        <v>3312</v>
      </c>
      <c r="P2859" s="2" t="s">
        <v>2354</v>
      </c>
      <c r="Q2859" s="2" t="s">
        <v>2355</v>
      </c>
      <c r="R2859" s="2" t="s">
        <v>2356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1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2354</v>
      </c>
      <c r="AF2859" s="2">
        <f t="shared" si="315"/>
        <v>0</v>
      </c>
      <c r="AG2859" s="2">
        <v>203</v>
      </c>
      <c r="AJ2859" s="2">
        <f t="shared" si="316"/>
        <v>0</v>
      </c>
      <c r="AK2859" s="2">
        <f t="shared" si="317"/>
        <v>897</v>
      </c>
      <c r="AL2859" s="5">
        <f t="shared" si="319"/>
        <v>0.81545454545454543</v>
      </c>
    </row>
    <row r="2860" spans="1:38" x14ac:dyDescent="0.2">
      <c r="A2860" s="2">
        <v>2026</v>
      </c>
      <c r="B2860" s="2">
        <v>1</v>
      </c>
      <c r="D2860" s="2" t="s">
        <v>1560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1561</v>
      </c>
      <c r="J2860" s="2" t="s">
        <v>1562</v>
      </c>
      <c r="L2860" s="2" t="s">
        <v>100</v>
      </c>
      <c r="M2860" s="2" t="s">
        <v>41</v>
      </c>
      <c r="P2860" s="2" t="s">
        <v>2357</v>
      </c>
      <c r="Q2860" s="2" t="s">
        <v>2358</v>
      </c>
      <c r="R2860" s="2" t="s">
        <v>2359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1"/>
        <v>0.36584745762711868</v>
      </c>
      <c r="Z2860" s="2" t="s">
        <v>105</v>
      </c>
      <c r="AA2860" s="2" t="s">
        <v>72</v>
      </c>
      <c r="AB2860" s="2" t="s">
        <v>2357</v>
      </c>
      <c r="AC2860" s="2" t="s">
        <v>2357</v>
      </c>
      <c r="AF2860" s="2">
        <f t="shared" si="315"/>
        <v>0</v>
      </c>
      <c r="AG2860" s="2">
        <v>374.15</v>
      </c>
      <c r="AH2860" s="2">
        <v>662.51</v>
      </c>
      <c r="AJ2860" s="2">
        <f t="shared" si="316"/>
        <v>0</v>
      </c>
      <c r="AK2860" s="2">
        <f t="shared" si="317"/>
        <v>215.85000000000002</v>
      </c>
      <c r="AL2860" s="5">
        <f t="shared" si="319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2360</v>
      </c>
      <c r="P2861" s="2" t="s">
        <v>283</v>
      </c>
      <c r="Q2861" s="2" t="s">
        <v>1517</v>
      </c>
      <c r="R2861" s="2" t="s">
        <v>1518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1"/>
        <v>0.4499999999999999</v>
      </c>
      <c r="Z2861" s="2" t="s">
        <v>3237</v>
      </c>
      <c r="AA2861" s="2" t="s">
        <v>72</v>
      </c>
      <c r="AB2861" s="2" t="s">
        <v>1607</v>
      </c>
      <c r="AC2861" s="2" t="s">
        <v>1607</v>
      </c>
      <c r="AF2861" s="2">
        <f t="shared" si="315"/>
        <v>0</v>
      </c>
      <c r="AG2861" s="2">
        <v>27.445</v>
      </c>
      <c r="AJ2861" s="2">
        <f t="shared" si="316"/>
        <v>0</v>
      </c>
      <c r="AK2861" s="2">
        <f t="shared" si="317"/>
        <v>67.364999999999981</v>
      </c>
      <c r="AL2861" s="5">
        <f t="shared" si="319"/>
        <v>0.4499999999999999</v>
      </c>
    </row>
    <row r="2862" spans="1:38" x14ac:dyDescent="0.2">
      <c r="A2862" s="2">
        <v>2026</v>
      </c>
      <c r="B2862" s="2">
        <v>1</v>
      </c>
      <c r="D2862" s="2" t="s">
        <v>2361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2362</v>
      </c>
      <c r="P2862" s="2" t="s">
        <v>283</v>
      </c>
      <c r="Q2862" s="2" t="s">
        <v>2363</v>
      </c>
      <c r="R2862" s="2" t="s">
        <v>2364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1"/>
        <v>0.45833333333333331</v>
      </c>
      <c r="Z2862" s="2" t="s">
        <v>3237</v>
      </c>
      <c r="AA2862" s="2" t="s">
        <v>72</v>
      </c>
      <c r="AB2862" s="2" t="s">
        <v>1607</v>
      </c>
      <c r="AC2862" s="2" t="s">
        <v>1607</v>
      </c>
      <c r="AF2862" s="2">
        <f t="shared" si="315"/>
        <v>0</v>
      </c>
      <c r="AG2862" s="2">
        <v>6.5</v>
      </c>
      <c r="AH2862" s="2">
        <v>10</v>
      </c>
      <c r="AJ2862" s="2">
        <f t="shared" si="316"/>
        <v>0</v>
      </c>
      <c r="AK2862" s="2">
        <f t="shared" si="317"/>
        <v>5.5</v>
      </c>
      <c r="AL2862" s="5">
        <f t="shared" si="319"/>
        <v>0.45833333333333331</v>
      </c>
    </row>
    <row r="2863" spans="1:38" x14ac:dyDescent="0.2">
      <c r="A2863" s="2">
        <v>2026</v>
      </c>
      <c r="B2863" s="2">
        <v>1</v>
      </c>
      <c r="D2863" s="2" t="s">
        <v>2365</v>
      </c>
      <c r="E2863" s="2" t="s">
        <v>754</v>
      </c>
      <c r="G2863" s="2">
        <v>191221937</v>
      </c>
      <c r="H2863" s="2" t="s">
        <v>110</v>
      </c>
      <c r="I2863" s="2" t="s">
        <v>2366</v>
      </c>
      <c r="J2863" s="2" t="s">
        <v>2367</v>
      </c>
      <c r="L2863" s="2" t="s">
        <v>134</v>
      </c>
      <c r="M2863" s="2" t="s">
        <v>110</v>
      </c>
      <c r="P2863" s="2" t="s">
        <v>283</v>
      </c>
      <c r="Q2863" s="2" t="s">
        <v>1554</v>
      </c>
      <c r="R2863" s="2" t="s">
        <v>1555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1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5"/>
        <v>0</v>
      </c>
      <c r="AG2863" s="2">
        <v>297</v>
      </c>
      <c r="AH2863" s="2">
        <v>595</v>
      </c>
      <c r="AJ2863" s="2">
        <f t="shared" si="316"/>
        <v>0</v>
      </c>
      <c r="AK2863" s="2">
        <f t="shared" si="317"/>
        <v>298</v>
      </c>
      <c r="AL2863" s="5">
        <f t="shared" ref="AL2863:AL2894" si="322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1"/>
        <v>0.274505</v>
      </c>
      <c r="Z2864" s="2" t="s">
        <v>3237</v>
      </c>
      <c r="AA2864" s="2" t="s">
        <v>46</v>
      </c>
      <c r="AB2864" s="2" t="s">
        <v>61</v>
      </c>
      <c r="AC2864" s="2" t="s">
        <v>3343</v>
      </c>
      <c r="AF2864" s="2">
        <f t="shared" si="315"/>
        <v>0</v>
      </c>
      <c r="AJ2864" s="2">
        <f t="shared" si="316"/>
        <v>0</v>
      </c>
      <c r="AK2864" s="2">
        <f t="shared" si="317"/>
        <v>21.9604</v>
      </c>
      <c r="AL2864" s="5">
        <f t="shared" si="322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1"/>
        <v>0.27450500000000005</v>
      </c>
      <c r="Z2865" s="2" t="s">
        <v>3237</v>
      </c>
      <c r="AA2865" s="2" t="s">
        <v>46</v>
      </c>
      <c r="AB2865" s="2" t="s">
        <v>61</v>
      </c>
      <c r="AC2865" s="2" t="s">
        <v>3343</v>
      </c>
      <c r="AF2865" s="2">
        <f t="shared" si="315"/>
        <v>0</v>
      </c>
      <c r="AJ2865" s="2">
        <f t="shared" si="316"/>
        <v>0</v>
      </c>
      <c r="AK2865" s="2">
        <f t="shared" si="317"/>
        <v>109.80200000000002</v>
      </c>
      <c r="AL2865" s="5">
        <f t="shared" si="322"/>
        <v>0.27450500000000005</v>
      </c>
    </row>
    <row r="2866" spans="1:38" x14ac:dyDescent="0.2">
      <c r="A2866" s="2">
        <v>2026</v>
      </c>
      <c r="B2866" s="2">
        <v>1</v>
      </c>
      <c r="D2866" s="2" t="s">
        <v>1560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1561</v>
      </c>
      <c r="J2866" s="2" t="s">
        <v>1562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1"/>
        <v>0.27450500000000005</v>
      </c>
      <c r="Z2866" s="2" t="s">
        <v>3237</v>
      </c>
      <c r="AA2866" s="2" t="s">
        <v>46</v>
      </c>
      <c r="AB2866" s="2" t="s">
        <v>61</v>
      </c>
      <c r="AC2866" s="2" t="s">
        <v>3343</v>
      </c>
      <c r="AF2866" s="2">
        <f t="shared" si="315"/>
        <v>0</v>
      </c>
      <c r="AJ2866" s="2">
        <f t="shared" si="316"/>
        <v>0</v>
      </c>
      <c r="AK2866" s="2">
        <f t="shared" si="317"/>
        <v>109.80200000000002</v>
      </c>
      <c r="AL2866" s="5">
        <f t="shared" si="322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1"/>
        <v>0.27450500000000005</v>
      </c>
      <c r="Z2867" s="2" t="s">
        <v>3237</v>
      </c>
      <c r="AA2867" s="2" t="s">
        <v>46</v>
      </c>
      <c r="AB2867" s="2" t="s">
        <v>61</v>
      </c>
      <c r="AC2867" s="2" t="s">
        <v>3343</v>
      </c>
      <c r="AF2867" s="2">
        <f t="shared" si="315"/>
        <v>0</v>
      </c>
      <c r="AJ2867" s="2">
        <f t="shared" si="316"/>
        <v>0</v>
      </c>
      <c r="AK2867" s="2">
        <f t="shared" si="317"/>
        <v>109.80200000000002</v>
      </c>
      <c r="AL2867" s="5">
        <f t="shared" si="322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2368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1"/>
        <v>0.42321428571428571</v>
      </c>
      <c r="Z2868" s="2" t="s">
        <v>3237</v>
      </c>
      <c r="AA2868" s="2" t="s">
        <v>46</v>
      </c>
      <c r="AB2868" s="2" t="s">
        <v>47</v>
      </c>
      <c r="AC2868" s="2" t="s">
        <v>48</v>
      </c>
      <c r="AF2868" s="2">
        <f t="shared" si="315"/>
        <v>0</v>
      </c>
      <c r="AG2868" s="2">
        <v>14.535</v>
      </c>
      <c r="AH2868" s="2">
        <v>25.2</v>
      </c>
      <c r="AJ2868" s="2">
        <f t="shared" si="316"/>
        <v>0</v>
      </c>
      <c r="AK2868" s="2">
        <f t="shared" si="317"/>
        <v>10.664999999999999</v>
      </c>
      <c r="AL2868" s="5">
        <f t="shared" si="322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1104</v>
      </c>
      <c r="J2869" s="2" t="s">
        <v>1105</v>
      </c>
      <c r="L2869" s="2" t="s">
        <v>178</v>
      </c>
      <c r="M2869" s="2" t="s">
        <v>41</v>
      </c>
      <c r="O2869" s="2" t="s">
        <v>2369</v>
      </c>
      <c r="P2869" s="2" t="s">
        <v>43</v>
      </c>
      <c r="Q2869" s="2" t="s">
        <v>1107</v>
      </c>
      <c r="R2869" s="2" t="s">
        <v>1108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1"/>
        <v>0.4623655913978495</v>
      </c>
      <c r="Z2869" s="2" t="s">
        <v>3237</v>
      </c>
      <c r="AA2869" s="2" t="s">
        <v>46</v>
      </c>
      <c r="AB2869" s="2" t="s">
        <v>47</v>
      </c>
      <c r="AC2869" s="2" t="s">
        <v>48</v>
      </c>
      <c r="AF2869" s="2">
        <f t="shared" si="315"/>
        <v>0</v>
      </c>
      <c r="AG2869" s="2">
        <v>10</v>
      </c>
      <c r="AH2869" s="2">
        <v>21</v>
      </c>
      <c r="AJ2869" s="2">
        <f t="shared" si="316"/>
        <v>0</v>
      </c>
      <c r="AK2869" s="2">
        <f t="shared" si="317"/>
        <v>8.6000000000000014</v>
      </c>
      <c r="AL2869" s="5">
        <f t="shared" si="322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2370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1"/>
        <v>-0.32857142857142868</v>
      </c>
      <c r="Z2870" s="2" t="s">
        <v>3237</v>
      </c>
      <c r="AA2870" s="2" t="s">
        <v>46</v>
      </c>
      <c r="AB2870" s="2" t="s">
        <v>47</v>
      </c>
      <c r="AC2870" s="2" t="s">
        <v>48</v>
      </c>
      <c r="AF2870" s="2">
        <f t="shared" si="315"/>
        <v>0</v>
      </c>
      <c r="AG2870" s="2">
        <v>9.3000000000000007</v>
      </c>
      <c r="AH2870" s="2">
        <v>21</v>
      </c>
      <c r="AJ2870" s="2">
        <f t="shared" si="316"/>
        <v>0</v>
      </c>
      <c r="AK2870" s="2">
        <f t="shared" si="317"/>
        <v>-2.3000000000000007</v>
      </c>
      <c r="AL2870" s="5">
        <f t="shared" si="322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2371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1"/>
        <v>0.5</v>
      </c>
      <c r="Z2871" s="2" t="s">
        <v>3237</v>
      </c>
      <c r="AA2871" s="2" t="s">
        <v>46</v>
      </c>
      <c r="AB2871" s="2" t="s">
        <v>47</v>
      </c>
      <c r="AC2871" s="2" t="s">
        <v>48</v>
      </c>
      <c r="AF2871" s="2">
        <f t="shared" si="315"/>
        <v>0</v>
      </c>
      <c r="AG2871" s="2">
        <v>9.3000000000000007</v>
      </c>
      <c r="AH2871" s="2">
        <v>21</v>
      </c>
      <c r="AJ2871" s="2">
        <f t="shared" si="316"/>
        <v>0</v>
      </c>
      <c r="AK2871" s="2">
        <f t="shared" si="317"/>
        <v>9.3000000000000007</v>
      </c>
      <c r="AL2871" s="5">
        <f t="shared" si="322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1"/>
        <v>0.44777500000000003</v>
      </c>
      <c r="Z2872" s="2" t="s">
        <v>3237</v>
      </c>
      <c r="AA2872" s="2" t="s">
        <v>46</v>
      </c>
      <c r="AB2872" s="2" t="s">
        <v>47</v>
      </c>
      <c r="AC2872" s="2" t="s">
        <v>48</v>
      </c>
      <c r="AF2872" s="2">
        <f t="shared" si="315"/>
        <v>0</v>
      </c>
      <c r="AG2872" s="2">
        <v>6.6266999999999996</v>
      </c>
      <c r="AH2872" s="2">
        <v>12</v>
      </c>
      <c r="AJ2872" s="2">
        <f t="shared" si="316"/>
        <v>0</v>
      </c>
      <c r="AK2872" s="2">
        <f t="shared" si="317"/>
        <v>5.3733000000000004</v>
      </c>
      <c r="AL2872" s="5">
        <f t="shared" si="322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1"/>
        <v>0.49025384615384621</v>
      </c>
      <c r="Z2873" s="2" t="s">
        <v>3237</v>
      </c>
      <c r="AA2873" s="2" t="s">
        <v>46</v>
      </c>
      <c r="AB2873" s="2" t="s">
        <v>47</v>
      </c>
      <c r="AC2873" s="2" t="s">
        <v>48</v>
      </c>
      <c r="AF2873" s="2">
        <f t="shared" si="315"/>
        <v>0</v>
      </c>
      <c r="AG2873" s="2">
        <v>6.6266999999999996</v>
      </c>
      <c r="AH2873" s="2">
        <v>12</v>
      </c>
      <c r="AJ2873" s="2">
        <f t="shared" si="316"/>
        <v>0</v>
      </c>
      <c r="AK2873" s="2">
        <f t="shared" si="317"/>
        <v>25.493200000000002</v>
      </c>
      <c r="AL2873" s="5">
        <f t="shared" si="322"/>
        <v>0.49025384615384621</v>
      </c>
    </row>
    <row r="2874" spans="1:38" x14ac:dyDescent="0.2">
      <c r="A2874" s="2">
        <v>2026</v>
      </c>
      <c r="B2874" s="2">
        <v>1</v>
      </c>
      <c r="D2874" s="2" t="s">
        <v>2372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2373</v>
      </c>
      <c r="J2874" s="2" t="s">
        <v>2374</v>
      </c>
      <c r="K2874" s="2">
        <v>963062174</v>
      </c>
      <c r="L2874" s="2" t="s">
        <v>419</v>
      </c>
      <c r="M2874" s="2" t="s">
        <v>41</v>
      </c>
      <c r="O2874" s="2" t="s">
        <v>2375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1"/>
        <v>0.49025384615384621</v>
      </c>
      <c r="Z2874" s="2" t="s">
        <v>3237</v>
      </c>
      <c r="AA2874" s="2" t="s">
        <v>46</v>
      </c>
      <c r="AB2874" s="2" t="s">
        <v>47</v>
      </c>
      <c r="AC2874" s="2" t="s">
        <v>48</v>
      </c>
      <c r="AF2874" s="2">
        <f t="shared" si="315"/>
        <v>0</v>
      </c>
      <c r="AG2874" s="2">
        <v>6.6266999999999996</v>
      </c>
      <c r="AH2874" s="2">
        <v>12</v>
      </c>
      <c r="AJ2874" s="2">
        <f t="shared" si="316"/>
        <v>0</v>
      </c>
      <c r="AK2874" s="2">
        <f t="shared" si="317"/>
        <v>12.746600000000001</v>
      </c>
      <c r="AL2874" s="5">
        <f t="shared" si="322"/>
        <v>0.49025384615384621</v>
      </c>
    </row>
    <row r="2875" spans="1:38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1367</v>
      </c>
      <c r="R2875" s="2" t="s">
        <v>1368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1"/>
        <v>0.6542553191489362</v>
      </c>
      <c r="Z2875" s="2" t="s">
        <v>3237</v>
      </c>
      <c r="AA2875" s="2" t="s">
        <v>46</v>
      </c>
      <c r="AB2875" s="2" t="s">
        <v>47</v>
      </c>
      <c r="AC2875" s="2" t="s">
        <v>48</v>
      </c>
      <c r="AF2875" s="2">
        <f t="shared" si="315"/>
        <v>0</v>
      </c>
      <c r="AJ2875" s="2">
        <f t="shared" si="316"/>
        <v>0</v>
      </c>
      <c r="AK2875" s="2">
        <f t="shared" si="317"/>
        <v>36.9</v>
      </c>
      <c r="AL2875" s="5">
        <f t="shared" si="322"/>
        <v>0.6542553191489362</v>
      </c>
    </row>
    <row r="2876" spans="1:38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1"/>
        <v>0.62349999999999994</v>
      </c>
      <c r="Z2876" s="2" t="s">
        <v>3237</v>
      </c>
      <c r="AA2876" s="2" t="s">
        <v>46</v>
      </c>
      <c r="AB2876" s="2" t="s">
        <v>47</v>
      </c>
      <c r="AC2876" s="2" t="s">
        <v>48</v>
      </c>
      <c r="AF2876" s="2">
        <f t="shared" si="315"/>
        <v>0</v>
      </c>
      <c r="AJ2876" s="2">
        <f t="shared" si="316"/>
        <v>0</v>
      </c>
      <c r="AK2876" s="2">
        <f t="shared" si="317"/>
        <v>37.409999999999997</v>
      </c>
      <c r="AL2876" s="5">
        <f t="shared" si="322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1"/>
        <v>0.16982222222222226</v>
      </c>
      <c r="Z2877" s="2" t="s">
        <v>3237</v>
      </c>
      <c r="AA2877" s="2" t="s">
        <v>46</v>
      </c>
      <c r="AB2877" s="2" t="s">
        <v>47</v>
      </c>
      <c r="AC2877" s="2" t="s">
        <v>48</v>
      </c>
      <c r="AF2877" s="2">
        <f t="shared" si="315"/>
        <v>0</v>
      </c>
      <c r="AG2877" s="2">
        <v>3.7357999999999998</v>
      </c>
      <c r="AH2877" s="2">
        <v>9</v>
      </c>
      <c r="AJ2877" s="2">
        <f t="shared" si="316"/>
        <v>0</v>
      </c>
      <c r="AK2877" s="2">
        <f t="shared" si="317"/>
        <v>0.76420000000000021</v>
      </c>
      <c r="AL2877" s="5">
        <f t="shared" si="322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1"/>
        <v>0.42327586206896545</v>
      </c>
      <c r="Z2878" s="2" t="s">
        <v>3237</v>
      </c>
      <c r="AA2878" s="2" t="s">
        <v>46</v>
      </c>
      <c r="AB2878" s="2" t="s">
        <v>57</v>
      </c>
      <c r="AC2878" s="2" t="s">
        <v>58</v>
      </c>
      <c r="AF2878" s="2">
        <f t="shared" si="315"/>
        <v>0</v>
      </c>
      <c r="AJ2878" s="2">
        <f t="shared" si="316"/>
        <v>0</v>
      </c>
      <c r="AK2878" s="2">
        <f t="shared" si="317"/>
        <v>7.3649999999999984</v>
      </c>
      <c r="AL2878" s="5">
        <f t="shared" si="322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1"/>
        <v>0.40745714285714285</v>
      </c>
      <c r="Z2879" s="2" t="s">
        <v>3237</v>
      </c>
      <c r="AA2879" s="2" t="s">
        <v>46</v>
      </c>
      <c r="AB2879" s="2" t="s">
        <v>57</v>
      </c>
      <c r="AC2879" s="2" t="s">
        <v>58</v>
      </c>
      <c r="AF2879" s="2">
        <f t="shared" si="315"/>
        <v>0</v>
      </c>
      <c r="AJ2879" s="2">
        <f t="shared" si="316"/>
        <v>0</v>
      </c>
      <c r="AK2879" s="2">
        <f t="shared" si="317"/>
        <v>8.5565999999999995</v>
      </c>
      <c r="AL2879" s="5">
        <f t="shared" si="322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1"/>
        <v>1</v>
      </c>
      <c r="Z2880" s="2" t="s">
        <v>3237</v>
      </c>
      <c r="AA2880" s="2" t="s">
        <v>46</v>
      </c>
      <c r="AB2880" s="2" t="s">
        <v>57</v>
      </c>
      <c r="AC2880" s="2" t="s">
        <v>58</v>
      </c>
      <c r="AF2880" s="2">
        <f t="shared" si="315"/>
        <v>0</v>
      </c>
      <c r="AJ2880" s="2">
        <f t="shared" si="316"/>
        <v>0</v>
      </c>
      <c r="AK2880" s="2">
        <f t="shared" si="317"/>
        <v>12</v>
      </c>
      <c r="AL2880" s="5">
        <f t="shared" si="322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1"/>
        <v>0.53121428571428575</v>
      </c>
      <c r="Z2881" s="2" t="s">
        <v>3237</v>
      </c>
      <c r="AA2881" s="2" t="s">
        <v>46</v>
      </c>
      <c r="AB2881" s="2" t="s">
        <v>57</v>
      </c>
      <c r="AC2881" s="2" t="s">
        <v>58</v>
      </c>
      <c r="AF2881" s="2">
        <f t="shared" si="315"/>
        <v>0</v>
      </c>
      <c r="AG2881" s="2">
        <v>5.9066999999999998</v>
      </c>
      <c r="AH2881" s="2">
        <v>12.6</v>
      </c>
      <c r="AJ2881" s="2">
        <f t="shared" si="316"/>
        <v>0</v>
      </c>
      <c r="AK2881" s="2">
        <f t="shared" si="317"/>
        <v>13.3866</v>
      </c>
      <c r="AL2881" s="5">
        <f t="shared" si="322"/>
        <v>0.53121428571428575</v>
      </c>
    </row>
    <row r="2882" spans="1:38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2376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1"/>
        <v>0.47912698412698418</v>
      </c>
      <c r="Z2882" s="2" t="s">
        <v>3237</v>
      </c>
      <c r="AA2882" s="2" t="s">
        <v>46</v>
      </c>
      <c r="AB2882" s="2" t="s">
        <v>57</v>
      </c>
      <c r="AC2882" s="2" t="s">
        <v>58</v>
      </c>
      <c r="AF2882" s="2">
        <f t="shared" si="315"/>
        <v>0</v>
      </c>
      <c r="AG2882" s="2">
        <v>5.9066999999999998</v>
      </c>
      <c r="AH2882" s="2">
        <v>12.6</v>
      </c>
      <c r="AJ2882" s="2">
        <f t="shared" si="316"/>
        <v>0</v>
      </c>
      <c r="AK2882" s="2">
        <f t="shared" si="317"/>
        <v>27.166500000000003</v>
      </c>
      <c r="AL2882" s="5">
        <f t="shared" si="322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3">(T2883-W2883)/T2883</f>
        <v>0.53121428571428575</v>
      </c>
      <c r="Z2883" s="2" t="s">
        <v>3237</v>
      </c>
      <c r="AA2883" s="2" t="s">
        <v>46</v>
      </c>
      <c r="AB2883" s="2" t="s">
        <v>57</v>
      </c>
      <c r="AC2883" s="2" t="s">
        <v>58</v>
      </c>
      <c r="AF2883" s="2">
        <f t="shared" ref="AF2883:AF2946" si="324">AJ2883</f>
        <v>0</v>
      </c>
      <c r="AG2883" s="2">
        <v>5.9066999999999998</v>
      </c>
      <c r="AH2883" s="2">
        <v>12.6</v>
      </c>
      <c r="AJ2883" s="2">
        <f t="shared" ref="AJ2883:AJ2946" si="325">AI2883*T2883</f>
        <v>0</v>
      </c>
      <c r="AK2883" s="2">
        <f t="shared" ref="AK2883:AK2946" si="326">T2883-W2883</f>
        <v>13.3866</v>
      </c>
      <c r="AL2883" s="5">
        <f t="shared" si="322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3"/>
        <v>0.49849305555555556</v>
      </c>
      <c r="Z2884" s="2" t="s">
        <v>3237</v>
      </c>
      <c r="AA2884" s="2" t="s">
        <v>46</v>
      </c>
      <c r="AB2884" s="2" t="s">
        <v>57</v>
      </c>
      <c r="AC2884" s="2" t="s">
        <v>58</v>
      </c>
      <c r="AF2884" s="2">
        <f t="shared" si="324"/>
        <v>0</v>
      </c>
      <c r="AG2884" s="2">
        <v>7.2217000000000002</v>
      </c>
      <c r="AH2884" s="2">
        <v>14.4</v>
      </c>
      <c r="AJ2884" s="2">
        <f t="shared" si="325"/>
        <v>0</v>
      </c>
      <c r="AK2884" s="2">
        <f t="shared" si="326"/>
        <v>14.3566</v>
      </c>
      <c r="AL2884" s="5">
        <f t="shared" si="322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3"/>
        <v>0.49849305555555556</v>
      </c>
      <c r="Z2885" s="2" t="s">
        <v>3237</v>
      </c>
      <c r="AA2885" s="2" t="s">
        <v>46</v>
      </c>
      <c r="AB2885" s="2" t="s">
        <v>57</v>
      </c>
      <c r="AC2885" s="2" t="s">
        <v>58</v>
      </c>
      <c r="AF2885" s="2">
        <f t="shared" si="324"/>
        <v>0</v>
      </c>
      <c r="AG2885" s="2">
        <v>7.2217000000000002</v>
      </c>
      <c r="AH2885" s="2">
        <v>14.4</v>
      </c>
      <c r="AJ2885" s="2">
        <f t="shared" si="325"/>
        <v>0</v>
      </c>
      <c r="AK2885" s="2">
        <f t="shared" si="326"/>
        <v>14.3566</v>
      </c>
      <c r="AL2885" s="5">
        <f t="shared" si="322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27">9.075*S2886</f>
        <v>18.149999999999999</v>
      </c>
      <c r="X2886" s="5">
        <f t="shared" si="323"/>
        <v>0.47844827586206895</v>
      </c>
      <c r="Z2886" s="2" t="s">
        <v>3237</v>
      </c>
      <c r="AA2886" s="2" t="s">
        <v>46</v>
      </c>
      <c r="AB2886" s="2" t="s">
        <v>57</v>
      </c>
      <c r="AC2886" s="2" t="s">
        <v>58</v>
      </c>
      <c r="AF2886" s="2">
        <f t="shared" si="324"/>
        <v>0</v>
      </c>
      <c r="AJ2886" s="2">
        <f t="shared" si="325"/>
        <v>0</v>
      </c>
      <c r="AK2886" s="2">
        <f t="shared" si="326"/>
        <v>16.649999999999999</v>
      </c>
      <c r="AL2886" s="5">
        <f t="shared" si="322"/>
        <v>0.47844827586206895</v>
      </c>
    </row>
    <row r="2887" spans="1:38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2376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27"/>
        <v>90.75</v>
      </c>
      <c r="X2887" s="5">
        <f t="shared" si="323"/>
        <v>0.48554421768707484</v>
      </c>
      <c r="Z2887" s="2" t="s">
        <v>3237</v>
      </c>
      <c r="AA2887" s="2" t="s">
        <v>46</v>
      </c>
      <c r="AB2887" s="2" t="s">
        <v>57</v>
      </c>
      <c r="AC2887" s="2" t="s">
        <v>58</v>
      </c>
      <c r="AF2887" s="2">
        <f t="shared" si="324"/>
        <v>0</v>
      </c>
      <c r="AG2887" s="2">
        <v>9.0749999999999993</v>
      </c>
      <c r="AJ2887" s="2">
        <f t="shared" si="325"/>
        <v>0</v>
      </c>
      <c r="AK2887" s="2">
        <f t="shared" si="326"/>
        <v>85.65</v>
      </c>
      <c r="AL2887" s="5">
        <f t="shared" si="322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27"/>
        <v>18.149999999999999</v>
      </c>
      <c r="X2888" s="5">
        <f t="shared" si="323"/>
        <v>0.47844827586206895</v>
      </c>
      <c r="Z2888" s="2" t="s">
        <v>3237</v>
      </c>
      <c r="AA2888" s="2" t="s">
        <v>46</v>
      </c>
      <c r="AB2888" s="2" t="s">
        <v>57</v>
      </c>
      <c r="AC2888" s="2" t="s">
        <v>58</v>
      </c>
      <c r="AF2888" s="2">
        <f t="shared" si="324"/>
        <v>0</v>
      </c>
      <c r="AJ2888" s="2">
        <f t="shared" si="325"/>
        <v>0</v>
      </c>
      <c r="AK2888" s="2">
        <f t="shared" si="326"/>
        <v>16.649999999999999</v>
      </c>
      <c r="AL2888" s="5">
        <f t="shared" si="322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3"/>
        <v>1</v>
      </c>
      <c r="Z2889" s="2" t="s">
        <v>3237</v>
      </c>
      <c r="AA2889" s="2" t="s">
        <v>46</v>
      </c>
      <c r="AB2889" s="2" t="s">
        <v>57</v>
      </c>
      <c r="AC2889" s="2" t="s">
        <v>58</v>
      </c>
      <c r="AF2889" s="2">
        <f t="shared" si="324"/>
        <v>0</v>
      </c>
      <c r="AJ2889" s="2">
        <f t="shared" si="325"/>
        <v>0</v>
      </c>
      <c r="AK2889" s="2">
        <f t="shared" si="326"/>
        <v>42</v>
      </c>
      <c r="AL2889" s="5">
        <f t="shared" si="322"/>
        <v>1</v>
      </c>
    </row>
    <row r="2890" spans="1:38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2376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3"/>
        <v>0.48580074487895719</v>
      </c>
      <c r="Z2890" s="2" t="s">
        <v>3237</v>
      </c>
      <c r="AA2890" s="2" t="s">
        <v>46</v>
      </c>
      <c r="AB2890" s="2" t="s">
        <v>57</v>
      </c>
      <c r="AC2890" s="2" t="s">
        <v>58</v>
      </c>
      <c r="AF2890" s="2">
        <f t="shared" si="324"/>
        <v>0</v>
      </c>
      <c r="AG2890" s="2">
        <v>11.045</v>
      </c>
      <c r="AJ2890" s="2">
        <f t="shared" si="325"/>
        <v>0</v>
      </c>
      <c r="AK2890" s="2">
        <f t="shared" si="326"/>
        <v>41.74</v>
      </c>
      <c r="AL2890" s="5">
        <f t="shared" si="322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3"/>
        <v>1</v>
      </c>
      <c r="Z2891" s="2" t="s">
        <v>3237</v>
      </c>
      <c r="AA2891" s="2" t="s">
        <v>46</v>
      </c>
      <c r="AB2891" s="2" t="s">
        <v>57</v>
      </c>
      <c r="AC2891" s="2" t="s">
        <v>58</v>
      </c>
      <c r="AF2891" s="2">
        <f t="shared" si="324"/>
        <v>0</v>
      </c>
      <c r="AJ2891" s="2">
        <f t="shared" si="325"/>
        <v>0</v>
      </c>
      <c r="AK2891" s="2">
        <f t="shared" si="326"/>
        <v>21</v>
      </c>
      <c r="AL2891" s="5">
        <f t="shared" si="322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3"/>
        <v>1</v>
      </c>
      <c r="Z2892" s="2" t="s">
        <v>3237</v>
      </c>
      <c r="AA2892" s="2" t="s">
        <v>46</v>
      </c>
      <c r="AB2892" s="2" t="s">
        <v>57</v>
      </c>
      <c r="AC2892" s="2" t="s">
        <v>58</v>
      </c>
      <c r="AF2892" s="2">
        <f t="shared" si="324"/>
        <v>0</v>
      </c>
      <c r="AJ2892" s="2">
        <f t="shared" si="325"/>
        <v>0</v>
      </c>
      <c r="AK2892" s="2">
        <f t="shared" si="326"/>
        <v>50.4</v>
      </c>
      <c r="AL2892" s="5">
        <f t="shared" si="322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3"/>
        <v>1</v>
      </c>
      <c r="Z2893" s="2" t="s">
        <v>3237</v>
      </c>
      <c r="AA2893" s="2" t="s">
        <v>46</v>
      </c>
      <c r="AB2893" s="2" t="s">
        <v>57</v>
      </c>
      <c r="AC2893" s="2" t="s">
        <v>58</v>
      </c>
      <c r="AF2893" s="2">
        <f t="shared" si="324"/>
        <v>0</v>
      </c>
      <c r="AJ2893" s="2">
        <f t="shared" si="325"/>
        <v>0</v>
      </c>
      <c r="AK2893" s="2">
        <f t="shared" si="326"/>
        <v>60</v>
      </c>
      <c r="AL2893" s="5">
        <f t="shared" si="322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8">10.6*S2894</f>
        <v>127.19999999999999</v>
      </c>
      <c r="X2894" s="5">
        <f t="shared" si="323"/>
        <v>9.7872340425532001E-2</v>
      </c>
      <c r="Z2894" s="2" t="s">
        <v>3237</v>
      </c>
      <c r="AA2894" s="2" t="s">
        <v>46</v>
      </c>
      <c r="AB2894" s="2" t="s">
        <v>57</v>
      </c>
      <c r="AC2894" s="2" t="s">
        <v>58</v>
      </c>
      <c r="AF2894" s="2">
        <f t="shared" si="324"/>
        <v>0</v>
      </c>
      <c r="AG2894" s="2">
        <v>10.6</v>
      </c>
      <c r="AH2894" s="2">
        <v>18</v>
      </c>
      <c r="AJ2894" s="2">
        <f t="shared" si="325"/>
        <v>0</v>
      </c>
      <c r="AK2894" s="2">
        <f t="shared" si="326"/>
        <v>13.800000000000011</v>
      </c>
      <c r="AL2894" s="5">
        <f t="shared" si="322"/>
        <v>9.7872340425532001E-2</v>
      </c>
    </row>
    <row r="2895" spans="1:38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8"/>
        <v>21.2</v>
      </c>
      <c r="X2895" s="5">
        <f t="shared" si="323"/>
        <v>0.41111111111111115</v>
      </c>
      <c r="Z2895" s="2" t="s">
        <v>3237</v>
      </c>
      <c r="AA2895" s="2" t="s">
        <v>46</v>
      </c>
      <c r="AB2895" s="2" t="s">
        <v>57</v>
      </c>
      <c r="AC2895" s="2" t="s">
        <v>58</v>
      </c>
      <c r="AF2895" s="2">
        <f t="shared" si="324"/>
        <v>0</v>
      </c>
      <c r="AG2895" s="2">
        <v>10.6</v>
      </c>
      <c r="AH2895" s="2">
        <v>18</v>
      </c>
      <c r="AJ2895" s="2">
        <f t="shared" si="325"/>
        <v>0</v>
      </c>
      <c r="AK2895" s="2">
        <f t="shared" si="326"/>
        <v>14.8</v>
      </c>
      <c r="AL2895" s="5">
        <f t="shared" ref="AL2895:AL2926" si="329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8"/>
        <v>21.2</v>
      </c>
      <c r="X2896" s="5">
        <f t="shared" si="323"/>
        <v>0.41111111111111115</v>
      </c>
      <c r="Z2896" s="2" t="s">
        <v>3237</v>
      </c>
      <c r="AA2896" s="2" t="s">
        <v>46</v>
      </c>
      <c r="AB2896" s="2" t="s">
        <v>57</v>
      </c>
      <c r="AC2896" s="2" t="s">
        <v>58</v>
      </c>
      <c r="AF2896" s="2">
        <f t="shared" si="324"/>
        <v>0</v>
      </c>
      <c r="AG2896" s="2">
        <v>10.6</v>
      </c>
      <c r="AH2896" s="2">
        <v>18</v>
      </c>
      <c r="AJ2896" s="2">
        <f t="shared" si="325"/>
        <v>0</v>
      </c>
      <c r="AK2896" s="2">
        <f t="shared" si="326"/>
        <v>14.8</v>
      </c>
      <c r="AL2896" s="5">
        <f t="shared" si="329"/>
        <v>0.41111111111111115</v>
      </c>
    </row>
    <row r="2897" spans="1:38" x14ac:dyDescent="0.2">
      <c r="A2897" s="2">
        <v>2026</v>
      </c>
      <c r="B2897" s="2">
        <v>1</v>
      </c>
      <c r="D2897" s="2" t="s">
        <v>2222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8"/>
        <v>21.2</v>
      </c>
      <c r="X2897" s="5">
        <f t="shared" si="323"/>
        <v>0.41111111111111115</v>
      </c>
      <c r="Z2897" s="2" t="s">
        <v>3237</v>
      </c>
      <c r="AA2897" s="2" t="s">
        <v>46</v>
      </c>
      <c r="AB2897" s="2" t="s">
        <v>57</v>
      </c>
      <c r="AC2897" s="2" t="s">
        <v>58</v>
      </c>
      <c r="AF2897" s="2">
        <f t="shared" si="324"/>
        <v>0</v>
      </c>
      <c r="AG2897" s="2">
        <v>10.6</v>
      </c>
      <c r="AH2897" s="2">
        <v>18</v>
      </c>
      <c r="AJ2897" s="2">
        <f t="shared" si="325"/>
        <v>0</v>
      </c>
      <c r="AK2897" s="2">
        <f t="shared" si="326"/>
        <v>14.8</v>
      </c>
      <c r="AL2897" s="5">
        <f t="shared" si="329"/>
        <v>0.41111111111111115</v>
      </c>
    </row>
    <row r="2898" spans="1:38" x14ac:dyDescent="0.2">
      <c r="A2898" s="2">
        <v>2026</v>
      </c>
      <c r="B2898" s="2">
        <v>1</v>
      </c>
      <c r="D2898" s="2" t="s">
        <v>1181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1182</v>
      </c>
      <c r="J2898" s="2" t="s">
        <v>1183</v>
      </c>
      <c r="L2898" s="2" t="s">
        <v>462</v>
      </c>
      <c r="M2898" s="2" t="s">
        <v>41</v>
      </c>
      <c r="O2898" s="2" t="s">
        <v>2377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8"/>
        <v>31.799999999999997</v>
      </c>
      <c r="X2898" s="5">
        <f t="shared" si="323"/>
        <v>0.41111111111111115</v>
      </c>
      <c r="Z2898" s="2" t="s">
        <v>3237</v>
      </c>
      <c r="AA2898" s="2" t="s">
        <v>46</v>
      </c>
      <c r="AB2898" s="2" t="s">
        <v>57</v>
      </c>
      <c r="AC2898" s="2" t="s">
        <v>58</v>
      </c>
      <c r="AF2898" s="2">
        <f t="shared" si="324"/>
        <v>0</v>
      </c>
      <c r="AG2898" s="2">
        <v>10.6</v>
      </c>
      <c r="AH2898" s="2">
        <v>18</v>
      </c>
      <c r="AJ2898" s="2">
        <f t="shared" si="325"/>
        <v>0</v>
      </c>
      <c r="AK2898" s="2">
        <f t="shared" si="326"/>
        <v>22.200000000000003</v>
      </c>
      <c r="AL2898" s="5">
        <f t="shared" si="329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8"/>
        <v>53</v>
      </c>
      <c r="X2899" s="5">
        <f t="shared" si="323"/>
        <v>0.41111111111111109</v>
      </c>
      <c r="Z2899" s="2" t="s">
        <v>3237</v>
      </c>
      <c r="AA2899" s="2" t="s">
        <v>46</v>
      </c>
      <c r="AB2899" s="2" t="s">
        <v>57</v>
      </c>
      <c r="AC2899" s="2" t="s">
        <v>58</v>
      </c>
      <c r="AF2899" s="2">
        <f t="shared" si="324"/>
        <v>0</v>
      </c>
      <c r="AG2899" s="2">
        <v>10.6</v>
      </c>
      <c r="AH2899" s="2">
        <v>18</v>
      </c>
      <c r="AJ2899" s="2">
        <f t="shared" si="325"/>
        <v>0</v>
      </c>
      <c r="AK2899" s="2">
        <f t="shared" si="326"/>
        <v>37</v>
      </c>
      <c r="AL2899" s="5">
        <f t="shared" si="329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8"/>
        <v>42.4</v>
      </c>
      <c r="X2900" s="5">
        <f t="shared" si="323"/>
        <v>0.41111111111111115</v>
      </c>
      <c r="Z2900" s="2" t="s">
        <v>3237</v>
      </c>
      <c r="AA2900" s="2" t="s">
        <v>46</v>
      </c>
      <c r="AB2900" s="2" t="s">
        <v>57</v>
      </c>
      <c r="AC2900" s="2" t="s">
        <v>58</v>
      </c>
      <c r="AF2900" s="2">
        <f t="shared" si="324"/>
        <v>0</v>
      </c>
      <c r="AG2900" s="2">
        <v>10.6</v>
      </c>
      <c r="AH2900" s="2">
        <v>18</v>
      </c>
      <c r="AJ2900" s="2">
        <f t="shared" si="325"/>
        <v>0</v>
      </c>
      <c r="AK2900" s="2">
        <f t="shared" si="326"/>
        <v>29.6</v>
      </c>
      <c r="AL2900" s="5">
        <f t="shared" si="329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8"/>
        <v>10.6</v>
      </c>
      <c r="X2901" s="5">
        <f t="shared" si="323"/>
        <v>0.41111111111111115</v>
      </c>
      <c r="Z2901" s="2" t="s">
        <v>3237</v>
      </c>
      <c r="AA2901" s="2" t="s">
        <v>46</v>
      </c>
      <c r="AB2901" s="2" t="s">
        <v>57</v>
      </c>
      <c r="AC2901" s="2" t="s">
        <v>58</v>
      </c>
      <c r="AF2901" s="2">
        <f t="shared" si="324"/>
        <v>0</v>
      </c>
      <c r="AG2901" s="2">
        <v>10.6</v>
      </c>
      <c r="AH2901" s="2">
        <v>18</v>
      </c>
      <c r="AJ2901" s="2">
        <f t="shared" si="325"/>
        <v>0</v>
      </c>
      <c r="AK2901" s="2">
        <f t="shared" si="326"/>
        <v>7.4</v>
      </c>
      <c r="AL2901" s="5">
        <f t="shared" si="329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8"/>
        <v>10.6</v>
      </c>
      <c r="X2902" s="5">
        <f t="shared" si="323"/>
        <v>0.41111111111111115</v>
      </c>
      <c r="Z2902" s="2" t="s">
        <v>3237</v>
      </c>
      <c r="AA2902" s="2" t="s">
        <v>46</v>
      </c>
      <c r="AB2902" s="2" t="s">
        <v>57</v>
      </c>
      <c r="AC2902" s="2" t="s">
        <v>58</v>
      </c>
      <c r="AF2902" s="2">
        <f t="shared" si="324"/>
        <v>0</v>
      </c>
      <c r="AG2902" s="2">
        <v>10.6</v>
      </c>
      <c r="AH2902" s="2">
        <v>18</v>
      </c>
      <c r="AJ2902" s="2">
        <f t="shared" si="325"/>
        <v>0</v>
      </c>
      <c r="AK2902" s="2">
        <f t="shared" si="326"/>
        <v>7.4</v>
      </c>
      <c r="AL2902" s="5">
        <f t="shared" si="329"/>
        <v>0.41111111111111115</v>
      </c>
    </row>
    <row r="2903" spans="1:38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2378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8"/>
        <v>21.2</v>
      </c>
      <c r="X2903" s="5">
        <f t="shared" si="323"/>
        <v>0.41111111111111115</v>
      </c>
      <c r="Z2903" s="2" t="s">
        <v>3237</v>
      </c>
      <c r="AA2903" s="2" t="s">
        <v>46</v>
      </c>
      <c r="AB2903" s="2" t="s">
        <v>57</v>
      </c>
      <c r="AC2903" s="2" t="s">
        <v>58</v>
      </c>
      <c r="AF2903" s="2">
        <f t="shared" si="324"/>
        <v>0</v>
      </c>
      <c r="AG2903" s="2">
        <v>10.6</v>
      </c>
      <c r="AH2903" s="2">
        <v>18</v>
      </c>
      <c r="AJ2903" s="2">
        <f t="shared" si="325"/>
        <v>0</v>
      </c>
      <c r="AK2903" s="2">
        <f t="shared" si="326"/>
        <v>14.8</v>
      </c>
      <c r="AL2903" s="5">
        <f t="shared" si="329"/>
        <v>0.41111111111111115</v>
      </c>
    </row>
    <row r="2904" spans="1:38" x14ac:dyDescent="0.2">
      <c r="A2904" s="2">
        <v>2026</v>
      </c>
      <c r="B2904" s="2">
        <v>1</v>
      </c>
      <c r="D2904" s="2" t="s">
        <v>1046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8"/>
        <v>106</v>
      </c>
      <c r="X2904" s="5">
        <f t="shared" si="323"/>
        <v>0.29333333333333333</v>
      </c>
      <c r="Z2904" s="2" t="s">
        <v>3237</v>
      </c>
      <c r="AA2904" s="2" t="s">
        <v>46</v>
      </c>
      <c r="AB2904" s="2" t="s">
        <v>57</v>
      </c>
      <c r="AC2904" s="2" t="s">
        <v>58</v>
      </c>
      <c r="AF2904" s="2">
        <f t="shared" si="324"/>
        <v>0</v>
      </c>
      <c r="AG2904" s="2">
        <v>10.6</v>
      </c>
      <c r="AH2904" s="2">
        <v>18</v>
      </c>
      <c r="AJ2904" s="2">
        <f t="shared" si="325"/>
        <v>0</v>
      </c>
      <c r="AK2904" s="2">
        <f t="shared" si="326"/>
        <v>44</v>
      </c>
      <c r="AL2904" s="5">
        <f t="shared" si="329"/>
        <v>0.29333333333333333</v>
      </c>
    </row>
    <row r="2905" spans="1:38" x14ac:dyDescent="0.2">
      <c r="A2905" s="2">
        <v>2026</v>
      </c>
      <c r="B2905" s="2">
        <v>1</v>
      </c>
      <c r="D2905" s="2" t="s">
        <v>1401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3227</v>
      </c>
      <c r="J2905" s="2" t="s">
        <v>3226</v>
      </c>
      <c r="K2905" s="2">
        <v>913814877</v>
      </c>
      <c r="L2905" s="2" t="s">
        <v>202</v>
      </c>
      <c r="M2905" s="2" t="s">
        <v>81</v>
      </c>
      <c r="O2905" s="2" t="s">
        <v>3221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8"/>
        <v>31.799999999999997</v>
      </c>
      <c r="X2905" s="5">
        <f t="shared" si="323"/>
        <v>0.41111111111111115</v>
      </c>
      <c r="Z2905" s="2" t="s">
        <v>3237</v>
      </c>
      <c r="AA2905" s="2" t="s">
        <v>46</v>
      </c>
      <c r="AB2905" s="2" t="s">
        <v>57</v>
      </c>
      <c r="AC2905" s="2" t="s">
        <v>58</v>
      </c>
      <c r="AF2905" s="2">
        <f t="shared" si="324"/>
        <v>0</v>
      </c>
      <c r="AG2905" s="2">
        <v>10.6</v>
      </c>
      <c r="AH2905" s="2">
        <v>18</v>
      </c>
      <c r="AJ2905" s="2">
        <f t="shared" si="325"/>
        <v>0</v>
      </c>
      <c r="AK2905" s="2">
        <f t="shared" si="326"/>
        <v>22.200000000000003</v>
      </c>
      <c r="AL2905" s="5">
        <f t="shared" si="329"/>
        <v>0.41111111111111115</v>
      </c>
    </row>
    <row r="2906" spans="1:38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2379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8"/>
        <v>212</v>
      </c>
      <c r="X2906" s="5">
        <f t="shared" si="323"/>
        <v>0.24285714285714285</v>
      </c>
      <c r="Z2906" s="2" t="s">
        <v>3237</v>
      </c>
      <c r="AA2906" s="2" t="s">
        <v>46</v>
      </c>
      <c r="AB2906" s="2" t="s">
        <v>57</v>
      </c>
      <c r="AC2906" s="2" t="s">
        <v>58</v>
      </c>
      <c r="AF2906" s="2">
        <f t="shared" si="324"/>
        <v>0</v>
      </c>
      <c r="AG2906" s="2">
        <v>10.6</v>
      </c>
      <c r="AH2906" s="2">
        <v>18</v>
      </c>
      <c r="AJ2906" s="2">
        <f t="shared" si="325"/>
        <v>0</v>
      </c>
      <c r="AK2906" s="2">
        <f t="shared" si="326"/>
        <v>68</v>
      </c>
      <c r="AL2906" s="5">
        <f t="shared" si="329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8"/>
        <v>106</v>
      </c>
      <c r="X2907" s="5">
        <f t="shared" si="323"/>
        <v>0.24285714285714285</v>
      </c>
      <c r="Z2907" s="2" t="s">
        <v>3237</v>
      </c>
      <c r="AA2907" s="2" t="s">
        <v>46</v>
      </c>
      <c r="AB2907" s="2" t="s">
        <v>57</v>
      </c>
      <c r="AC2907" s="2" t="s">
        <v>58</v>
      </c>
      <c r="AF2907" s="2">
        <f t="shared" si="324"/>
        <v>0</v>
      </c>
      <c r="AG2907" s="2">
        <v>10.6</v>
      </c>
      <c r="AH2907" s="2">
        <v>18</v>
      </c>
      <c r="AJ2907" s="2">
        <f t="shared" si="325"/>
        <v>0</v>
      </c>
      <c r="AK2907" s="2">
        <f t="shared" si="326"/>
        <v>34</v>
      </c>
      <c r="AL2907" s="5">
        <f t="shared" si="329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8"/>
        <v>42.4</v>
      </c>
      <c r="X2908" s="5">
        <f t="shared" si="323"/>
        <v>0.37647058823529411</v>
      </c>
      <c r="Z2908" s="2" t="s">
        <v>3237</v>
      </c>
      <c r="AA2908" s="2" t="s">
        <v>46</v>
      </c>
      <c r="AB2908" s="2" t="s">
        <v>57</v>
      </c>
      <c r="AC2908" s="2" t="s">
        <v>58</v>
      </c>
      <c r="AF2908" s="2">
        <f t="shared" si="324"/>
        <v>0</v>
      </c>
      <c r="AG2908" s="2">
        <v>10.6</v>
      </c>
      <c r="AH2908" s="2">
        <v>18</v>
      </c>
      <c r="AJ2908" s="2">
        <f t="shared" si="325"/>
        <v>0</v>
      </c>
      <c r="AK2908" s="2">
        <f t="shared" si="326"/>
        <v>25.6</v>
      </c>
      <c r="AL2908" s="5">
        <f t="shared" si="329"/>
        <v>0.37647058823529411</v>
      </c>
    </row>
    <row r="2909" spans="1:38" x14ac:dyDescent="0.2">
      <c r="A2909" s="2">
        <v>2026</v>
      </c>
      <c r="B2909" s="2">
        <v>1</v>
      </c>
      <c r="D2909" s="2" t="s">
        <v>2380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8"/>
        <v>21.2</v>
      </c>
      <c r="X2909" s="5">
        <f t="shared" si="323"/>
        <v>0.41111111111111115</v>
      </c>
      <c r="Z2909" s="2" t="s">
        <v>3237</v>
      </c>
      <c r="AA2909" s="2" t="s">
        <v>46</v>
      </c>
      <c r="AB2909" s="2" t="s">
        <v>57</v>
      </c>
      <c r="AC2909" s="2" t="s">
        <v>58</v>
      </c>
      <c r="AF2909" s="2">
        <f t="shared" si="324"/>
        <v>0</v>
      </c>
      <c r="AG2909" s="2">
        <v>10.6</v>
      </c>
      <c r="AH2909" s="2">
        <v>18</v>
      </c>
      <c r="AJ2909" s="2">
        <f t="shared" si="325"/>
        <v>0</v>
      </c>
      <c r="AK2909" s="2">
        <f t="shared" si="326"/>
        <v>14.8</v>
      </c>
      <c r="AL2909" s="5">
        <f t="shared" si="329"/>
        <v>0.41111111111111115</v>
      </c>
    </row>
    <row r="2910" spans="1:38" x14ac:dyDescent="0.2">
      <c r="A2910" s="2">
        <v>2026</v>
      </c>
      <c r="B2910" s="2">
        <v>1</v>
      </c>
      <c r="D2910" s="2" t="s">
        <v>1316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1317</v>
      </c>
      <c r="L2910" s="2" t="s">
        <v>178</v>
      </c>
      <c r="M2910" s="2" t="s">
        <v>41</v>
      </c>
      <c r="O2910" s="2" t="s">
        <v>2381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8"/>
        <v>21.2</v>
      </c>
      <c r="X2910" s="5">
        <f t="shared" si="323"/>
        <v>0.41111111111111115</v>
      </c>
      <c r="Z2910" s="2" t="s">
        <v>3237</v>
      </c>
      <c r="AA2910" s="2" t="s">
        <v>46</v>
      </c>
      <c r="AB2910" s="2" t="s">
        <v>57</v>
      </c>
      <c r="AC2910" s="2" t="s">
        <v>58</v>
      </c>
      <c r="AF2910" s="2">
        <f t="shared" si="324"/>
        <v>0</v>
      </c>
      <c r="AG2910" s="2">
        <v>10.6</v>
      </c>
      <c r="AH2910" s="2">
        <v>18</v>
      </c>
      <c r="AJ2910" s="2">
        <f t="shared" si="325"/>
        <v>0</v>
      </c>
      <c r="AK2910" s="2">
        <f t="shared" si="326"/>
        <v>14.8</v>
      </c>
      <c r="AL2910" s="5">
        <f t="shared" si="329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3380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3"/>
        <v>0.58173666666666668</v>
      </c>
      <c r="Z2911" s="2" t="s">
        <v>3237</v>
      </c>
      <c r="AA2911" s="2" t="s">
        <v>46</v>
      </c>
      <c r="AB2911" s="2" t="s">
        <v>91</v>
      </c>
      <c r="AC2911" s="2" t="s">
        <v>58</v>
      </c>
      <c r="AF2911" s="2">
        <f t="shared" si="324"/>
        <v>0</v>
      </c>
      <c r="AJ2911" s="2">
        <f t="shared" si="325"/>
        <v>0</v>
      </c>
      <c r="AK2911" s="2">
        <f t="shared" si="326"/>
        <v>34.904200000000003</v>
      </c>
      <c r="AL2911" s="5">
        <f t="shared" si="329"/>
        <v>0.58173666666666668</v>
      </c>
    </row>
    <row r="2912" spans="1:38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2382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3"/>
        <v>0.51216666666666666</v>
      </c>
      <c r="Z2912" s="2" t="s">
        <v>3237</v>
      </c>
      <c r="AA2912" s="2" t="s">
        <v>46</v>
      </c>
      <c r="AB2912" s="2" t="s">
        <v>57</v>
      </c>
      <c r="AC2912" s="2" t="s">
        <v>58</v>
      </c>
      <c r="AF2912" s="2">
        <f t="shared" si="324"/>
        <v>0</v>
      </c>
      <c r="AG2912" s="2">
        <v>29.27</v>
      </c>
      <c r="AH2912" s="2">
        <v>60</v>
      </c>
      <c r="AJ2912" s="2">
        <f t="shared" si="325"/>
        <v>0</v>
      </c>
      <c r="AK2912" s="2">
        <f t="shared" si="326"/>
        <v>30.73</v>
      </c>
      <c r="AL2912" s="5">
        <f t="shared" si="329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2383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3"/>
        <v>0.29692307692307701</v>
      </c>
      <c r="Z2913" s="2" t="s">
        <v>3237</v>
      </c>
      <c r="AA2913" s="2" t="s">
        <v>46</v>
      </c>
      <c r="AB2913" s="2" t="s">
        <v>61</v>
      </c>
      <c r="AC2913" s="2" t="s">
        <v>58</v>
      </c>
      <c r="AF2913" s="2">
        <f t="shared" si="324"/>
        <v>0</v>
      </c>
      <c r="AG2913" s="2">
        <v>9.14</v>
      </c>
      <c r="AH2913" s="2">
        <v>16</v>
      </c>
      <c r="AJ2913" s="2">
        <f t="shared" si="325"/>
        <v>0</v>
      </c>
      <c r="AK2913" s="2">
        <f t="shared" si="326"/>
        <v>38.600000000000009</v>
      </c>
      <c r="AL2913" s="5">
        <f t="shared" si="329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2369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3"/>
        <v>0.29692307692307701</v>
      </c>
      <c r="Z2914" s="2" t="s">
        <v>3237</v>
      </c>
      <c r="AA2914" s="2" t="s">
        <v>46</v>
      </c>
      <c r="AB2914" s="2" t="s">
        <v>61</v>
      </c>
      <c r="AC2914" s="2" t="s">
        <v>58</v>
      </c>
      <c r="AF2914" s="2">
        <f t="shared" si="324"/>
        <v>0</v>
      </c>
      <c r="AG2914" s="2">
        <v>9.14</v>
      </c>
      <c r="AH2914" s="2">
        <v>16</v>
      </c>
      <c r="AJ2914" s="2">
        <f t="shared" si="325"/>
        <v>0</v>
      </c>
      <c r="AK2914" s="2">
        <f t="shared" si="326"/>
        <v>3.8600000000000012</v>
      </c>
      <c r="AL2914" s="5">
        <f t="shared" si="329"/>
        <v>0.29692307692307701</v>
      </c>
    </row>
    <row r="2915" spans="1:38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2384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0">(T2915-W2915)/T2915</f>
        <v>0.29692307692307701</v>
      </c>
      <c r="Z2915" s="2" t="s">
        <v>3237</v>
      </c>
      <c r="AA2915" s="2" t="s">
        <v>46</v>
      </c>
      <c r="AB2915" s="2" t="s">
        <v>61</v>
      </c>
      <c r="AC2915" s="2" t="s">
        <v>58</v>
      </c>
      <c r="AF2915" s="2">
        <f t="shared" si="324"/>
        <v>0</v>
      </c>
      <c r="AG2915" s="2">
        <v>9.14</v>
      </c>
      <c r="AH2915" s="2">
        <v>16</v>
      </c>
      <c r="AJ2915" s="2">
        <f t="shared" si="325"/>
        <v>0</v>
      </c>
      <c r="AK2915" s="2">
        <f t="shared" si="326"/>
        <v>3.8600000000000012</v>
      </c>
      <c r="AL2915" s="5">
        <f t="shared" si="329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1">0.082*S2916</f>
        <v>98.4</v>
      </c>
      <c r="X2916" s="5">
        <f t="shared" si="330"/>
        <v>0.19999999999999996</v>
      </c>
      <c r="Z2916" s="2" t="s">
        <v>3237</v>
      </c>
      <c r="AA2916" s="2" t="s">
        <v>46</v>
      </c>
      <c r="AB2916" s="2" t="s">
        <v>61</v>
      </c>
      <c r="AC2916" s="2" t="s">
        <v>58</v>
      </c>
      <c r="AF2916" s="2">
        <f t="shared" si="324"/>
        <v>0</v>
      </c>
      <c r="AG2916" s="2">
        <v>8.1999999999999993</v>
      </c>
      <c r="AH2916" s="2">
        <v>13</v>
      </c>
      <c r="AJ2916" s="2">
        <f t="shared" si="325"/>
        <v>0</v>
      </c>
      <c r="AK2916" s="2">
        <f t="shared" si="326"/>
        <v>24.599999999999994</v>
      </c>
      <c r="AL2916" s="5">
        <f t="shared" si="329"/>
        <v>0.19999999999999996</v>
      </c>
    </row>
    <row r="2917" spans="1:38" x14ac:dyDescent="0.2">
      <c r="A2917" s="2">
        <v>2026</v>
      </c>
      <c r="B2917" s="2">
        <v>1</v>
      </c>
      <c r="D2917" s="2" t="s">
        <v>2361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2362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1"/>
        <v>8.2000000000000011</v>
      </c>
      <c r="X2917" s="5">
        <f t="shared" si="330"/>
        <v>0.36923076923076914</v>
      </c>
      <c r="Z2917" s="2" t="s">
        <v>3237</v>
      </c>
      <c r="AA2917" s="2" t="s">
        <v>46</v>
      </c>
      <c r="AB2917" s="2" t="s">
        <v>61</v>
      </c>
      <c r="AC2917" s="2" t="s">
        <v>58</v>
      </c>
      <c r="AF2917" s="2">
        <f t="shared" si="324"/>
        <v>0</v>
      </c>
      <c r="AG2917" s="2">
        <v>8.1999999999999993</v>
      </c>
      <c r="AH2917" s="2">
        <v>13</v>
      </c>
      <c r="AJ2917" s="2">
        <f t="shared" si="325"/>
        <v>0</v>
      </c>
      <c r="AK2917" s="2">
        <f t="shared" si="326"/>
        <v>4.7999999999999989</v>
      </c>
      <c r="AL2917" s="5">
        <f t="shared" si="329"/>
        <v>0.36923076923076914</v>
      </c>
    </row>
    <row r="2918" spans="1:38" x14ac:dyDescent="0.2">
      <c r="A2918" s="2">
        <v>2026</v>
      </c>
      <c r="B2918" s="2">
        <v>1</v>
      </c>
      <c r="D2918" s="2" t="s">
        <v>1143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1144</v>
      </c>
      <c r="J2918" s="2" t="s">
        <v>1145</v>
      </c>
      <c r="L2918" s="2" t="s">
        <v>100</v>
      </c>
      <c r="M2918" s="2" t="s">
        <v>41</v>
      </c>
      <c r="O2918" s="2" t="s">
        <v>2385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1"/>
        <v>82</v>
      </c>
      <c r="X2918" s="5">
        <f t="shared" si="330"/>
        <v>0.25454545454545452</v>
      </c>
      <c r="Z2918" s="2" t="s">
        <v>3237</v>
      </c>
      <c r="AA2918" s="2" t="s">
        <v>46</v>
      </c>
      <c r="AB2918" s="2" t="s">
        <v>61</v>
      </c>
      <c r="AC2918" s="2" t="s">
        <v>58</v>
      </c>
      <c r="AF2918" s="2">
        <f t="shared" si="324"/>
        <v>0</v>
      </c>
      <c r="AG2918" s="2">
        <v>8.1999999999999993</v>
      </c>
      <c r="AH2918" s="2">
        <v>13</v>
      </c>
      <c r="AJ2918" s="2">
        <f t="shared" si="325"/>
        <v>0</v>
      </c>
      <c r="AK2918" s="2">
        <f t="shared" si="326"/>
        <v>28</v>
      </c>
      <c r="AL2918" s="5">
        <f t="shared" si="329"/>
        <v>0.25454545454545452</v>
      </c>
    </row>
    <row r="2919" spans="1:38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1"/>
        <v>8.2000000000000011</v>
      </c>
      <c r="X2919" s="5">
        <f t="shared" si="330"/>
        <v>0.36923076923076914</v>
      </c>
      <c r="Z2919" s="2" t="s">
        <v>3237</v>
      </c>
      <c r="AA2919" s="2" t="s">
        <v>46</v>
      </c>
      <c r="AB2919" s="2" t="s">
        <v>61</v>
      </c>
      <c r="AC2919" s="2" t="s">
        <v>58</v>
      </c>
      <c r="AF2919" s="2">
        <f t="shared" si="324"/>
        <v>0</v>
      </c>
      <c r="AG2919" s="2">
        <v>8.1999999999999993</v>
      </c>
      <c r="AH2919" s="2">
        <v>13</v>
      </c>
      <c r="AJ2919" s="2">
        <f t="shared" si="325"/>
        <v>0</v>
      </c>
      <c r="AK2919" s="2">
        <f t="shared" si="326"/>
        <v>4.7999999999999989</v>
      </c>
      <c r="AL2919" s="5">
        <f t="shared" si="329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1"/>
        <v>24.6</v>
      </c>
      <c r="X2920" s="5">
        <f t="shared" si="330"/>
        <v>0.3692307692307692</v>
      </c>
      <c r="Z2920" s="2" t="s">
        <v>3237</v>
      </c>
      <c r="AA2920" s="2" t="s">
        <v>46</v>
      </c>
      <c r="AB2920" s="2" t="s">
        <v>61</v>
      </c>
      <c r="AC2920" s="2" t="s">
        <v>58</v>
      </c>
      <c r="AF2920" s="2">
        <f t="shared" si="324"/>
        <v>0</v>
      </c>
      <c r="AG2920" s="2">
        <v>8.1999999999999993</v>
      </c>
      <c r="AH2920" s="2">
        <v>13</v>
      </c>
      <c r="AJ2920" s="2">
        <f t="shared" si="325"/>
        <v>0</v>
      </c>
      <c r="AK2920" s="2">
        <f t="shared" si="326"/>
        <v>14.399999999999999</v>
      </c>
      <c r="AL2920" s="5">
        <f t="shared" si="329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1"/>
        <v>8.2000000000000011</v>
      </c>
      <c r="X2921" s="5">
        <f t="shared" si="330"/>
        <v>0.36923076923076914</v>
      </c>
      <c r="Z2921" s="2" t="s">
        <v>3237</v>
      </c>
      <c r="AA2921" s="2" t="s">
        <v>46</v>
      </c>
      <c r="AB2921" s="2" t="s">
        <v>61</v>
      </c>
      <c r="AC2921" s="2" t="s">
        <v>58</v>
      </c>
      <c r="AF2921" s="2">
        <f t="shared" si="324"/>
        <v>0</v>
      </c>
      <c r="AG2921" s="2">
        <v>8.1999999999999993</v>
      </c>
      <c r="AH2921" s="2">
        <v>13</v>
      </c>
      <c r="AJ2921" s="2">
        <f t="shared" si="325"/>
        <v>0</v>
      </c>
      <c r="AK2921" s="2">
        <f t="shared" si="326"/>
        <v>4.7999999999999989</v>
      </c>
      <c r="AL2921" s="5">
        <f t="shared" si="329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1"/>
        <v>82</v>
      </c>
      <c r="X2922" s="5">
        <f t="shared" si="330"/>
        <v>0.25454545454545452</v>
      </c>
      <c r="Z2922" s="2" t="s">
        <v>3237</v>
      </c>
      <c r="AA2922" s="2" t="s">
        <v>46</v>
      </c>
      <c r="AB2922" s="2" t="s">
        <v>61</v>
      </c>
      <c r="AC2922" s="2" t="s">
        <v>58</v>
      </c>
      <c r="AF2922" s="2">
        <f t="shared" si="324"/>
        <v>0</v>
      </c>
      <c r="AG2922" s="2">
        <v>8.1999999999999993</v>
      </c>
      <c r="AH2922" s="2">
        <v>13</v>
      </c>
      <c r="AJ2922" s="2">
        <f t="shared" si="325"/>
        <v>0</v>
      </c>
      <c r="AK2922" s="2">
        <f t="shared" si="326"/>
        <v>28</v>
      </c>
      <c r="AL2922" s="5">
        <f t="shared" si="329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1"/>
        <v>41</v>
      </c>
      <c r="X2923" s="5">
        <f t="shared" si="330"/>
        <v>0.31666666666666665</v>
      </c>
      <c r="Z2923" s="2" t="s">
        <v>3237</v>
      </c>
      <c r="AA2923" s="2" t="s">
        <v>46</v>
      </c>
      <c r="AB2923" s="2" t="s">
        <v>61</v>
      </c>
      <c r="AC2923" s="2" t="s">
        <v>58</v>
      </c>
      <c r="AF2923" s="2">
        <f t="shared" si="324"/>
        <v>0</v>
      </c>
      <c r="AG2923" s="2">
        <v>8.1999999999999993</v>
      </c>
      <c r="AH2923" s="2">
        <v>13</v>
      </c>
      <c r="AJ2923" s="2">
        <f t="shared" si="325"/>
        <v>0</v>
      </c>
      <c r="AK2923" s="2">
        <f t="shared" si="326"/>
        <v>19</v>
      </c>
      <c r="AL2923" s="5">
        <f t="shared" si="329"/>
        <v>0.31666666666666665</v>
      </c>
    </row>
    <row r="2924" spans="1:38" x14ac:dyDescent="0.2">
      <c r="A2924" s="2">
        <v>2026</v>
      </c>
      <c r="B2924" s="2">
        <v>1</v>
      </c>
      <c r="D2924" s="2" t="s">
        <v>2372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2373</v>
      </c>
      <c r="J2924" s="2" t="s">
        <v>2374</v>
      </c>
      <c r="K2924" s="2">
        <v>963062174</v>
      </c>
      <c r="L2924" s="2" t="s">
        <v>419</v>
      </c>
      <c r="M2924" s="2" t="s">
        <v>41</v>
      </c>
      <c r="O2924" s="2" t="s">
        <v>2375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1"/>
        <v>82</v>
      </c>
      <c r="X2924" s="5">
        <f t="shared" si="330"/>
        <v>0.25454545454545452</v>
      </c>
      <c r="Z2924" s="2" t="s">
        <v>3237</v>
      </c>
      <c r="AA2924" s="2" t="s">
        <v>46</v>
      </c>
      <c r="AB2924" s="2" t="s">
        <v>61</v>
      </c>
      <c r="AC2924" s="2" t="s">
        <v>58</v>
      </c>
      <c r="AF2924" s="2">
        <f t="shared" si="324"/>
        <v>0</v>
      </c>
      <c r="AG2924" s="2">
        <v>8.1999999999999993</v>
      </c>
      <c r="AH2924" s="2">
        <v>13</v>
      </c>
      <c r="AJ2924" s="2">
        <f t="shared" si="325"/>
        <v>0</v>
      </c>
      <c r="AK2924" s="2">
        <f t="shared" si="326"/>
        <v>28</v>
      </c>
      <c r="AL2924" s="5">
        <f t="shared" si="329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0"/>
        <v>1</v>
      </c>
      <c r="Z2925" s="2" t="s">
        <v>3237</v>
      </c>
      <c r="AA2925" s="2" t="s">
        <v>46</v>
      </c>
      <c r="AB2925" s="2" t="s">
        <v>47</v>
      </c>
      <c r="AC2925" s="2" t="s">
        <v>48</v>
      </c>
      <c r="AF2925" s="2">
        <f t="shared" si="324"/>
        <v>0</v>
      </c>
      <c r="AJ2925" s="2">
        <f t="shared" si="325"/>
        <v>0</v>
      </c>
      <c r="AK2925" s="2">
        <f t="shared" si="326"/>
        <v>21</v>
      </c>
      <c r="AL2925" s="5">
        <f t="shared" si="329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0"/>
        <v>0.46454080629301875</v>
      </c>
      <c r="Z2926" s="2" t="s">
        <v>3237</v>
      </c>
      <c r="AA2926" s="2" t="s">
        <v>46</v>
      </c>
      <c r="AB2926" s="2" t="s">
        <v>61</v>
      </c>
      <c r="AC2926" s="2" t="s">
        <v>58</v>
      </c>
      <c r="AF2926" s="2">
        <f t="shared" si="324"/>
        <v>0</v>
      </c>
      <c r="AG2926" s="2">
        <v>3.7555999999999998</v>
      </c>
      <c r="AH2926" s="2">
        <v>7.2</v>
      </c>
      <c r="AJ2926" s="2">
        <f t="shared" si="325"/>
        <v>0</v>
      </c>
      <c r="AK2926" s="2">
        <f t="shared" si="326"/>
        <v>94.487600000000015</v>
      </c>
      <c r="AL2926" s="5">
        <f t="shared" si="329"/>
        <v>0.46454080629301875</v>
      </c>
    </row>
    <row r="2927" spans="1:38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0"/>
        <v>0.41191666666666665</v>
      </c>
      <c r="Z2927" s="2" t="s">
        <v>3237</v>
      </c>
      <c r="AA2927" s="2" t="s">
        <v>46</v>
      </c>
      <c r="AB2927" s="2" t="s">
        <v>61</v>
      </c>
      <c r="AC2927" s="2" t="s">
        <v>58</v>
      </c>
      <c r="AF2927" s="2">
        <f t="shared" si="324"/>
        <v>0</v>
      </c>
      <c r="AG2927" s="2">
        <v>1.4114</v>
      </c>
      <c r="AH2927" s="2">
        <v>3</v>
      </c>
      <c r="AJ2927" s="2">
        <f t="shared" si="325"/>
        <v>0</v>
      </c>
      <c r="AK2927" s="2">
        <f t="shared" si="326"/>
        <v>7.9087999999999994</v>
      </c>
      <c r="AL2927" s="5">
        <f t="shared" ref="AL2927:AL2958" si="332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2239</v>
      </c>
      <c r="P2928" s="2" t="s">
        <v>43</v>
      </c>
      <c r="Q2928" s="2" t="s">
        <v>2386</v>
      </c>
      <c r="R2928" s="2" t="s">
        <v>2387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0"/>
        <v>1</v>
      </c>
      <c r="Z2928" s="2" t="s">
        <v>3237</v>
      </c>
      <c r="AA2928" s="2" t="s">
        <v>46</v>
      </c>
      <c r="AB2928" s="2" t="s">
        <v>91</v>
      </c>
      <c r="AC2928" s="2" t="s">
        <v>58</v>
      </c>
      <c r="AF2928" s="2">
        <f t="shared" si="324"/>
        <v>0</v>
      </c>
      <c r="AJ2928" s="2">
        <f t="shared" si="325"/>
        <v>0</v>
      </c>
      <c r="AK2928" s="2">
        <f t="shared" si="326"/>
        <v>60</v>
      </c>
      <c r="AL2928" s="5">
        <f t="shared" si="332"/>
        <v>1</v>
      </c>
    </row>
    <row r="2929" spans="1:38" x14ac:dyDescent="0.2">
      <c r="A2929" s="2">
        <v>2026</v>
      </c>
      <c r="B2929" s="2">
        <v>1</v>
      </c>
      <c r="D2929" s="2" t="s">
        <v>1597</v>
      </c>
      <c r="P2929" s="2" t="s">
        <v>43</v>
      </c>
      <c r="Q2929" s="2" t="s">
        <v>2386</v>
      </c>
      <c r="R2929" s="2" t="s">
        <v>2387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0"/>
        <v>1</v>
      </c>
      <c r="Z2929" s="2" t="s">
        <v>3237</v>
      </c>
      <c r="AA2929" s="2" t="s">
        <v>46</v>
      </c>
      <c r="AB2929" s="2" t="s">
        <v>91</v>
      </c>
      <c r="AC2929" s="2" t="s">
        <v>58</v>
      </c>
      <c r="AF2929" s="2">
        <f t="shared" si="324"/>
        <v>0</v>
      </c>
      <c r="AJ2929" s="2">
        <f t="shared" si="325"/>
        <v>0</v>
      </c>
      <c r="AK2929" s="2">
        <f t="shared" si="326"/>
        <v>150</v>
      </c>
      <c r="AL2929" s="5">
        <f t="shared" si="332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2388</v>
      </c>
      <c r="P2930" s="2" t="s">
        <v>43</v>
      </c>
      <c r="Q2930" s="2" t="s">
        <v>972</v>
      </c>
      <c r="R2930" s="2" t="s">
        <v>973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0"/>
        <v>1</v>
      </c>
      <c r="Z2930" s="2" t="s">
        <v>3237</v>
      </c>
      <c r="AA2930" s="2" t="s">
        <v>46</v>
      </c>
      <c r="AB2930" s="2" t="s">
        <v>61</v>
      </c>
      <c r="AC2930" s="2" t="s">
        <v>58</v>
      </c>
      <c r="AF2930" s="2">
        <f t="shared" si="324"/>
        <v>0</v>
      </c>
      <c r="AJ2930" s="2">
        <f t="shared" si="325"/>
        <v>0</v>
      </c>
      <c r="AK2930" s="2">
        <f t="shared" si="326"/>
        <v>648</v>
      </c>
      <c r="AL2930" s="5">
        <f t="shared" si="332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2388</v>
      </c>
      <c r="P2931" s="2" t="s">
        <v>43</v>
      </c>
      <c r="Q2931" s="2" t="s">
        <v>974</v>
      </c>
      <c r="R2931" s="2" t="s">
        <v>975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0"/>
        <v>1</v>
      </c>
      <c r="Z2931" s="2" t="s">
        <v>3237</v>
      </c>
      <c r="AA2931" s="2" t="s">
        <v>46</v>
      </c>
      <c r="AB2931" s="2" t="s">
        <v>61</v>
      </c>
      <c r="AC2931" s="2" t="s">
        <v>58</v>
      </c>
      <c r="AF2931" s="2">
        <f t="shared" si="324"/>
        <v>0</v>
      </c>
      <c r="AJ2931" s="2">
        <f t="shared" si="325"/>
        <v>0</v>
      </c>
      <c r="AK2931" s="2">
        <f t="shared" si="326"/>
        <v>216</v>
      </c>
      <c r="AL2931" s="5">
        <f t="shared" si="332"/>
        <v>1</v>
      </c>
    </row>
    <row r="2932" spans="1:38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2376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0"/>
        <v>0.45283848797250864</v>
      </c>
      <c r="Z2932" s="2" t="s">
        <v>3237</v>
      </c>
      <c r="AA2932" s="2" t="s">
        <v>46</v>
      </c>
      <c r="AB2932" s="2" t="s">
        <v>68</v>
      </c>
      <c r="AC2932" s="2" t="s">
        <v>58</v>
      </c>
      <c r="AF2932" s="2">
        <f t="shared" si="324"/>
        <v>0</v>
      </c>
      <c r="AG2932" s="2">
        <v>7.9611999999999998</v>
      </c>
      <c r="AH2932" s="2">
        <v>14.4</v>
      </c>
      <c r="AJ2932" s="2">
        <f t="shared" si="325"/>
        <v>0</v>
      </c>
      <c r="AK2932" s="2">
        <f t="shared" si="326"/>
        <v>72.476800000000011</v>
      </c>
      <c r="AL2932" s="5">
        <f t="shared" si="332"/>
        <v>0.45283848797250864</v>
      </c>
    </row>
    <row r="2933" spans="1:38" x14ac:dyDescent="0.2">
      <c r="A2933" s="2">
        <v>2026</v>
      </c>
      <c r="B2933" s="2">
        <v>1</v>
      </c>
      <c r="D2933" s="2" t="s">
        <v>2380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0"/>
        <v>0.45095172413793105</v>
      </c>
      <c r="Z2933" s="2" t="s">
        <v>3237</v>
      </c>
      <c r="AA2933" s="2" t="s">
        <v>46</v>
      </c>
      <c r="AB2933" s="2" t="s">
        <v>68</v>
      </c>
      <c r="AC2933" s="2" t="s">
        <v>58</v>
      </c>
      <c r="AF2933" s="2">
        <f t="shared" si="324"/>
        <v>0</v>
      </c>
      <c r="AG2933" s="2">
        <v>7.9611999999999998</v>
      </c>
      <c r="AH2933" s="2">
        <v>14.4</v>
      </c>
      <c r="AJ2933" s="2">
        <f t="shared" si="325"/>
        <v>0</v>
      </c>
      <c r="AK2933" s="2">
        <f t="shared" si="326"/>
        <v>6.5388000000000002</v>
      </c>
      <c r="AL2933" s="5">
        <f t="shared" si="332"/>
        <v>0.45095172413793105</v>
      </c>
    </row>
    <row r="2934" spans="1:38" x14ac:dyDescent="0.2">
      <c r="A2934" s="2">
        <v>2026</v>
      </c>
      <c r="B2934" s="2">
        <v>1</v>
      </c>
      <c r="D2934" s="2" t="s">
        <v>2222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0"/>
        <v>0.3608382978723404</v>
      </c>
      <c r="Z2934" s="2" t="s">
        <v>3237</v>
      </c>
      <c r="AA2934" s="2" t="s">
        <v>46</v>
      </c>
      <c r="AB2934" s="2" t="s">
        <v>68</v>
      </c>
      <c r="AC2934" s="2" t="s">
        <v>58</v>
      </c>
      <c r="AF2934" s="2">
        <f t="shared" si="324"/>
        <v>0</v>
      </c>
      <c r="AG2934" s="2">
        <v>15.020300000000001</v>
      </c>
      <c r="AH2934" s="2">
        <v>27.6</v>
      </c>
      <c r="AJ2934" s="2">
        <f t="shared" si="325"/>
        <v>0</v>
      </c>
      <c r="AK2934" s="2">
        <f t="shared" si="326"/>
        <v>16.959399999999999</v>
      </c>
      <c r="AL2934" s="5">
        <f t="shared" si="332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0"/>
        <v>0.3608382978723404</v>
      </c>
      <c r="Z2935" s="2" t="s">
        <v>3237</v>
      </c>
      <c r="AA2935" s="2" t="s">
        <v>46</v>
      </c>
      <c r="AB2935" s="2" t="s">
        <v>68</v>
      </c>
      <c r="AC2935" s="2" t="s">
        <v>58</v>
      </c>
      <c r="AF2935" s="2">
        <f t="shared" si="324"/>
        <v>0</v>
      </c>
      <c r="AG2935" s="2">
        <v>15.020300000000001</v>
      </c>
      <c r="AH2935" s="2">
        <v>27.6</v>
      </c>
      <c r="AJ2935" s="2">
        <f t="shared" si="325"/>
        <v>0</v>
      </c>
      <c r="AK2935" s="2">
        <f t="shared" si="326"/>
        <v>16.959399999999999</v>
      </c>
      <c r="AL2935" s="5">
        <f t="shared" si="332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0"/>
        <v>0.31725909090909088</v>
      </c>
      <c r="Z2936" s="2" t="s">
        <v>3237</v>
      </c>
      <c r="AA2936" s="2" t="s">
        <v>46</v>
      </c>
      <c r="AB2936" s="2" t="s">
        <v>68</v>
      </c>
      <c r="AC2936" s="2" t="s">
        <v>58</v>
      </c>
      <c r="AF2936" s="2">
        <f t="shared" si="324"/>
        <v>0</v>
      </c>
      <c r="AG2936" s="2">
        <v>15.020300000000001</v>
      </c>
      <c r="AH2936" s="2">
        <v>27.6</v>
      </c>
      <c r="AJ2936" s="2">
        <f t="shared" si="325"/>
        <v>0</v>
      </c>
      <c r="AK2936" s="2">
        <f t="shared" si="326"/>
        <v>69.796999999999997</v>
      </c>
      <c r="AL2936" s="5">
        <f t="shared" si="332"/>
        <v>0.31725909090909088</v>
      </c>
    </row>
    <row r="2937" spans="1:38" x14ac:dyDescent="0.2">
      <c r="A2937" s="2">
        <v>2026</v>
      </c>
      <c r="B2937" s="2">
        <v>1</v>
      </c>
      <c r="D2937" s="2" t="s">
        <v>2389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0"/>
        <v>0.38411111111111107</v>
      </c>
      <c r="Z2937" s="2" t="s">
        <v>3237</v>
      </c>
      <c r="AA2937" s="2" t="s">
        <v>46</v>
      </c>
      <c r="AB2937" s="2" t="s">
        <v>68</v>
      </c>
      <c r="AC2937" s="2" t="s">
        <v>58</v>
      </c>
      <c r="AF2937" s="2">
        <f t="shared" si="324"/>
        <v>0</v>
      </c>
      <c r="AG2937" s="2">
        <v>8.3145000000000007</v>
      </c>
      <c r="AH2937" s="2">
        <v>15</v>
      </c>
      <c r="AJ2937" s="2">
        <f t="shared" si="325"/>
        <v>0</v>
      </c>
      <c r="AK2937" s="2">
        <f t="shared" si="326"/>
        <v>20.741999999999997</v>
      </c>
      <c r="AL2937" s="5">
        <f t="shared" si="332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3281</v>
      </c>
      <c r="M2938" s="2" t="s">
        <v>110</v>
      </c>
      <c r="P2938" s="2" t="s">
        <v>3241</v>
      </c>
      <c r="Q2938" s="2" t="s">
        <v>2390</v>
      </c>
      <c r="R2938" s="2" t="s">
        <v>2391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0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3241</v>
      </c>
      <c r="AF2938" s="2">
        <f t="shared" si="324"/>
        <v>0</v>
      </c>
      <c r="AJ2938" s="2">
        <f t="shared" si="325"/>
        <v>0</v>
      </c>
      <c r="AK2938" s="2">
        <f t="shared" si="326"/>
        <v>1247.8805</v>
      </c>
      <c r="AL2938" s="5">
        <f t="shared" si="332"/>
        <v>0.61395730423316863</v>
      </c>
    </row>
    <row r="2939" spans="1:38" x14ac:dyDescent="0.2">
      <c r="A2939" s="2">
        <v>2026</v>
      </c>
      <c r="B2939" s="2">
        <v>1</v>
      </c>
      <c r="D2939" s="2" t="s">
        <v>1181</v>
      </c>
      <c r="E2939" s="2" t="s">
        <v>38</v>
      </c>
      <c r="G2939" s="2">
        <v>502089075</v>
      </c>
      <c r="H2939" s="2" t="s">
        <v>41</v>
      </c>
      <c r="I2939" s="2" t="s">
        <v>1182</v>
      </c>
      <c r="J2939" s="2" t="s">
        <v>1183</v>
      </c>
      <c r="L2939" s="2" t="s">
        <v>462</v>
      </c>
      <c r="M2939" s="2" t="s">
        <v>41</v>
      </c>
      <c r="O2939" s="2" t="s">
        <v>2392</v>
      </c>
      <c r="P2939" s="2" t="s">
        <v>167</v>
      </c>
      <c r="Q2939" s="2" t="s">
        <v>2393</v>
      </c>
      <c r="R2939" s="2" t="s">
        <v>2394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0"/>
        <v>1</v>
      </c>
      <c r="Z2939" s="2" t="s">
        <v>3237</v>
      </c>
      <c r="AA2939" s="2" t="s">
        <v>88</v>
      </c>
      <c r="AB2939" s="2" t="s">
        <v>120</v>
      </c>
      <c r="AC2939" s="2" t="s">
        <v>167</v>
      </c>
      <c r="AF2939" s="2">
        <f t="shared" si="324"/>
        <v>0</v>
      </c>
      <c r="AJ2939" s="2">
        <f t="shared" si="325"/>
        <v>0</v>
      </c>
      <c r="AK2939" s="2">
        <f t="shared" si="326"/>
        <v>5</v>
      </c>
      <c r="AL2939" s="5">
        <f t="shared" si="332"/>
        <v>1</v>
      </c>
    </row>
    <row r="2940" spans="1:38" x14ac:dyDescent="0.2">
      <c r="A2940" s="2">
        <v>2026</v>
      </c>
      <c r="B2940" s="2">
        <v>1</v>
      </c>
      <c r="D2940" s="2" t="s">
        <v>2395</v>
      </c>
      <c r="P2940" s="2" t="s">
        <v>69</v>
      </c>
      <c r="Q2940" s="2" t="s">
        <v>2396</v>
      </c>
      <c r="R2940" s="2" t="s">
        <v>2397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0"/>
        <v>1</v>
      </c>
      <c r="Z2940" s="2" t="s">
        <v>105</v>
      </c>
      <c r="AA2940" s="2" t="s">
        <v>306</v>
      </c>
      <c r="AB2940" s="2" t="s">
        <v>107</v>
      </c>
      <c r="AC2940" s="2" t="s">
        <v>3242</v>
      </c>
      <c r="AF2940" s="2">
        <f t="shared" si="324"/>
        <v>0</v>
      </c>
      <c r="AJ2940" s="2">
        <f t="shared" si="325"/>
        <v>0</v>
      </c>
      <c r="AK2940" s="2">
        <f t="shared" si="326"/>
        <v>2300</v>
      </c>
      <c r="AL2940" s="5">
        <f t="shared" si="332"/>
        <v>1</v>
      </c>
    </row>
    <row r="2941" spans="1:38" x14ac:dyDescent="0.2">
      <c r="A2941" s="2">
        <v>2026</v>
      </c>
      <c r="B2941" s="2">
        <v>1</v>
      </c>
      <c r="D2941" s="2" t="s">
        <v>1523</v>
      </c>
      <c r="M2941" s="2" t="s">
        <v>110</v>
      </c>
      <c r="P2941" s="2" t="s">
        <v>69</v>
      </c>
      <c r="Q2941" s="2" t="s">
        <v>1524</v>
      </c>
      <c r="R2941" s="2" t="s">
        <v>1525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0"/>
        <v>0.22235806451612902</v>
      </c>
      <c r="Z2941" s="2" t="s">
        <v>105</v>
      </c>
      <c r="AA2941" s="2" t="s">
        <v>265</v>
      </c>
      <c r="AB2941" s="2" t="s">
        <v>1098</v>
      </c>
      <c r="AC2941" s="2" t="s">
        <v>3242</v>
      </c>
      <c r="AF2941" s="2">
        <f t="shared" si="324"/>
        <v>0</v>
      </c>
      <c r="AJ2941" s="2">
        <f t="shared" si="325"/>
        <v>0</v>
      </c>
      <c r="AK2941" s="2">
        <f t="shared" si="326"/>
        <v>689.31</v>
      </c>
      <c r="AL2941" s="5">
        <f t="shared" si="332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2398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0"/>
        <v>0.48223743915518519</v>
      </c>
      <c r="Z2942" s="2" t="s">
        <v>3237</v>
      </c>
      <c r="AA2942" s="2" t="s">
        <v>76</v>
      </c>
      <c r="AB2942" s="2" t="s">
        <v>77</v>
      </c>
      <c r="AC2942" s="2" t="s">
        <v>78</v>
      </c>
      <c r="AF2942" s="2">
        <f t="shared" si="324"/>
        <v>0</v>
      </c>
      <c r="AG2942" s="2">
        <v>125.51600000000001</v>
      </c>
      <c r="AH2942" s="2">
        <v>220</v>
      </c>
      <c r="AJ2942" s="2">
        <f t="shared" si="325"/>
        <v>0</v>
      </c>
      <c r="AK2942" s="2">
        <f t="shared" si="326"/>
        <v>116.90399999999998</v>
      </c>
      <c r="AL2942" s="5">
        <f t="shared" si="332"/>
        <v>0.48223743915518519</v>
      </c>
    </row>
    <row r="2943" spans="1:38" x14ac:dyDescent="0.2">
      <c r="A2943" s="2">
        <v>2026</v>
      </c>
      <c r="B2943" s="2">
        <v>1</v>
      </c>
      <c r="D2943" s="2" t="s">
        <v>2399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0"/>
        <v>0.42947272727272723</v>
      </c>
      <c r="Z2943" s="2" t="s">
        <v>3237</v>
      </c>
      <c r="AA2943" s="2" t="s">
        <v>76</v>
      </c>
      <c r="AB2943" s="2" t="s">
        <v>77</v>
      </c>
      <c r="AC2943" s="2" t="s">
        <v>78</v>
      </c>
      <c r="AF2943" s="2">
        <f t="shared" si="324"/>
        <v>0</v>
      </c>
      <c r="AG2943" s="2">
        <v>125.51600000000001</v>
      </c>
      <c r="AH2943" s="2">
        <v>220</v>
      </c>
      <c r="AJ2943" s="2">
        <f t="shared" si="325"/>
        <v>0</v>
      </c>
      <c r="AK2943" s="2">
        <f t="shared" si="326"/>
        <v>94.483999999999995</v>
      </c>
      <c r="AL2943" s="5">
        <f t="shared" si="332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0"/>
        <v>0.42947272727272723</v>
      </c>
      <c r="Z2944" s="2" t="s">
        <v>3237</v>
      </c>
      <c r="AA2944" s="2" t="s">
        <v>76</v>
      </c>
      <c r="AB2944" s="2" t="s">
        <v>77</v>
      </c>
      <c r="AC2944" s="2" t="s">
        <v>78</v>
      </c>
      <c r="AF2944" s="2">
        <f t="shared" si="324"/>
        <v>0</v>
      </c>
      <c r="AG2944" s="2">
        <v>125.51600000000001</v>
      </c>
      <c r="AH2944" s="2">
        <v>220</v>
      </c>
      <c r="AJ2944" s="2">
        <f t="shared" si="325"/>
        <v>0</v>
      </c>
      <c r="AK2944" s="2">
        <f t="shared" si="326"/>
        <v>188.96799999999999</v>
      </c>
      <c r="AL2944" s="5">
        <f t="shared" si="332"/>
        <v>0.42947272727272723</v>
      </c>
    </row>
    <row r="2945" spans="1:38" x14ac:dyDescent="0.2">
      <c r="A2945" s="2">
        <v>2026</v>
      </c>
      <c r="B2945" s="2">
        <v>1</v>
      </c>
      <c r="D2945" s="2" t="s">
        <v>1012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1013</v>
      </c>
      <c r="J2945" s="2" t="s">
        <v>1014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0"/>
        <v>0.39944497607655499</v>
      </c>
      <c r="Z2945" s="2" t="s">
        <v>3237</v>
      </c>
      <c r="AA2945" s="2" t="s">
        <v>76</v>
      </c>
      <c r="AB2945" s="2" t="s">
        <v>77</v>
      </c>
      <c r="AC2945" s="2" t="s">
        <v>78</v>
      </c>
      <c r="AF2945" s="2">
        <f t="shared" si="324"/>
        <v>0</v>
      </c>
      <c r="AG2945" s="2">
        <v>125.51600000000001</v>
      </c>
      <c r="AH2945" s="2">
        <v>220</v>
      </c>
      <c r="AJ2945" s="2">
        <f t="shared" si="325"/>
        <v>0</v>
      </c>
      <c r="AK2945" s="2">
        <f t="shared" si="326"/>
        <v>83.483999999999995</v>
      </c>
      <c r="AL2945" s="5">
        <f t="shared" si="332"/>
        <v>0.39944497607655499</v>
      </c>
    </row>
    <row r="2946" spans="1:38" x14ac:dyDescent="0.2">
      <c r="A2946" s="2">
        <v>2026</v>
      </c>
      <c r="B2946" s="2">
        <v>1</v>
      </c>
      <c r="D2946" s="2" t="s">
        <v>1020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1021</v>
      </c>
      <c r="J2946" s="2" t="s">
        <v>1022</v>
      </c>
      <c r="L2946" s="2" t="s">
        <v>294</v>
      </c>
      <c r="M2946" s="2" t="s">
        <v>81</v>
      </c>
      <c r="O2946" s="2" t="s">
        <v>2400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0"/>
        <v>0.42947272727272723</v>
      </c>
      <c r="Z2946" s="2" t="s">
        <v>3237</v>
      </c>
      <c r="AA2946" s="2" t="s">
        <v>76</v>
      </c>
      <c r="AB2946" s="2" t="s">
        <v>77</v>
      </c>
      <c r="AC2946" s="2" t="s">
        <v>78</v>
      </c>
      <c r="AF2946" s="2">
        <f t="shared" si="324"/>
        <v>0</v>
      </c>
      <c r="AG2946" s="2">
        <v>125.51600000000001</v>
      </c>
      <c r="AH2946" s="2">
        <v>220</v>
      </c>
      <c r="AJ2946" s="2">
        <f t="shared" si="325"/>
        <v>0</v>
      </c>
      <c r="AK2946" s="2">
        <f t="shared" si="326"/>
        <v>94.483999999999995</v>
      </c>
      <c r="AL2946" s="5">
        <f t="shared" si="332"/>
        <v>0.42947272727272723</v>
      </c>
    </row>
    <row r="2947" spans="1:38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3">(T2947-W2947)/T2947</f>
        <v>0.42947272727272723</v>
      </c>
      <c r="Z2947" s="2" t="s">
        <v>3237</v>
      </c>
      <c r="AA2947" s="2" t="s">
        <v>76</v>
      </c>
      <c r="AB2947" s="2" t="s">
        <v>77</v>
      </c>
      <c r="AC2947" s="2" t="s">
        <v>78</v>
      </c>
      <c r="AF2947" s="2">
        <f t="shared" ref="AF2947:AF3010" si="334">AJ2947</f>
        <v>0</v>
      </c>
      <c r="AG2947" s="2">
        <v>125.51600000000001</v>
      </c>
      <c r="AH2947" s="2">
        <v>220</v>
      </c>
      <c r="AJ2947" s="2">
        <f t="shared" ref="AJ2947:AJ3010" si="335">AI2947*T2947</f>
        <v>0</v>
      </c>
      <c r="AK2947" s="2">
        <f t="shared" ref="AK2947:AK3002" si="336">T2947-W2947</f>
        <v>94.483999999999995</v>
      </c>
      <c r="AL2947" s="5">
        <f t="shared" si="332"/>
        <v>0.42947272727272723</v>
      </c>
    </row>
    <row r="2948" spans="1:38" x14ac:dyDescent="0.2">
      <c r="A2948" s="2">
        <v>2026</v>
      </c>
      <c r="B2948" s="2">
        <v>1</v>
      </c>
      <c r="D2948" s="2" t="s">
        <v>1600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1601</v>
      </c>
      <c r="J2948" s="2" t="s">
        <v>1602</v>
      </c>
      <c r="L2948" s="2" t="s">
        <v>202</v>
      </c>
      <c r="M2948" s="2" t="s">
        <v>81</v>
      </c>
      <c r="O2948" s="2" t="s">
        <v>2401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3"/>
        <v>0.42947272727272723</v>
      </c>
      <c r="Z2948" s="2" t="s">
        <v>3237</v>
      </c>
      <c r="AA2948" s="2" t="s">
        <v>76</v>
      </c>
      <c r="AB2948" s="2" t="s">
        <v>77</v>
      </c>
      <c r="AC2948" s="2" t="s">
        <v>78</v>
      </c>
      <c r="AF2948" s="2">
        <f t="shared" si="334"/>
        <v>0</v>
      </c>
      <c r="AG2948" s="2">
        <v>125.51600000000001</v>
      </c>
      <c r="AH2948" s="2">
        <v>220</v>
      </c>
      <c r="AJ2948" s="2">
        <f t="shared" si="335"/>
        <v>0</v>
      </c>
      <c r="AK2948" s="2">
        <f t="shared" si="336"/>
        <v>94.483999999999995</v>
      </c>
      <c r="AL2948" s="5">
        <f t="shared" si="332"/>
        <v>0.42947272727272723</v>
      </c>
    </row>
    <row r="2949" spans="1:38" x14ac:dyDescent="0.2">
      <c r="A2949" s="2">
        <v>2026</v>
      </c>
      <c r="B2949" s="2">
        <v>1</v>
      </c>
      <c r="D2949" s="2" t="s">
        <v>1423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1276</v>
      </c>
      <c r="J2949" s="2" t="s">
        <v>2402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3"/>
        <v>0.42947272727272723</v>
      </c>
      <c r="Z2949" s="2" t="s">
        <v>3237</v>
      </c>
      <c r="AA2949" s="2" t="s">
        <v>76</v>
      </c>
      <c r="AB2949" s="2" t="s">
        <v>77</v>
      </c>
      <c r="AC2949" s="2" t="s">
        <v>78</v>
      </c>
      <c r="AF2949" s="2">
        <f t="shared" si="334"/>
        <v>0</v>
      </c>
      <c r="AG2949" s="2">
        <v>125.51600000000001</v>
      </c>
      <c r="AH2949" s="2">
        <v>220</v>
      </c>
      <c r="AJ2949" s="2">
        <f t="shared" si="335"/>
        <v>0</v>
      </c>
      <c r="AK2949" s="2">
        <f t="shared" si="336"/>
        <v>94.483999999999995</v>
      </c>
      <c r="AL2949" s="5">
        <f t="shared" si="332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2403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3"/>
        <v>0.42947272727272723</v>
      </c>
      <c r="Z2950" s="2" t="s">
        <v>3237</v>
      </c>
      <c r="AA2950" s="2" t="s">
        <v>76</v>
      </c>
      <c r="AB2950" s="2" t="s">
        <v>77</v>
      </c>
      <c r="AC2950" s="2" t="s">
        <v>78</v>
      </c>
      <c r="AF2950" s="2">
        <f t="shared" si="334"/>
        <v>0</v>
      </c>
      <c r="AG2950" s="2">
        <v>125.51600000000001</v>
      </c>
      <c r="AH2950" s="2">
        <v>220</v>
      </c>
      <c r="AJ2950" s="2">
        <f t="shared" si="335"/>
        <v>0</v>
      </c>
      <c r="AK2950" s="2">
        <f t="shared" si="336"/>
        <v>94.483999999999995</v>
      </c>
      <c r="AL2950" s="5">
        <f t="shared" si="332"/>
        <v>0.42947272727272723</v>
      </c>
    </row>
    <row r="2951" spans="1:38" x14ac:dyDescent="0.2">
      <c r="A2951" s="2">
        <v>2026</v>
      </c>
      <c r="B2951" s="2">
        <v>1</v>
      </c>
      <c r="D2951" s="2" t="s">
        <v>2404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3"/>
        <v>0.42947272727272723</v>
      </c>
      <c r="Z2951" s="2" t="s">
        <v>3237</v>
      </c>
      <c r="AA2951" s="2" t="s">
        <v>76</v>
      </c>
      <c r="AB2951" s="2" t="s">
        <v>77</v>
      </c>
      <c r="AC2951" s="2" t="s">
        <v>78</v>
      </c>
      <c r="AF2951" s="2">
        <f t="shared" si="334"/>
        <v>0</v>
      </c>
      <c r="AG2951" s="2">
        <v>125.51600000000001</v>
      </c>
      <c r="AH2951" s="2">
        <v>220</v>
      </c>
      <c r="AJ2951" s="2">
        <f t="shared" si="335"/>
        <v>0</v>
      </c>
      <c r="AK2951" s="2">
        <f t="shared" si="336"/>
        <v>94.483999999999995</v>
      </c>
      <c r="AL2951" s="5">
        <f t="shared" si="332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3"/>
        <v>0.40230476190476189</v>
      </c>
      <c r="Z2952" s="2" t="s">
        <v>3237</v>
      </c>
      <c r="AA2952" s="2" t="s">
        <v>76</v>
      </c>
      <c r="AB2952" s="2" t="s">
        <v>77</v>
      </c>
      <c r="AC2952" s="2" t="s">
        <v>78</v>
      </c>
      <c r="AF2952" s="2">
        <f t="shared" si="334"/>
        <v>0</v>
      </c>
      <c r="AG2952" s="2">
        <v>125.51600000000001</v>
      </c>
      <c r="AH2952" s="2">
        <v>220</v>
      </c>
      <c r="AJ2952" s="2">
        <f t="shared" si="335"/>
        <v>0</v>
      </c>
      <c r="AK2952" s="2">
        <f t="shared" si="336"/>
        <v>84.483999999999995</v>
      </c>
      <c r="AL2952" s="5">
        <f t="shared" si="332"/>
        <v>0.40230476190476189</v>
      </c>
    </row>
    <row r="2953" spans="1:38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3"/>
        <v>0.42947272727272723</v>
      </c>
      <c r="Z2953" s="2" t="s">
        <v>3237</v>
      </c>
      <c r="AA2953" s="2" t="s">
        <v>76</v>
      </c>
      <c r="AB2953" s="2" t="s">
        <v>77</v>
      </c>
      <c r="AC2953" s="2" t="s">
        <v>78</v>
      </c>
      <c r="AF2953" s="2">
        <f t="shared" si="334"/>
        <v>0</v>
      </c>
      <c r="AG2953" s="2">
        <v>125.51600000000001</v>
      </c>
      <c r="AH2953" s="2">
        <v>220</v>
      </c>
      <c r="AJ2953" s="2">
        <f t="shared" si="335"/>
        <v>0</v>
      </c>
      <c r="AK2953" s="2">
        <f t="shared" si="336"/>
        <v>94.483999999999995</v>
      </c>
      <c r="AL2953" s="5">
        <f t="shared" si="332"/>
        <v>0.42947272727272723</v>
      </c>
    </row>
    <row r="2954" spans="1:38" x14ac:dyDescent="0.2">
      <c r="A2954" s="2">
        <v>2026</v>
      </c>
      <c r="B2954" s="2">
        <v>1</v>
      </c>
      <c r="D2954" s="2" t="s">
        <v>2405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3"/>
        <v>0.42947272727272723</v>
      </c>
      <c r="Z2954" s="2" t="s">
        <v>3237</v>
      </c>
      <c r="AA2954" s="2" t="s">
        <v>76</v>
      </c>
      <c r="AB2954" s="2" t="s">
        <v>77</v>
      </c>
      <c r="AC2954" s="2" t="s">
        <v>78</v>
      </c>
      <c r="AF2954" s="2">
        <f t="shared" si="334"/>
        <v>0</v>
      </c>
      <c r="AG2954" s="2">
        <v>125.51600000000001</v>
      </c>
      <c r="AH2954" s="2">
        <v>220</v>
      </c>
      <c r="AJ2954" s="2">
        <f t="shared" si="335"/>
        <v>0</v>
      </c>
      <c r="AK2954" s="2">
        <f t="shared" si="336"/>
        <v>94.483999999999995</v>
      </c>
      <c r="AL2954" s="5">
        <f t="shared" si="332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2406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3"/>
        <v>0.47755000000000003</v>
      </c>
      <c r="Z2955" s="2" t="s">
        <v>3237</v>
      </c>
      <c r="AA2955" s="2" t="s">
        <v>76</v>
      </c>
      <c r="AB2955" s="2" t="s">
        <v>77</v>
      </c>
      <c r="AC2955" s="2" t="s">
        <v>78</v>
      </c>
      <c r="AF2955" s="2">
        <f t="shared" si="334"/>
        <v>0</v>
      </c>
      <c r="AG2955" s="2">
        <v>104.49</v>
      </c>
      <c r="AH2955" s="2">
        <v>220</v>
      </c>
      <c r="AJ2955" s="2">
        <f t="shared" si="335"/>
        <v>0</v>
      </c>
      <c r="AK2955" s="2">
        <f t="shared" si="336"/>
        <v>95.51</v>
      </c>
      <c r="AL2955" s="5">
        <f t="shared" si="332"/>
        <v>0.47755000000000003</v>
      </c>
    </row>
    <row r="2956" spans="1:38" x14ac:dyDescent="0.2">
      <c r="A2956" s="2">
        <v>2026</v>
      </c>
      <c r="B2956" s="2">
        <v>1</v>
      </c>
      <c r="D2956" s="2" t="s">
        <v>1950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2407</v>
      </c>
      <c r="J2956" s="2" t="s">
        <v>2408</v>
      </c>
      <c r="L2956" s="2" t="s">
        <v>202</v>
      </c>
      <c r="M2956" s="2" t="s">
        <v>41</v>
      </c>
      <c r="O2956" s="2" t="s">
        <v>2409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3"/>
        <v>0.41521052631578947</v>
      </c>
      <c r="Z2956" s="2" t="s">
        <v>3237</v>
      </c>
      <c r="AA2956" s="2" t="s">
        <v>76</v>
      </c>
      <c r="AB2956" s="2" t="s">
        <v>77</v>
      </c>
      <c r="AC2956" s="2" t="s">
        <v>78</v>
      </c>
      <c r="AF2956" s="2">
        <f t="shared" si="334"/>
        <v>0</v>
      </c>
      <c r="AG2956" s="2">
        <v>111.11</v>
      </c>
      <c r="AH2956" s="2">
        <v>190</v>
      </c>
      <c r="AJ2956" s="2">
        <f t="shared" si="335"/>
        <v>0</v>
      </c>
      <c r="AK2956" s="2">
        <f t="shared" si="336"/>
        <v>78.89</v>
      </c>
      <c r="AL2956" s="5">
        <f t="shared" si="33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2410</v>
      </c>
      <c r="P2957" s="2" t="s">
        <v>73</v>
      </c>
      <c r="Q2957" s="2" t="s">
        <v>1394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3"/>
        <v>0.61401773412936733</v>
      </c>
      <c r="Z2957" s="2" t="s">
        <v>3237</v>
      </c>
      <c r="AA2957" s="2" t="s">
        <v>76</v>
      </c>
      <c r="AB2957" s="2" t="s">
        <v>77</v>
      </c>
      <c r="AC2957" s="2" t="s">
        <v>78</v>
      </c>
      <c r="AF2957" s="2">
        <f t="shared" si="334"/>
        <v>0</v>
      </c>
      <c r="AG2957" s="2">
        <v>109.26</v>
      </c>
      <c r="AJ2957" s="2">
        <f t="shared" si="335"/>
        <v>0</v>
      </c>
      <c r="AK2957" s="2">
        <f t="shared" si="336"/>
        <v>173.81</v>
      </c>
      <c r="AL2957" s="5">
        <f t="shared" si="332"/>
        <v>0.61401773412936733</v>
      </c>
    </row>
    <row r="2958" spans="1:38" x14ac:dyDescent="0.2">
      <c r="A2958" s="2">
        <v>2026</v>
      </c>
      <c r="B2958" s="2">
        <v>1</v>
      </c>
      <c r="D2958" s="2" t="s">
        <v>2016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3"/>
        <v>0.45165454545454548</v>
      </c>
      <c r="Z2958" s="2" t="s">
        <v>3237</v>
      </c>
      <c r="AA2958" s="2" t="s">
        <v>76</v>
      </c>
      <c r="AB2958" s="2" t="s">
        <v>77</v>
      </c>
      <c r="AC2958" s="2" t="s">
        <v>78</v>
      </c>
      <c r="AF2958" s="2">
        <f t="shared" si="334"/>
        <v>0</v>
      </c>
      <c r="AG2958" s="2">
        <v>120.636</v>
      </c>
      <c r="AH2958" s="2">
        <v>220</v>
      </c>
      <c r="AJ2958" s="2">
        <f t="shared" si="335"/>
        <v>0</v>
      </c>
      <c r="AK2958" s="2">
        <f t="shared" si="336"/>
        <v>99.364000000000004</v>
      </c>
      <c r="AL2958" s="5">
        <f t="shared" si="332"/>
        <v>0.45165454545454548</v>
      </c>
    </row>
    <row r="2959" spans="1:38" x14ac:dyDescent="0.2">
      <c r="A2959" s="2">
        <v>2026</v>
      </c>
      <c r="B2959" s="2">
        <v>1</v>
      </c>
      <c r="D2959" s="2" t="s">
        <v>1560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1561</v>
      </c>
      <c r="J2959" s="2" t="s">
        <v>1562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3"/>
        <v>0.45165454545454548</v>
      </c>
      <c r="Z2959" s="2" t="s">
        <v>3237</v>
      </c>
      <c r="AA2959" s="2" t="s">
        <v>76</v>
      </c>
      <c r="AB2959" s="2" t="s">
        <v>77</v>
      </c>
      <c r="AC2959" s="2" t="s">
        <v>78</v>
      </c>
      <c r="AF2959" s="2">
        <f t="shared" si="334"/>
        <v>0</v>
      </c>
      <c r="AG2959" s="2">
        <v>120.636</v>
      </c>
      <c r="AH2959" s="2">
        <v>220</v>
      </c>
      <c r="AJ2959" s="2">
        <f t="shared" si="335"/>
        <v>0</v>
      </c>
      <c r="AK2959" s="2">
        <f t="shared" si="336"/>
        <v>99.364000000000004</v>
      </c>
      <c r="AL2959" s="5">
        <f t="shared" ref="AL2959:AL2990" si="337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2411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3"/>
        <v>0.45165454545454548</v>
      </c>
      <c r="Z2960" s="2" t="s">
        <v>3237</v>
      </c>
      <c r="AA2960" s="2" t="s">
        <v>76</v>
      </c>
      <c r="AB2960" s="2" t="s">
        <v>77</v>
      </c>
      <c r="AC2960" s="2" t="s">
        <v>78</v>
      </c>
      <c r="AF2960" s="2">
        <f t="shared" si="334"/>
        <v>0</v>
      </c>
      <c r="AG2960" s="2">
        <v>120.636</v>
      </c>
      <c r="AH2960" s="2">
        <v>220</v>
      </c>
      <c r="AJ2960" s="2">
        <f t="shared" si="335"/>
        <v>0</v>
      </c>
      <c r="AK2960" s="2">
        <f t="shared" si="336"/>
        <v>99.364000000000004</v>
      </c>
      <c r="AL2960" s="5">
        <f t="shared" si="337"/>
        <v>0.45165454545454548</v>
      </c>
    </row>
    <row r="2961" spans="1:38" x14ac:dyDescent="0.2">
      <c r="A2961" s="2">
        <v>2026</v>
      </c>
      <c r="B2961" s="2">
        <v>1</v>
      </c>
      <c r="D2961" s="2" t="s">
        <v>2399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2412</v>
      </c>
      <c r="J2961" s="2" t="s">
        <v>2413</v>
      </c>
      <c r="K2961" s="2">
        <v>919209638</v>
      </c>
      <c r="L2961" s="2" t="s">
        <v>294</v>
      </c>
      <c r="M2961" s="2" t="s">
        <v>81</v>
      </c>
      <c r="O2961" s="2" t="s">
        <v>2414</v>
      </c>
      <c r="P2961" s="2" t="s">
        <v>73</v>
      </c>
      <c r="Q2961" s="2" t="s">
        <v>2415</v>
      </c>
      <c r="R2961" s="2" t="s">
        <v>1420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3"/>
        <v>0.45234782608695656</v>
      </c>
      <c r="Z2961" s="2" t="s">
        <v>3237</v>
      </c>
      <c r="AA2961" s="2" t="s">
        <v>76</v>
      </c>
      <c r="AB2961" s="2" t="s">
        <v>77</v>
      </c>
      <c r="AC2961" s="2" t="s">
        <v>78</v>
      </c>
      <c r="AF2961" s="2">
        <f t="shared" si="334"/>
        <v>0</v>
      </c>
      <c r="AG2961" s="2">
        <f>119.7+6.26</f>
        <v>125.96000000000001</v>
      </c>
      <c r="AJ2961" s="2">
        <f t="shared" si="335"/>
        <v>0</v>
      </c>
      <c r="AK2961" s="2">
        <f t="shared" si="336"/>
        <v>104.04</v>
      </c>
      <c r="AL2961" s="5">
        <f t="shared" si="337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2416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3"/>
        <v>0.36018493820574382</v>
      </c>
      <c r="Z2962" s="2" t="s">
        <v>3237</v>
      </c>
      <c r="AA2962" s="2" t="s">
        <v>76</v>
      </c>
      <c r="AB2962" s="2" t="s">
        <v>77</v>
      </c>
      <c r="AC2962" s="2" t="s">
        <v>78</v>
      </c>
      <c r="AF2962" s="2">
        <f t="shared" si="334"/>
        <v>0</v>
      </c>
      <c r="AG2962" s="2">
        <v>143.91999999999999</v>
      </c>
      <c r="AJ2962" s="2">
        <f t="shared" si="335"/>
        <v>0</v>
      </c>
      <c r="AK2962" s="2">
        <f t="shared" si="336"/>
        <v>81.02000000000001</v>
      </c>
      <c r="AL2962" s="5">
        <f t="shared" si="337"/>
        <v>0.36018493820574382</v>
      </c>
    </row>
    <row r="2963" spans="1:38" x14ac:dyDescent="0.2">
      <c r="A2963" s="2">
        <v>2026</v>
      </c>
      <c r="B2963" s="2">
        <v>1</v>
      </c>
      <c r="D2963" s="2" t="s">
        <v>1076</v>
      </c>
      <c r="M2963" s="2" t="s">
        <v>41</v>
      </c>
      <c r="P2963" s="2" t="s">
        <v>73</v>
      </c>
      <c r="Q2963" s="2" t="s">
        <v>1349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3"/>
        <v>0.56295454545454537</v>
      </c>
      <c r="Z2963" s="2" t="s">
        <v>3237</v>
      </c>
      <c r="AA2963" s="2" t="s">
        <v>76</v>
      </c>
      <c r="AB2963" s="2" t="s">
        <v>77</v>
      </c>
      <c r="AC2963" s="2" t="s">
        <v>78</v>
      </c>
      <c r="AF2963" s="2">
        <f t="shared" si="334"/>
        <v>0</v>
      </c>
      <c r="AJ2963" s="2">
        <f t="shared" si="335"/>
        <v>0</v>
      </c>
      <c r="AK2963" s="2">
        <f t="shared" si="336"/>
        <v>123.85</v>
      </c>
      <c r="AL2963" s="5">
        <f t="shared" si="337"/>
        <v>0.56295454545454537</v>
      </c>
    </row>
    <row r="2964" spans="1:38" x14ac:dyDescent="0.2">
      <c r="A2964" s="2">
        <v>2026</v>
      </c>
      <c r="B2964" s="2">
        <v>1</v>
      </c>
      <c r="D2964" s="2" t="s">
        <v>1571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2417</v>
      </c>
      <c r="K2964" s="2">
        <v>968647685</v>
      </c>
      <c r="L2964" s="2" t="s">
        <v>399</v>
      </c>
      <c r="M2964" s="2" t="s">
        <v>110</v>
      </c>
      <c r="O2964" s="2" t="s">
        <v>2418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3"/>
        <v>0.4003181818181818</v>
      </c>
      <c r="Z2964" s="2" t="s">
        <v>3237</v>
      </c>
      <c r="AA2964" s="2" t="s">
        <v>76</v>
      </c>
      <c r="AB2964" s="2" t="s">
        <v>77</v>
      </c>
      <c r="AC2964" s="2" t="s">
        <v>78</v>
      </c>
      <c r="AF2964" s="2">
        <f t="shared" si="334"/>
        <v>0</v>
      </c>
      <c r="AG2964" s="2">
        <v>131.93</v>
      </c>
      <c r="AH2964" s="2">
        <v>220</v>
      </c>
      <c r="AJ2964" s="2">
        <f t="shared" si="335"/>
        <v>0</v>
      </c>
      <c r="AK2964" s="2">
        <f t="shared" si="336"/>
        <v>88.07</v>
      </c>
      <c r="AL2964" s="5">
        <f t="shared" si="337"/>
        <v>0.4003181818181818</v>
      </c>
    </row>
    <row r="2965" spans="1:38" x14ac:dyDescent="0.2">
      <c r="A2965" s="2">
        <v>2026</v>
      </c>
      <c r="B2965" s="2">
        <v>1</v>
      </c>
      <c r="D2965" s="2" t="s">
        <v>1422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2419</v>
      </c>
      <c r="J2965" s="2" t="s">
        <v>2420</v>
      </c>
      <c r="L2965" s="2" t="s">
        <v>202</v>
      </c>
      <c r="M2965" s="2" t="s">
        <v>81</v>
      </c>
      <c r="O2965" s="2" t="s">
        <v>2421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3"/>
        <v>0.4003181818181818</v>
      </c>
      <c r="Z2965" s="2" t="s">
        <v>3237</v>
      </c>
      <c r="AA2965" s="2" t="s">
        <v>76</v>
      </c>
      <c r="AB2965" s="2" t="s">
        <v>77</v>
      </c>
      <c r="AC2965" s="2" t="s">
        <v>78</v>
      </c>
      <c r="AF2965" s="2">
        <f t="shared" si="334"/>
        <v>0</v>
      </c>
      <c r="AG2965" s="2">
        <v>131.93</v>
      </c>
      <c r="AH2965" s="2">
        <v>220</v>
      </c>
      <c r="AJ2965" s="2">
        <f t="shared" si="335"/>
        <v>0</v>
      </c>
      <c r="AK2965" s="2">
        <f t="shared" si="336"/>
        <v>88.07</v>
      </c>
      <c r="AL2965" s="5">
        <f t="shared" si="337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2398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3"/>
        <v>0.53871429123661529</v>
      </c>
      <c r="Z2966" s="2" t="s">
        <v>3237</v>
      </c>
      <c r="AA2966" s="2" t="s">
        <v>76</v>
      </c>
      <c r="AB2966" s="2" t="s">
        <v>77</v>
      </c>
      <c r="AC2966" s="2" t="s">
        <v>78</v>
      </c>
      <c r="AF2966" s="2">
        <f t="shared" si="334"/>
        <v>0</v>
      </c>
      <c r="AG2966" s="2">
        <v>119.33</v>
      </c>
      <c r="AH2966" s="2">
        <v>220</v>
      </c>
      <c r="AJ2966" s="2">
        <f t="shared" si="335"/>
        <v>0</v>
      </c>
      <c r="AK2966" s="2">
        <f t="shared" si="336"/>
        <v>139.36000000000001</v>
      </c>
      <c r="AL2966" s="5">
        <f t="shared" si="337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3"/>
        <v>0.4575909090909091</v>
      </c>
      <c r="Z2967" s="2" t="s">
        <v>3237</v>
      </c>
      <c r="AA2967" s="2" t="s">
        <v>76</v>
      </c>
      <c r="AB2967" s="2" t="s">
        <v>77</v>
      </c>
      <c r="AC2967" s="2" t="s">
        <v>78</v>
      </c>
      <c r="AF2967" s="2">
        <f t="shared" si="334"/>
        <v>0</v>
      </c>
      <c r="AG2967" s="2">
        <v>119.33</v>
      </c>
      <c r="AH2967" s="2">
        <v>220</v>
      </c>
      <c r="AJ2967" s="2">
        <f t="shared" si="335"/>
        <v>0</v>
      </c>
      <c r="AK2967" s="2">
        <f t="shared" si="336"/>
        <v>100.67</v>
      </c>
      <c r="AL2967" s="5">
        <f t="shared" si="337"/>
        <v>0.4575909090909091</v>
      </c>
    </row>
    <row r="2968" spans="1:38" x14ac:dyDescent="0.2">
      <c r="A2968" s="2">
        <v>2026</v>
      </c>
      <c r="B2968" s="2">
        <v>1</v>
      </c>
      <c r="D2968" s="2" t="s">
        <v>1012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1013</v>
      </c>
      <c r="J2968" s="2" t="s">
        <v>1014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3"/>
        <v>0.42904306220095695</v>
      </c>
      <c r="Z2968" s="2" t="s">
        <v>3237</v>
      </c>
      <c r="AA2968" s="2" t="s">
        <v>76</v>
      </c>
      <c r="AB2968" s="2" t="s">
        <v>77</v>
      </c>
      <c r="AC2968" s="2" t="s">
        <v>78</v>
      </c>
      <c r="AF2968" s="2">
        <f t="shared" si="334"/>
        <v>0</v>
      </c>
      <c r="AG2968" s="2">
        <v>119.33</v>
      </c>
      <c r="AH2968" s="2">
        <v>220</v>
      </c>
      <c r="AJ2968" s="2">
        <f t="shared" si="335"/>
        <v>0</v>
      </c>
      <c r="AK2968" s="2">
        <f t="shared" si="336"/>
        <v>89.67</v>
      </c>
      <c r="AL2968" s="5">
        <f t="shared" si="337"/>
        <v>0.42904306220095695</v>
      </c>
    </row>
    <row r="2969" spans="1:38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2422</v>
      </c>
      <c r="R2969" s="2" t="s">
        <v>2423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3"/>
        <v>0.42485714285714288</v>
      </c>
      <c r="Z2969" s="2" t="s">
        <v>3237</v>
      </c>
      <c r="AA2969" s="2" t="s">
        <v>76</v>
      </c>
      <c r="AB2969" s="2" t="s">
        <v>77</v>
      </c>
      <c r="AC2969" s="2" t="s">
        <v>78</v>
      </c>
      <c r="AF2969" s="2">
        <f t="shared" si="334"/>
        <v>0</v>
      </c>
      <c r="AG2969" s="2">
        <v>120.78</v>
      </c>
      <c r="AH2969" s="2">
        <v>210</v>
      </c>
      <c r="AJ2969" s="2">
        <f t="shared" si="335"/>
        <v>0</v>
      </c>
      <c r="AK2969" s="2">
        <f t="shared" si="336"/>
        <v>89.22</v>
      </c>
      <c r="AL2969" s="5">
        <f t="shared" si="337"/>
        <v>0.42485714285714288</v>
      </c>
    </row>
    <row r="2970" spans="1:38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2424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3"/>
        <v>0.53121428571428575</v>
      </c>
      <c r="Z2970" s="2" t="s">
        <v>3237</v>
      </c>
      <c r="AA2970" s="2" t="s">
        <v>46</v>
      </c>
      <c r="AB2970" s="2" t="s">
        <v>57</v>
      </c>
      <c r="AC2970" s="2" t="s">
        <v>58</v>
      </c>
      <c r="AF2970" s="2">
        <f t="shared" si="334"/>
        <v>0</v>
      </c>
      <c r="AG2970" s="2">
        <v>5.9066999999999998</v>
      </c>
      <c r="AH2970" s="2">
        <v>12.6</v>
      </c>
      <c r="AJ2970" s="2">
        <f t="shared" si="335"/>
        <v>0</v>
      </c>
      <c r="AK2970" s="2">
        <f t="shared" si="336"/>
        <v>6.6932999999999998</v>
      </c>
      <c r="AL2970" s="5">
        <f t="shared" si="337"/>
        <v>0.53121428571428575</v>
      </c>
    </row>
    <row r="2971" spans="1:38" x14ac:dyDescent="0.2">
      <c r="A2971" s="2">
        <v>2026</v>
      </c>
      <c r="B2971" s="2">
        <v>1</v>
      </c>
      <c r="D2971" s="2" t="s">
        <v>1029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1030</v>
      </c>
      <c r="J2971" s="2" t="s">
        <v>1031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3"/>
        <v>0.44256578348356551</v>
      </c>
      <c r="Z2971" s="2" t="s">
        <v>3237</v>
      </c>
      <c r="AA2971" s="2" t="s">
        <v>76</v>
      </c>
      <c r="AB2971" s="2" t="s">
        <v>77</v>
      </c>
      <c r="AC2971" s="2" t="s">
        <v>78</v>
      </c>
      <c r="AF2971" s="2">
        <f t="shared" si="334"/>
        <v>0</v>
      </c>
      <c r="AG2971" s="2">
        <v>122.446</v>
      </c>
      <c r="AH2971" s="2">
        <v>230</v>
      </c>
      <c r="AJ2971" s="2">
        <f t="shared" si="335"/>
        <v>0</v>
      </c>
      <c r="AK2971" s="2">
        <f t="shared" si="336"/>
        <v>97.213999999999999</v>
      </c>
      <c r="AL2971" s="5">
        <f t="shared" si="337"/>
        <v>0.44256578348356551</v>
      </c>
    </row>
    <row r="2972" spans="1:38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1453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3"/>
        <v>0.44342727272727273</v>
      </c>
      <c r="Z2972" s="2" t="s">
        <v>3237</v>
      </c>
      <c r="AA2972" s="2" t="s">
        <v>76</v>
      </c>
      <c r="AB2972" s="2" t="s">
        <v>77</v>
      </c>
      <c r="AC2972" s="2" t="s">
        <v>78</v>
      </c>
      <c r="AF2972" s="2">
        <f t="shared" si="334"/>
        <v>0</v>
      </c>
      <c r="AG2972" s="2">
        <v>122.446</v>
      </c>
      <c r="AH2972" s="2">
        <v>230</v>
      </c>
      <c r="AJ2972" s="2">
        <f t="shared" si="335"/>
        <v>0</v>
      </c>
      <c r="AK2972" s="2">
        <f t="shared" si="336"/>
        <v>97.554000000000002</v>
      </c>
      <c r="AL2972" s="5">
        <f t="shared" si="337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2425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3"/>
        <v>0.46676190476190477</v>
      </c>
      <c r="Z2973" s="2" t="s">
        <v>3237</v>
      </c>
      <c r="AA2973" s="2" t="s">
        <v>76</v>
      </c>
      <c r="AB2973" s="2" t="s">
        <v>77</v>
      </c>
      <c r="AC2973" s="2" t="s">
        <v>78</v>
      </c>
      <c r="AF2973" s="2">
        <f t="shared" si="334"/>
        <v>0</v>
      </c>
      <c r="AG2973" s="2">
        <v>111.98</v>
      </c>
      <c r="AH2973" s="2">
        <v>210</v>
      </c>
      <c r="AJ2973" s="2">
        <f t="shared" si="335"/>
        <v>0</v>
      </c>
      <c r="AK2973" s="2">
        <f t="shared" si="336"/>
        <v>98.02</v>
      </c>
      <c r="AL2973" s="5">
        <f t="shared" si="337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2426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3"/>
        <v>0.45027000490918012</v>
      </c>
      <c r="Z2974" s="2" t="s">
        <v>3237</v>
      </c>
      <c r="AA2974" s="2" t="s">
        <v>76</v>
      </c>
      <c r="AB2974" s="2" t="s">
        <v>77</v>
      </c>
      <c r="AC2974" s="2" t="s">
        <v>78</v>
      </c>
      <c r="AF2974" s="2">
        <f t="shared" si="334"/>
        <v>0</v>
      </c>
      <c r="AG2974" s="2">
        <v>111.98</v>
      </c>
      <c r="AH2974" s="2">
        <v>210</v>
      </c>
      <c r="AJ2974" s="2">
        <f t="shared" si="335"/>
        <v>0</v>
      </c>
      <c r="AK2974" s="2">
        <f t="shared" si="336"/>
        <v>91.719999999999985</v>
      </c>
      <c r="AL2974" s="5">
        <f t="shared" si="337"/>
        <v>0.45027000490918012</v>
      </c>
    </row>
    <row r="2975" spans="1:38" x14ac:dyDescent="0.2">
      <c r="A2975" s="2">
        <v>2026</v>
      </c>
      <c r="B2975" s="2">
        <v>1</v>
      </c>
      <c r="D2975" s="2" t="s">
        <v>1380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3217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3"/>
        <v>0.46676190476190477</v>
      </c>
      <c r="Z2975" s="2" t="s">
        <v>3237</v>
      </c>
      <c r="AA2975" s="2" t="s">
        <v>76</v>
      </c>
      <c r="AB2975" s="2" t="s">
        <v>77</v>
      </c>
      <c r="AC2975" s="2" t="s">
        <v>78</v>
      </c>
      <c r="AF2975" s="2">
        <f t="shared" si="334"/>
        <v>0</v>
      </c>
      <c r="AG2975" s="2">
        <v>111.98</v>
      </c>
      <c r="AH2975" s="2">
        <v>210</v>
      </c>
      <c r="AJ2975" s="2">
        <f t="shared" si="335"/>
        <v>0</v>
      </c>
      <c r="AK2975" s="2">
        <f t="shared" si="336"/>
        <v>98.02</v>
      </c>
      <c r="AL2975" s="5">
        <f t="shared" si="337"/>
        <v>0.46676190476190477</v>
      </c>
    </row>
    <row r="2976" spans="1:38" x14ac:dyDescent="0.2">
      <c r="A2976" s="2">
        <v>2026</v>
      </c>
      <c r="B2976" s="2">
        <v>1</v>
      </c>
      <c r="D2976" s="2" t="s">
        <v>1299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1300</v>
      </c>
      <c r="L2976" s="2" t="s">
        <v>340</v>
      </c>
      <c r="M2976" s="2" t="s">
        <v>81</v>
      </c>
      <c r="O2976" s="2" t="s">
        <v>2427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3"/>
        <v>0.47525773195876286</v>
      </c>
      <c r="Z2976" s="2" t="s">
        <v>3237</v>
      </c>
      <c r="AA2976" s="2" t="s">
        <v>76</v>
      </c>
      <c r="AB2976" s="2" t="s">
        <v>77</v>
      </c>
      <c r="AC2976" s="2" t="s">
        <v>78</v>
      </c>
      <c r="AF2976" s="2">
        <f t="shared" si="334"/>
        <v>0</v>
      </c>
      <c r="AG2976" s="2">
        <v>111.98</v>
      </c>
      <c r="AH2976" s="2">
        <v>210</v>
      </c>
      <c r="AJ2976" s="2">
        <f t="shared" si="335"/>
        <v>0</v>
      </c>
      <c r="AK2976" s="2">
        <f t="shared" si="336"/>
        <v>101.42</v>
      </c>
      <c r="AL2976" s="5">
        <f t="shared" si="337"/>
        <v>0.47525773195876286</v>
      </c>
    </row>
    <row r="2977" spans="1:38" x14ac:dyDescent="0.2">
      <c r="A2977" s="2">
        <v>2026</v>
      </c>
      <c r="B2977" s="2">
        <v>1</v>
      </c>
      <c r="D2977" s="2" t="s">
        <v>1012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1013</v>
      </c>
      <c r="J2977" s="2" t="s">
        <v>1014</v>
      </c>
      <c r="L2977" s="2" t="s">
        <v>294</v>
      </c>
      <c r="M2977" s="2" t="s">
        <v>81</v>
      </c>
      <c r="O2977" s="2" t="s">
        <v>3207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3"/>
        <v>0.38899749373433584</v>
      </c>
      <c r="Z2977" s="2" t="s">
        <v>3237</v>
      </c>
      <c r="AA2977" s="2" t="s">
        <v>76</v>
      </c>
      <c r="AB2977" s="2" t="s">
        <v>77</v>
      </c>
      <c r="AC2977" s="2" t="s">
        <v>78</v>
      </c>
      <c r="AF2977" s="2">
        <f t="shared" si="334"/>
        <v>0</v>
      </c>
      <c r="AG2977" s="2">
        <f>110.125+11.77</f>
        <v>121.895</v>
      </c>
      <c r="AJ2977" s="2">
        <f t="shared" si="335"/>
        <v>0</v>
      </c>
      <c r="AK2977" s="2">
        <f t="shared" si="336"/>
        <v>77.605000000000004</v>
      </c>
      <c r="AL2977" s="5">
        <f t="shared" si="337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2428</v>
      </c>
      <c r="L2978" s="2" t="s">
        <v>462</v>
      </c>
      <c r="M2978" s="2" t="s">
        <v>81</v>
      </c>
      <c r="O2978" s="2" t="s">
        <v>2429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3"/>
        <v>0.53174923712080413</v>
      </c>
      <c r="Z2978" s="2" t="s">
        <v>3237</v>
      </c>
      <c r="AA2978" s="2" t="s">
        <v>76</v>
      </c>
      <c r="AB2978" s="2" t="s">
        <v>77</v>
      </c>
      <c r="AC2978" s="2" t="s">
        <v>78</v>
      </c>
      <c r="AF2978" s="2">
        <f t="shared" si="334"/>
        <v>0</v>
      </c>
      <c r="AG2978" s="2">
        <f>198.32+10.37</f>
        <v>208.69</v>
      </c>
      <c r="AH2978" s="2">
        <v>340</v>
      </c>
      <c r="AJ2978" s="2">
        <f t="shared" si="335"/>
        <v>0</v>
      </c>
      <c r="AK2978" s="2">
        <f t="shared" si="336"/>
        <v>236.99</v>
      </c>
      <c r="AL2978" s="5">
        <f t="shared" si="337"/>
        <v>0.53174923712080413</v>
      </c>
    </row>
    <row r="2979" spans="1:38" x14ac:dyDescent="0.2">
      <c r="A2979" s="2">
        <v>2026</v>
      </c>
      <c r="B2979" s="2">
        <v>1</v>
      </c>
      <c r="D2979" s="2" t="s">
        <v>1012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1013</v>
      </c>
      <c r="J2979" s="2" t="s">
        <v>1014</v>
      </c>
      <c r="L2979" s="2" t="s">
        <v>294</v>
      </c>
      <c r="M2979" s="2" t="s">
        <v>81</v>
      </c>
      <c r="P2979" s="2" t="s">
        <v>73</v>
      </c>
      <c r="Q2979" s="2" t="s">
        <v>1078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8">(T2979-W2979)/T2979</f>
        <v>0.35408906882591096</v>
      </c>
      <c r="Z2979" s="2" t="s">
        <v>3237</v>
      </c>
      <c r="AA2979" s="2" t="s">
        <v>76</v>
      </c>
      <c r="AB2979" s="2" t="s">
        <v>77</v>
      </c>
      <c r="AC2979" s="2" t="s">
        <v>78</v>
      </c>
      <c r="AF2979" s="2">
        <f t="shared" si="334"/>
        <v>0</v>
      </c>
      <c r="AG2979" s="2">
        <f>144.14+15.4</f>
        <v>159.54</v>
      </c>
      <c r="AH2979" s="2">
        <v>280</v>
      </c>
      <c r="AJ2979" s="2">
        <f t="shared" si="335"/>
        <v>0</v>
      </c>
      <c r="AK2979" s="2">
        <f t="shared" si="336"/>
        <v>174.92000000000002</v>
      </c>
      <c r="AL2979" s="5">
        <f t="shared" si="337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8"/>
        <v>0.41211538461538466</v>
      </c>
      <c r="Z2980" s="2" t="s">
        <v>3237</v>
      </c>
      <c r="AA2980" s="2" t="s">
        <v>76</v>
      </c>
      <c r="AB2980" s="2" t="s">
        <v>77</v>
      </c>
      <c r="AC2980" s="2" t="s">
        <v>78</v>
      </c>
      <c r="AF2980" s="2">
        <f t="shared" si="334"/>
        <v>0</v>
      </c>
      <c r="AG2980" s="2">
        <v>152.85</v>
      </c>
      <c r="AH2980" s="2">
        <v>260</v>
      </c>
      <c r="AJ2980" s="2">
        <f t="shared" si="335"/>
        <v>0</v>
      </c>
      <c r="AK2980" s="2">
        <f t="shared" si="336"/>
        <v>107.15</v>
      </c>
      <c r="AL2980" s="5">
        <f t="shared" si="337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2430</v>
      </c>
      <c r="P2981" s="2" t="s">
        <v>73</v>
      </c>
      <c r="Q2981" s="2" t="s">
        <v>2431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8"/>
        <v>0.38639747995418094</v>
      </c>
      <c r="Z2981" s="2" t="s">
        <v>3237</v>
      </c>
      <c r="AA2981" s="2" t="s">
        <v>76</v>
      </c>
      <c r="AB2981" s="2" t="s">
        <v>77</v>
      </c>
      <c r="AC2981" s="2" t="s">
        <v>78</v>
      </c>
      <c r="AF2981" s="2">
        <f t="shared" si="334"/>
        <v>0</v>
      </c>
      <c r="AJ2981" s="2">
        <f t="shared" si="335"/>
        <v>0</v>
      </c>
      <c r="AK2981" s="2">
        <f t="shared" si="336"/>
        <v>134.92999999999998</v>
      </c>
      <c r="AL2981" s="5">
        <f t="shared" si="337"/>
        <v>0.38639747995418094</v>
      </c>
    </row>
    <row r="2982" spans="1:38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2432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8"/>
        <v>0.48100000000000004</v>
      </c>
      <c r="Z2982" s="2" t="s">
        <v>3237</v>
      </c>
      <c r="AA2982" s="2" t="s">
        <v>76</v>
      </c>
      <c r="AB2982" s="2" t="s">
        <v>77</v>
      </c>
      <c r="AC2982" s="2" t="s">
        <v>78</v>
      </c>
      <c r="AF2982" s="2">
        <f t="shared" si="334"/>
        <v>0</v>
      </c>
      <c r="AJ2982" s="2">
        <f t="shared" si="335"/>
        <v>0</v>
      </c>
      <c r="AK2982" s="2">
        <f t="shared" si="336"/>
        <v>134.68</v>
      </c>
      <c r="AL2982" s="5">
        <f t="shared" si="337"/>
        <v>0.48100000000000004</v>
      </c>
    </row>
    <row r="2983" spans="1:38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2433</v>
      </c>
      <c r="P2983" s="2" t="s">
        <v>73</v>
      </c>
      <c r="Q2983" s="2" t="s">
        <v>1998</v>
      </c>
      <c r="R2983" s="2" t="s">
        <v>1420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8"/>
        <v>0.21811538461538466</v>
      </c>
      <c r="Z2983" s="2" t="s">
        <v>3237</v>
      </c>
      <c r="AA2983" s="2" t="s">
        <v>76</v>
      </c>
      <c r="AB2983" s="2" t="s">
        <v>77</v>
      </c>
      <c r="AC2983" s="2" t="s">
        <v>78</v>
      </c>
      <c r="AF2983" s="2">
        <f t="shared" si="334"/>
        <v>0</v>
      </c>
      <c r="AJ2983" s="2">
        <f t="shared" si="335"/>
        <v>0</v>
      </c>
      <c r="AK2983" s="2">
        <f t="shared" si="336"/>
        <v>56.710000000000008</v>
      </c>
      <c r="AL2983" s="5">
        <f t="shared" si="337"/>
        <v>0.21811538461538466</v>
      </c>
    </row>
    <row r="2984" spans="1:38" x14ac:dyDescent="0.2">
      <c r="A2984" s="2">
        <v>2026</v>
      </c>
      <c r="B2984" s="2">
        <v>1</v>
      </c>
      <c r="D2984" s="2" t="s">
        <v>984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985</v>
      </c>
      <c r="J2984" s="2" t="s">
        <v>986</v>
      </c>
      <c r="L2984" s="2" t="s">
        <v>294</v>
      </c>
      <c r="M2984" s="2" t="s">
        <v>81</v>
      </c>
      <c r="O2984" s="2" t="s">
        <v>2434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8"/>
        <v>0.36610869565217397</v>
      </c>
      <c r="Z2984" s="2" t="s">
        <v>3237</v>
      </c>
      <c r="AA2984" s="2" t="s">
        <v>76</v>
      </c>
      <c r="AB2984" s="2" t="s">
        <v>77</v>
      </c>
      <c r="AC2984" s="2" t="s">
        <v>78</v>
      </c>
      <c r="AF2984" s="2">
        <f t="shared" si="334"/>
        <v>0</v>
      </c>
      <c r="AG2984" s="2">
        <v>291.58999999999997</v>
      </c>
      <c r="AH2984" s="2">
        <v>450</v>
      </c>
      <c r="AJ2984" s="2">
        <f t="shared" si="335"/>
        <v>0</v>
      </c>
      <c r="AK2984" s="2">
        <f t="shared" si="336"/>
        <v>168.41000000000003</v>
      </c>
      <c r="AL2984" s="5">
        <f t="shared" si="337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8"/>
        <v>0.36610869565217397</v>
      </c>
      <c r="Z2985" s="2" t="s">
        <v>3237</v>
      </c>
      <c r="AA2985" s="2" t="s">
        <v>76</v>
      </c>
      <c r="AB2985" s="2" t="s">
        <v>77</v>
      </c>
      <c r="AC2985" s="2" t="s">
        <v>78</v>
      </c>
      <c r="AF2985" s="2">
        <f t="shared" si="334"/>
        <v>0</v>
      </c>
      <c r="AG2985" s="2">
        <v>291.58999999999997</v>
      </c>
      <c r="AH2985" s="2">
        <v>450</v>
      </c>
      <c r="AJ2985" s="2">
        <f t="shared" si="335"/>
        <v>0</v>
      </c>
      <c r="AK2985" s="2">
        <f t="shared" si="336"/>
        <v>168.41000000000003</v>
      </c>
      <c r="AL2985" s="5">
        <f t="shared" si="337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1214</v>
      </c>
      <c r="R2986" s="2" t="s">
        <v>1215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8"/>
        <v>1</v>
      </c>
      <c r="Z2986" s="2" t="s">
        <v>3237</v>
      </c>
      <c r="AA2986" s="2" t="s">
        <v>88</v>
      </c>
      <c r="AB2986" s="2" t="s">
        <v>91</v>
      </c>
      <c r="AC2986" s="2" t="s">
        <v>85</v>
      </c>
      <c r="AF2986" s="2">
        <f t="shared" si="334"/>
        <v>0</v>
      </c>
      <c r="AJ2986" s="2">
        <f t="shared" si="335"/>
        <v>0</v>
      </c>
      <c r="AK2986" s="2">
        <f t="shared" si="336"/>
        <v>15</v>
      </c>
      <c r="AL2986" s="5">
        <f t="shared" si="337"/>
        <v>1</v>
      </c>
    </row>
    <row r="2987" spans="1:38" x14ac:dyDescent="0.2">
      <c r="A2987" s="2">
        <v>2026</v>
      </c>
      <c r="B2987" s="2">
        <v>1</v>
      </c>
      <c r="D2987" s="2" t="s">
        <v>2435</v>
      </c>
      <c r="P2987" s="2" t="s">
        <v>85</v>
      </c>
      <c r="Q2987" s="2" t="s">
        <v>2436</v>
      </c>
      <c r="R2987" s="2" t="s">
        <v>2437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8"/>
        <v>0.22570212765957443</v>
      </c>
      <c r="Z2987" s="2" t="s">
        <v>3237</v>
      </c>
      <c r="AA2987" s="2" t="s">
        <v>88</v>
      </c>
      <c r="AB2987" s="2" t="s">
        <v>91</v>
      </c>
      <c r="AC2987" s="2" t="s">
        <v>85</v>
      </c>
      <c r="AF2987" s="2">
        <f t="shared" si="334"/>
        <v>0</v>
      </c>
      <c r="AJ2987" s="2">
        <f t="shared" si="335"/>
        <v>0</v>
      </c>
      <c r="AK2987" s="2">
        <f t="shared" si="336"/>
        <v>106.07999999999998</v>
      </c>
      <c r="AL2987" s="5">
        <f t="shared" si="337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1041</v>
      </c>
      <c r="Q2988" s="2" t="s">
        <v>2438</v>
      </c>
      <c r="R2988" s="2" t="s">
        <v>2439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8"/>
        <v>0.41707692307692307</v>
      </c>
      <c r="Z2988" s="2" t="s">
        <v>3237</v>
      </c>
      <c r="AA2988" s="2" t="s">
        <v>1044</v>
      </c>
      <c r="AB2988" s="2" t="s">
        <v>1274</v>
      </c>
      <c r="AC2988" s="2" t="s">
        <v>1041</v>
      </c>
      <c r="AF2988" s="2">
        <f t="shared" si="334"/>
        <v>0</v>
      </c>
      <c r="AJ2988" s="2">
        <f t="shared" si="335"/>
        <v>0</v>
      </c>
      <c r="AK2988" s="2">
        <f t="shared" si="336"/>
        <v>216.88</v>
      </c>
      <c r="AL2988" s="5">
        <f t="shared" si="337"/>
        <v>0.41707692307692307</v>
      </c>
    </row>
    <row r="2989" spans="1:38" x14ac:dyDescent="0.2">
      <c r="A2989" s="2">
        <v>2026</v>
      </c>
      <c r="B2989" s="2">
        <v>1</v>
      </c>
      <c r="D2989" s="2" t="s">
        <v>2440</v>
      </c>
      <c r="M2989" s="2" t="s">
        <v>81</v>
      </c>
      <c r="P2989" s="2" t="s">
        <v>1041</v>
      </c>
      <c r="Q2989" s="2" t="s">
        <v>2441</v>
      </c>
      <c r="R2989" s="2" t="s">
        <v>2442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8"/>
        <v>0.38905972109103604</v>
      </c>
      <c r="Z2989" s="2" t="s">
        <v>3237</v>
      </c>
      <c r="AA2989" s="2" t="s">
        <v>1044</v>
      </c>
      <c r="AB2989" s="2" t="s">
        <v>1322</v>
      </c>
      <c r="AC2989" s="2" t="s">
        <v>1041</v>
      </c>
      <c r="AF2989" s="2">
        <f t="shared" si="334"/>
        <v>0</v>
      </c>
      <c r="AJ2989" s="2">
        <f t="shared" si="335"/>
        <v>0</v>
      </c>
      <c r="AK2989" s="2">
        <f t="shared" si="336"/>
        <v>234.07</v>
      </c>
      <c r="AL2989" s="5">
        <f t="shared" si="337"/>
        <v>0.38905972109103604</v>
      </c>
    </row>
    <row r="2990" spans="1:38" x14ac:dyDescent="0.2">
      <c r="A2990" s="2">
        <v>2026</v>
      </c>
      <c r="B2990" s="2">
        <v>1</v>
      </c>
      <c r="D2990" s="2" t="s">
        <v>2443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2444</v>
      </c>
      <c r="J2990" s="2" t="s">
        <v>2445</v>
      </c>
      <c r="L2990" s="2" t="s">
        <v>2446</v>
      </c>
      <c r="M2990" s="2" t="s">
        <v>41</v>
      </c>
      <c r="O2990" s="2" t="s">
        <v>2447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8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4"/>
        <v>0</v>
      </c>
      <c r="AG2990" s="2">
        <v>1160.5</v>
      </c>
      <c r="AH2990" s="2">
        <v>1500</v>
      </c>
      <c r="AJ2990" s="2">
        <f t="shared" si="335"/>
        <v>0</v>
      </c>
      <c r="AK2990" s="2">
        <f t="shared" si="336"/>
        <v>339.5</v>
      </c>
      <c r="AL2990" s="5">
        <f t="shared" si="337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2448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8"/>
        <v>1</v>
      </c>
      <c r="Z2991" s="2" t="s">
        <v>120</v>
      </c>
      <c r="AA2991" s="2" t="s">
        <v>493</v>
      </c>
      <c r="AF2991" s="2">
        <f t="shared" si="334"/>
        <v>0</v>
      </c>
      <c r="AJ2991" s="2">
        <f t="shared" si="335"/>
        <v>0</v>
      </c>
      <c r="AK2991" s="2">
        <f t="shared" si="336"/>
        <v>664.04</v>
      </c>
      <c r="AL2991" s="5">
        <f t="shared" ref="AL2991:AL3002" si="339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8"/>
        <v>1</v>
      </c>
      <c r="Z2992" s="2" t="s">
        <v>118</v>
      </c>
      <c r="AA2992" s="2" t="s">
        <v>318</v>
      </c>
      <c r="AF2992" s="2">
        <f t="shared" si="334"/>
        <v>0</v>
      </c>
      <c r="AJ2992" s="2">
        <f t="shared" si="335"/>
        <v>0</v>
      </c>
      <c r="AK2992" s="2">
        <f t="shared" si="336"/>
        <v>291</v>
      </c>
      <c r="AL2992" s="5">
        <f t="shared" si="339"/>
        <v>1</v>
      </c>
    </row>
    <row r="2993" spans="1:38" x14ac:dyDescent="0.2">
      <c r="A2993" s="2">
        <v>2026</v>
      </c>
      <c r="B2993" s="2">
        <v>1</v>
      </c>
      <c r="D2993" s="2" t="s">
        <v>1892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8"/>
        <v>1</v>
      </c>
      <c r="Z2993" s="2" t="s">
        <v>118</v>
      </c>
      <c r="AA2993" s="2" t="s">
        <v>318</v>
      </c>
      <c r="AF2993" s="2">
        <f t="shared" si="334"/>
        <v>0</v>
      </c>
      <c r="AJ2993" s="2">
        <f t="shared" si="335"/>
        <v>0</v>
      </c>
      <c r="AK2993" s="2">
        <f t="shared" si="336"/>
        <v>-850</v>
      </c>
      <c r="AL2993" s="5">
        <f t="shared" si="339"/>
        <v>1</v>
      </c>
    </row>
    <row r="2994" spans="1:38" x14ac:dyDescent="0.2">
      <c r="A2994" s="2">
        <v>2026</v>
      </c>
      <c r="B2994" s="2">
        <v>1</v>
      </c>
      <c r="D2994" s="2" t="s">
        <v>1012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1013</v>
      </c>
      <c r="J2994" s="2" t="s">
        <v>1014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8"/>
        <v>1</v>
      </c>
      <c r="Z2994" s="2" t="s">
        <v>118</v>
      </c>
      <c r="AA2994" s="2" t="s">
        <v>318</v>
      </c>
      <c r="AF2994" s="2">
        <f t="shared" si="334"/>
        <v>0</v>
      </c>
      <c r="AJ2994" s="2">
        <f t="shared" si="335"/>
        <v>0</v>
      </c>
      <c r="AK2994" s="2">
        <f t="shared" si="336"/>
        <v>875</v>
      </c>
      <c r="AL2994" s="5">
        <f t="shared" si="339"/>
        <v>1</v>
      </c>
    </row>
    <row r="2995" spans="1:38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4"/>
        <v>0</v>
      </c>
      <c r="AJ2995" s="2">
        <f t="shared" si="335"/>
        <v>0</v>
      </c>
      <c r="AK2995" s="2">
        <f t="shared" si="336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4"/>
        <v>0</v>
      </c>
      <c r="AG2996" s="2">
        <f>W2996</f>
        <v>0</v>
      </c>
      <c r="AJ2996" s="2">
        <f t="shared" si="335"/>
        <v>0</v>
      </c>
      <c r="AK2996" s="2">
        <f t="shared" si="336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4"/>
        <v>0</v>
      </c>
      <c r="AJ2997" s="2">
        <f t="shared" si="335"/>
        <v>0</v>
      </c>
      <c r="AK2997" s="2">
        <f t="shared" si="336"/>
        <v>33</v>
      </c>
      <c r="AL2997" s="5">
        <f t="shared" si="339"/>
        <v>0.6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4"/>
        <v>0</v>
      </c>
      <c r="AG2998" s="2">
        <f>W2998</f>
        <v>27.5</v>
      </c>
      <c r="AJ2998" s="2">
        <f t="shared" si="335"/>
        <v>0</v>
      </c>
      <c r="AK2998" s="2">
        <f t="shared" si="336"/>
        <v>27.5</v>
      </c>
      <c r="AL2998" s="5">
        <f t="shared" si="339"/>
        <v>0.5</v>
      </c>
    </row>
    <row r="2999" spans="1:38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2449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34"/>
        <v>0</v>
      </c>
      <c r="AJ2999" s="2">
        <f t="shared" si="335"/>
        <v>0</v>
      </c>
      <c r="AK2999" s="2">
        <f t="shared" si="336"/>
        <v>-47.4</v>
      </c>
      <c r="AL2999" s="5">
        <f t="shared" si="339"/>
        <v>0.6</v>
      </c>
    </row>
    <row r="3000" spans="1:38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2449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34"/>
        <v>0</v>
      </c>
      <c r="AG3000" s="2">
        <f t="shared" ref="AG3000:AG3028" si="340">W3000</f>
        <v>-50</v>
      </c>
      <c r="AJ3000" s="2">
        <f t="shared" si="335"/>
        <v>0</v>
      </c>
      <c r="AK3000" s="2">
        <f t="shared" si="336"/>
        <v>-50</v>
      </c>
    </row>
    <row r="3001" spans="1:38" x14ac:dyDescent="0.2">
      <c r="A3001" s="2">
        <v>2026</v>
      </c>
      <c r="B3001" s="2">
        <v>2</v>
      </c>
      <c r="D3001" s="2" t="s">
        <v>2450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4"/>
        <v>0</v>
      </c>
      <c r="AG3001" s="2">
        <f t="shared" si="340"/>
        <v>198.4</v>
      </c>
      <c r="AJ3001" s="2">
        <f t="shared" si="335"/>
        <v>0</v>
      </c>
      <c r="AK3001" s="2">
        <f t="shared" si="336"/>
        <v>297.60000000000002</v>
      </c>
      <c r="AL3001" s="5">
        <f t="shared" si="339"/>
        <v>0.60000000000000009</v>
      </c>
    </row>
    <row r="3002" spans="1:38" x14ac:dyDescent="0.2">
      <c r="A3002" s="2">
        <v>2026</v>
      </c>
      <c r="B3002" s="2">
        <v>2</v>
      </c>
      <c r="D3002" s="2" t="s">
        <v>2450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4"/>
        <v>0</v>
      </c>
      <c r="AG3002" s="2">
        <f t="shared" si="340"/>
        <v>100</v>
      </c>
      <c r="AJ3002" s="2">
        <f t="shared" si="335"/>
        <v>0</v>
      </c>
      <c r="AK3002" s="2">
        <f t="shared" si="336"/>
        <v>100</v>
      </c>
      <c r="AL3002" s="5">
        <f t="shared" si="339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2451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4"/>
        <v>0</v>
      </c>
      <c r="AG3003" s="2">
        <f t="shared" si="340"/>
        <v>-24.400000000000002</v>
      </c>
      <c r="AJ3003" s="2">
        <f t="shared" si="335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2451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4"/>
        <v>0</v>
      </c>
      <c r="AG3004" s="2">
        <f t="shared" si="340"/>
        <v>0</v>
      </c>
      <c r="AJ3004" s="2">
        <f t="shared" si="335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2452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1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4"/>
        <v>0</v>
      </c>
      <c r="AG3005" s="2">
        <f t="shared" si="340"/>
        <v>41.25</v>
      </c>
      <c r="AJ3005" s="2">
        <f t="shared" si="335"/>
        <v>0</v>
      </c>
      <c r="AK3005" s="2">
        <f t="shared" ref="AK3005:AK3035" si="342">T3005-W3005</f>
        <v>41.25</v>
      </c>
      <c r="AL3005" s="5">
        <f t="shared" ref="AL3005:AL3035" si="343">(T3005-W3005)/T3005</f>
        <v>0.5</v>
      </c>
    </row>
    <row r="3006" spans="1:38" x14ac:dyDescent="0.2">
      <c r="A3006" s="2">
        <v>2026</v>
      </c>
      <c r="B3006" s="2">
        <v>3</v>
      </c>
      <c r="D3006" s="2" t="s">
        <v>1171</v>
      </c>
      <c r="E3006" s="2" t="s">
        <v>754</v>
      </c>
      <c r="F3006" s="2" t="s">
        <v>1172</v>
      </c>
      <c r="G3006" s="2">
        <v>505760088</v>
      </c>
      <c r="H3006" s="2" t="s">
        <v>291</v>
      </c>
      <c r="I3006" s="2" t="s">
        <v>1173</v>
      </c>
      <c r="J3006" s="2" t="s">
        <v>1174</v>
      </c>
      <c r="L3006" s="2" t="s">
        <v>340</v>
      </c>
      <c r="M3006" s="2" t="s">
        <v>40</v>
      </c>
      <c r="O3006" s="2" t="s">
        <v>2453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4">(T3006-W3006)/T3006</f>
        <v>0.6</v>
      </c>
      <c r="Z3006" s="2" t="s">
        <v>118</v>
      </c>
      <c r="AA3006" s="2" t="s">
        <v>191</v>
      </c>
      <c r="AF3006" s="2">
        <f t="shared" si="334"/>
        <v>0</v>
      </c>
      <c r="AG3006" s="2">
        <f t="shared" si="340"/>
        <v>22</v>
      </c>
      <c r="AJ3006" s="2">
        <f t="shared" si="335"/>
        <v>0</v>
      </c>
      <c r="AK3006" s="2">
        <f t="shared" si="342"/>
        <v>33</v>
      </c>
      <c r="AL3006" s="5">
        <f t="shared" si="343"/>
        <v>0.6</v>
      </c>
    </row>
    <row r="3007" spans="1:38" x14ac:dyDescent="0.2">
      <c r="A3007" s="2">
        <v>2026</v>
      </c>
      <c r="B3007" s="2">
        <v>3</v>
      </c>
      <c r="D3007" s="2" t="s">
        <v>1171</v>
      </c>
      <c r="E3007" s="2" t="s">
        <v>754</v>
      </c>
      <c r="F3007" s="2" t="s">
        <v>1172</v>
      </c>
      <c r="G3007" s="2">
        <v>505760088</v>
      </c>
      <c r="H3007" s="2" t="s">
        <v>291</v>
      </c>
      <c r="I3007" s="2" t="s">
        <v>1173</v>
      </c>
      <c r="J3007" s="2" t="s">
        <v>1174</v>
      </c>
      <c r="L3007" s="2" t="s">
        <v>340</v>
      </c>
      <c r="M3007" s="2" t="s">
        <v>40</v>
      </c>
      <c r="O3007" s="2" t="s">
        <v>2453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4"/>
        <v>0.5</v>
      </c>
      <c r="Z3007" s="2" t="s">
        <v>118</v>
      </c>
      <c r="AA3007" s="2" t="s">
        <v>191</v>
      </c>
      <c r="AF3007" s="2">
        <f t="shared" si="334"/>
        <v>0</v>
      </c>
      <c r="AG3007" s="2">
        <f t="shared" si="340"/>
        <v>27.5</v>
      </c>
      <c r="AJ3007" s="2">
        <f t="shared" si="335"/>
        <v>0</v>
      </c>
      <c r="AK3007" s="2">
        <f t="shared" si="342"/>
        <v>27.5</v>
      </c>
      <c r="AL3007" s="5">
        <f t="shared" si="343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2454</v>
      </c>
      <c r="F3008" s="2" t="s">
        <v>39</v>
      </c>
      <c r="G3008" s="2">
        <v>505814030</v>
      </c>
      <c r="H3008" s="2" t="s">
        <v>291</v>
      </c>
      <c r="I3008" s="2" t="s">
        <v>2455</v>
      </c>
      <c r="J3008" s="2" t="s">
        <v>2456</v>
      </c>
      <c r="L3008" s="2" t="s">
        <v>340</v>
      </c>
      <c r="M3008" s="2" t="s">
        <v>40</v>
      </c>
      <c r="O3008" s="2" t="s">
        <v>2457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4"/>
        <v>0.6</v>
      </c>
      <c r="Z3008" s="2" t="s">
        <v>118</v>
      </c>
      <c r="AA3008" s="2" t="s">
        <v>191</v>
      </c>
      <c r="AF3008" s="2">
        <f t="shared" si="334"/>
        <v>0</v>
      </c>
      <c r="AG3008" s="2">
        <f t="shared" si="340"/>
        <v>24</v>
      </c>
      <c r="AJ3008" s="2">
        <f t="shared" si="335"/>
        <v>0</v>
      </c>
      <c r="AK3008" s="2">
        <f t="shared" si="342"/>
        <v>36</v>
      </c>
      <c r="AL3008" s="5">
        <f t="shared" si="343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2454</v>
      </c>
      <c r="F3009" s="2" t="s">
        <v>39</v>
      </c>
      <c r="G3009" s="2">
        <v>505814030</v>
      </c>
      <c r="H3009" s="2" t="s">
        <v>291</v>
      </c>
      <c r="I3009" s="2" t="s">
        <v>2455</v>
      </c>
      <c r="J3009" s="2" t="s">
        <v>2456</v>
      </c>
      <c r="L3009" s="2" t="s">
        <v>340</v>
      </c>
      <c r="M3009" s="2" t="s">
        <v>40</v>
      </c>
      <c r="O3009" s="2" t="s">
        <v>2457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4"/>
        <v>0.5</v>
      </c>
      <c r="Z3009" s="2" t="s">
        <v>118</v>
      </c>
      <c r="AA3009" s="2" t="s">
        <v>191</v>
      </c>
      <c r="AF3009" s="2">
        <f t="shared" si="334"/>
        <v>0</v>
      </c>
      <c r="AG3009" s="2">
        <f t="shared" si="340"/>
        <v>27.5</v>
      </c>
      <c r="AJ3009" s="2">
        <f t="shared" si="335"/>
        <v>0</v>
      </c>
      <c r="AK3009" s="2">
        <f t="shared" si="342"/>
        <v>27.5</v>
      </c>
      <c r="AL3009" s="5">
        <f t="shared" si="343"/>
        <v>0.5</v>
      </c>
    </row>
    <row r="3010" spans="1:38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4"/>
        <v>0.6</v>
      </c>
      <c r="Z3010" s="2" t="s">
        <v>118</v>
      </c>
      <c r="AA3010" s="2" t="s">
        <v>191</v>
      </c>
      <c r="AF3010" s="2">
        <f t="shared" si="334"/>
        <v>0</v>
      </c>
      <c r="AG3010" s="2">
        <f t="shared" si="340"/>
        <v>24</v>
      </c>
      <c r="AJ3010" s="2">
        <f t="shared" si="335"/>
        <v>0</v>
      </c>
      <c r="AK3010" s="2">
        <f t="shared" si="342"/>
        <v>36</v>
      </c>
      <c r="AL3010" s="5">
        <f t="shared" si="343"/>
        <v>0.6</v>
      </c>
    </row>
    <row r="3011" spans="1:38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4"/>
        <v>0.5</v>
      </c>
      <c r="Z3011" s="2" t="s">
        <v>118</v>
      </c>
      <c r="AA3011" s="2" t="s">
        <v>191</v>
      </c>
      <c r="AF3011" s="2">
        <f t="shared" ref="AF3011:AF3074" si="345">AJ3011</f>
        <v>0</v>
      </c>
      <c r="AG3011" s="2">
        <f t="shared" si="340"/>
        <v>37.5</v>
      </c>
      <c r="AJ3011" s="2">
        <f t="shared" ref="AJ3011:AJ3074" si="346">AI3011*T3011</f>
        <v>0</v>
      </c>
      <c r="AK3011" s="2">
        <f t="shared" si="342"/>
        <v>37.5</v>
      </c>
      <c r="AL3011" s="5">
        <f t="shared" si="343"/>
        <v>0.5</v>
      </c>
    </row>
    <row r="3012" spans="1:38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4"/>
        <v>0.6</v>
      </c>
      <c r="Z3012" s="2" t="s">
        <v>118</v>
      </c>
      <c r="AA3012" s="2" t="s">
        <v>191</v>
      </c>
      <c r="AF3012" s="2">
        <f t="shared" si="345"/>
        <v>0</v>
      </c>
      <c r="AG3012" s="2">
        <f t="shared" si="340"/>
        <v>126.80000000000001</v>
      </c>
      <c r="AJ3012" s="2">
        <f t="shared" si="346"/>
        <v>0</v>
      </c>
      <c r="AK3012" s="2">
        <f t="shared" si="342"/>
        <v>190.2</v>
      </c>
      <c r="AL3012" s="5">
        <f t="shared" si="343"/>
        <v>0.6</v>
      </c>
    </row>
    <row r="3013" spans="1:38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4"/>
        <v>0.5</v>
      </c>
      <c r="Z3013" s="2" t="s">
        <v>118</v>
      </c>
      <c r="AA3013" s="2" t="s">
        <v>191</v>
      </c>
      <c r="AF3013" s="2">
        <f t="shared" si="345"/>
        <v>0</v>
      </c>
      <c r="AG3013" s="2">
        <f t="shared" si="340"/>
        <v>27.5</v>
      </c>
      <c r="AJ3013" s="2">
        <f t="shared" si="346"/>
        <v>0</v>
      </c>
      <c r="AK3013" s="2">
        <f t="shared" si="342"/>
        <v>27.5</v>
      </c>
      <c r="AL3013" s="5">
        <f t="shared" si="343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5"/>
        <v>0</v>
      </c>
      <c r="AG3014" s="2">
        <f t="shared" si="340"/>
        <v>-15</v>
      </c>
      <c r="AJ3014" s="2">
        <f t="shared" si="346"/>
        <v>0</v>
      </c>
      <c r="AK3014" s="2">
        <f t="shared" si="342"/>
        <v>-22.5</v>
      </c>
      <c r="AL3014" s="5">
        <f t="shared" si="343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5"/>
        <v>0</v>
      </c>
      <c r="AG3015" s="2">
        <f t="shared" si="340"/>
        <v>0</v>
      </c>
      <c r="AJ3015" s="2">
        <f t="shared" si="346"/>
        <v>0</v>
      </c>
      <c r="AK3015" s="2">
        <f t="shared" si="342"/>
        <v>-36</v>
      </c>
      <c r="AL3015" s="5">
        <f t="shared" si="343"/>
        <v>1</v>
      </c>
    </row>
    <row r="3016" spans="1:38" x14ac:dyDescent="0.2">
      <c r="A3016" s="2">
        <v>2026</v>
      </c>
      <c r="B3016" s="2">
        <v>1</v>
      </c>
      <c r="D3016" s="2" t="s">
        <v>976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7">(T3016-W3016)/T3016</f>
        <v>0.6</v>
      </c>
      <c r="Z3016" s="2" t="s">
        <v>118</v>
      </c>
      <c r="AA3016" s="2" t="s">
        <v>191</v>
      </c>
      <c r="AF3016" s="2">
        <f t="shared" si="345"/>
        <v>0</v>
      </c>
      <c r="AG3016" s="2">
        <f t="shared" si="340"/>
        <v>20</v>
      </c>
      <c r="AJ3016" s="2">
        <f t="shared" si="346"/>
        <v>0</v>
      </c>
      <c r="AK3016" s="2">
        <f t="shared" si="342"/>
        <v>30</v>
      </c>
      <c r="AL3016" s="5">
        <f t="shared" si="343"/>
        <v>0.6</v>
      </c>
    </row>
    <row r="3017" spans="1:38" x14ac:dyDescent="0.2">
      <c r="A3017" s="2">
        <v>2026</v>
      </c>
      <c r="B3017" s="2">
        <v>1</v>
      </c>
      <c r="D3017" s="2" t="s">
        <v>976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7"/>
        <v>0.5</v>
      </c>
      <c r="Z3017" s="2" t="s">
        <v>118</v>
      </c>
      <c r="AA3017" s="2" t="s">
        <v>191</v>
      </c>
      <c r="AF3017" s="2">
        <f t="shared" si="345"/>
        <v>0</v>
      </c>
      <c r="AG3017" s="2">
        <f t="shared" si="340"/>
        <v>25</v>
      </c>
      <c r="AJ3017" s="2">
        <f t="shared" si="346"/>
        <v>0</v>
      </c>
      <c r="AK3017" s="2">
        <f t="shared" si="342"/>
        <v>25</v>
      </c>
      <c r="AL3017" s="5">
        <f t="shared" si="343"/>
        <v>0.5</v>
      </c>
    </row>
    <row r="3018" spans="1:38" x14ac:dyDescent="0.2">
      <c r="A3018" s="2">
        <v>2026</v>
      </c>
      <c r="B3018" s="2">
        <v>3</v>
      </c>
      <c r="D3018" s="2" t="s">
        <v>2458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7"/>
        <v>0.6</v>
      </c>
      <c r="Z3018" s="2" t="s">
        <v>118</v>
      </c>
      <c r="AA3018" s="2" t="s">
        <v>191</v>
      </c>
      <c r="AF3018" s="2">
        <f t="shared" si="345"/>
        <v>0</v>
      </c>
      <c r="AG3018" s="2">
        <f t="shared" si="340"/>
        <v>41.6</v>
      </c>
      <c r="AJ3018" s="2">
        <f t="shared" si="346"/>
        <v>0</v>
      </c>
      <c r="AK3018" s="2">
        <f t="shared" si="342"/>
        <v>62.4</v>
      </c>
      <c r="AL3018" s="5">
        <f t="shared" si="343"/>
        <v>0.6</v>
      </c>
    </row>
    <row r="3019" spans="1:38" x14ac:dyDescent="0.2">
      <c r="A3019" s="2">
        <v>2026</v>
      </c>
      <c r="B3019" s="2">
        <v>3</v>
      </c>
      <c r="D3019" s="2" t="s">
        <v>2458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7"/>
        <v>0.5</v>
      </c>
      <c r="Z3019" s="2" t="s">
        <v>118</v>
      </c>
      <c r="AA3019" s="2" t="s">
        <v>191</v>
      </c>
      <c r="AF3019" s="2">
        <f t="shared" si="345"/>
        <v>0</v>
      </c>
      <c r="AG3019" s="2">
        <f t="shared" si="340"/>
        <v>27.5</v>
      </c>
      <c r="AJ3019" s="2">
        <f t="shared" si="346"/>
        <v>0</v>
      </c>
      <c r="AK3019" s="2">
        <f t="shared" si="342"/>
        <v>27.5</v>
      </c>
      <c r="AL3019" s="5">
        <f t="shared" si="343"/>
        <v>0.5</v>
      </c>
    </row>
    <row r="3020" spans="1:38" x14ac:dyDescent="0.2">
      <c r="A3020" s="2">
        <v>2026</v>
      </c>
      <c r="B3020" s="2">
        <v>3</v>
      </c>
      <c r="D3020" s="2" t="s">
        <v>1772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7"/>
        <v>0.6</v>
      </c>
      <c r="Z3020" s="2" t="s">
        <v>118</v>
      </c>
      <c r="AA3020" s="2" t="s">
        <v>191</v>
      </c>
      <c r="AF3020" s="2">
        <f t="shared" si="345"/>
        <v>0</v>
      </c>
      <c r="AG3020" s="2">
        <f t="shared" si="340"/>
        <v>31.6</v>
      </c>
      <c r="AJ3020" s="2">
        <f t="shared" si="346"/>
        <v>0</v>
      </c>
      <c r="AK3020" s="2">
        <f t="shared" si="342"/>
        <v>47.4</v>
      </c>
      <c r="AL3020" s="5">
        <f t="shared" si="343"/>
        <v>0.6</v>
      </c>
    </row>
    <row r="3021" spans="1:38" x14ac:dyDescent="0.2">
      <c r="A3021" s="2">
        <v>2026</v>
      </c>
      <c r="B3021" s="2">
        <v>3</v>
      </c>
      <c r="D3021" s="2" t="s">
        <v>1772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7"/>
        <v>0.5</v>
      </c>
      <c r="Z3021" s="2" t="s">
        <v>118</v>
      </c>
      <c r="AA3021" s="2" t="s">
        <v>191</v>
      </c>
      <c r="AF3021" s="2">
        <f t="shared" si="345"/>
        <v>0</v>
      </c>
      <c r="AG3021" s="2">
        <f t="shared" si="340"/>
        <v>55</v>
      </c>
      <c r="AJ3021" s="2">
        <f t="shared" si="346"/>
        <v>0</v>
      </c>
      <c r="AK3021" s="2">
        <f t="shared" si="342"/>
        <v>55</v>
      </c>
      <c r="AL3021" s="5">
        <f t="shared" si="343"/>
        <v>0.5</v>
      </c>
    </row>
    <row r="3022" spans="1:38" x14ac:dyDescent="0.2">
      <c r="A3022" s="2">
        <v>2026</v>
      </c>
      <c r="B3022" s="2">
        <v>1</v>
      </c>
      <c r="D3022" s="2" t="s">
        <v>2000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7"/>
        <v>0.6</v>
      </c>
      <c r="Z3022" s="2" t="s">
        <v>118</v>
      </c>
      <c r="AA3022" s="2" t="s">
        <v>191</v>
      </c>
      <c r="AF3022" s="2">
        <f t="shared" si="345"/>
        <v>0</v>
      </c>
      <c r="AG3022" s="2">
        <f t="shared" si="340"/>
        <v>138</v>
      </c>
      <c r="AJ3022" s="2">
        <f t="shared" si="346"/>
        <v>0</v>
      </c>
      <c r="AK3022" s="2">
        <f t="shared" si="342"/>
        <v>207</v>
      </c>
      <c r="AL3022" s="5">
        <f t="shared" si="343"/>
        <v>0.6</v>
      </c>
    </row>
    <row r="3023" spans="1:38" x14ac:dyDescent="0.2">
      <c r="A3023" s="2">
        <v>2026</v>
      </c>
      <c r="B3023" s="2">
        <v>1</v>
      </c>
      <c r="D3023" s="2" t="s">
        <v>2000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7"/>
        <v>0.5</v>
      </c>
      <c r="Z3023" s="2" t="s">
        <v>118</v>
      </c>
      <c r="AA3023" s="2" t="s">
        <v>191</v>
      </c>
      <c r="AF3023" s="2">
        <f t="shared" si="345"/>
        <v>0</v>
      </c>
      <c r="AG3023" s="2">
        <f t="shared" si="340"/>
        <v>150</v>
      </c>
      <c r="AJ3023" s="2">
        <f t="shared" si="346"/>
        <v>0</v>
      </c>
      <c r="AK3023" s="2">
        <f t="shared" si="342"/>
        <v>150</v>
      </c>
      <c r="AL3023" s="5">
        <f t="shared" si="343"/>
        <v>0.5</v>
      </c>
    </row>
    <row r="3024" spans="1:38" x14ac:dyDescent="0.2">
      <c r="A3024" s="2">
        <v>2026</v>
      </c>
      <c r="B3024" s="2">
        <v>2</v>
      </c>
      <c r="D3024" s="2" t="s">
        <v>2459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2460</v>
      </c>
      <c r="J3024" s="2" t="s">
        <v>2461</v>
      </c>
      <c r="K3024" s="2">
        <v>967554174</v>
      </c>
      <c r="L3024" s="2" t="s">
        <v>134</v>
      </c>
      <c r="M3024" s="2" t="s">
        <v>40</v>
      </c>
      <c r="O3024" s="2" t="s">
        <v>2462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7"/>
        <v>0.6</v>
      </c>
      <c r="Z3024" s="2" t="s">
        <v>118</v>
      </c>
      <c r="AA3024" s="2" t="s">
        <v>191</v>
      </c>
      <c r="AF3024" s="2">
        <f t="shared" si="345"/>
        <v>0</v>
      </c>
      <c r="AG3024" s="2">
        <f t="shared" si="340"/>
        <v>54</v>
      </c>
      <c r="AJ3024" s="2">
        <f t="shared" si="346"/>
        <v>0</v>
      </c>
      <c r="AK3024" s="2">
        <f t="shared" si="342"/>
        <v>81</v>
      </c>
      <c r="AL3024" s="5">
        <f t="shared" si="343"/>
        <v>0.6</v>
      </c>
    </row>
    <row r="3025" spans="1:38" x14ac:dyDescent="0.2">
      <c r="A3025" s="2">
        <v>2026</v>
      </c>
      <c r="B3025" s="2">
        <v>2</v>
      </c>
      <c r="D3025" s="2" t="s">
        <v>2459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2460</v>
      </c>
      <c r="J3025" s="2" t="s">
        <v>2461</v>
      </c>
      <c r="K3025" s="2">
        <v>967554174</v>
      </c>
      <c r="L3025" s="2" t="s">
        <v>134</v>
      </c>
      <c r="M3025" s="2" t="s">
        <v>40</v>
      </c>
      <c r="O3025" s="2" t="s">
        <v>2462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7"/>
        <v>0.5</v>
      </c>
      <c r="Z3025" s="2" t="s">
        <v>118</v>
      </c>
      <c r="AA3025" s="2" t="s">
        <v>191</v>
      </c>
      <c r="AF3025" s="2">
        <f t="shared" si="345"/>
        <v>0</v>
      </c>
      <c r="AG3025" s="2">
        <f t="shared" si="340"/>
        <v>50</v>
      </c>
      <c r="AJ3025" s="2">
        <f t="shared" si="346"/>
        <v>0</v>
      </c>
      <c r="AK3025" s="2">
        <f t="shared" si="342"/>
        <v>50</v>
      </c>
      <c r="AL3025" s="5">
        <f t="shared" si="343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7"/>
        <v>0.6</v>
      </c>
      <c r="Z3026" s="2" t="s">
        <v>118</v>
      </c>
      <c r="AA3026" s="2" t="s">
        <v>191</v>
      </c>
      <c r="AF3026" s="2">
        <f t="shared" si="345"/>
        <v>0</v>
      </c>
      <c r="AG3026" s="2">
        <f t="shared" si="340"/>
        <v>24</v>
      </c>
      <c r="AJ3026" s="2">
        <f t="shared" si="346"/>
        <v>0</v>
      </c>
      <c r="AK3026" s="2">
        <f t="shared" si="342"/>
        <v>36</v>
      </c>
      <c r="AL3026" s="5">
        <f t="shared" si="343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7"/>
        <v>0.5</v>
      </c>
      <c r="Z3027" s="2" t="s">
        <v>118</v>
      </c>
      <c r="AA3027" s="2" t="s">
        <v>191</v>
      </c>
      <c r="AF3027" s="2">
        <f t="shared" si="345"/>
        <v>0</v>
      </c>
      <c r="AG3027" s="2">
        <f t="shared" si="340"/>
        <v>55</v>
      </c>
      <c r="AJ3027" s="2">
        <f t="shared" si="346"/>
        <v>0</v>
      </c>
      <c r="AK3027" s="2">
        <f t="shared" si="342"/>
        <v>55</v>
      </c>
      <c r="AL3027" s="5">
        <f t="shared" si="343"/>
        <v>0.5</v>
      </c>
    </row>
    <row r="3028" spans="1:38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7"/>
        <v>0.59999999999999987</v>
      </c>
      <c r="Z3028" s="2" t="s">
        <v>118</v>
      </c>
      <c r="AA3028" s="2" t="s">
        <v>191</v>
      </c>
      <c r="AF3028" s="2">
        <f t="shared" si="345"/>
        <v>0</v>
      </c>
      <c r="AG3028" s="2">
        <f t="shared" si="340"/>
        <v>44.800000000000004</v>
      </c>
      <c r="AJ3028" s="2">
        <f t="shared" si="346"/>
        <v>0</v>
      </c>
      <c r="AK3028" s="2">
        <f t="shared" si="342"/>
        <v>67.199999999999989</v>
      </c>
      <c r="AL3028" s="5">
        <f t="shared" si="343"/>
        <v>0.59999999999999987</v>
      </c>
    </row>
    <row r="3029" spans="1:38" x14ac:dyDescent="0.2">
      <c r="A3029" s="2">
        <v>2026</v>
      </c>
      <c r="B3029" s="2">
        <v>1</v>
      </c>
      <c r="D3029" s="2" t="s">
        <v>2222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7"/>
        <v>1</v>
      </c>
      <c r="Z3029" s="2" t="s">
        <v>170</v>
      </c>
      <c r="AA3029" s="2" t="s">
        <v>170</v>
      </c>
      <c r="AF3029" s="2">
        <f t="shared" si="345"/>
        <v>0</v>
      </c>
      <c r="AJ3029" s="2">
        <f t="shared" si="346"/>
        <v>0</v>
      </c>
      <c r="AK3029" s="2">
        <f t="shared" si="342"/>
        <v>8</v>
      </c>
      <c r="AL3029" s="5">
        <f t="shared" si="343"/>
        <v>1</v>
      </c>
    </row>
    <row r="3030" spans="1:38" x14ac:dyDescent="0.2">
      <c r="A3030" s="2">
        <v>2026</v>
      </c>
      <c r="B3030" s="2">
        <v>1</v>
      </c>
      <c r="D3030" s="2" t="s">
        <v>1181</v>
      </c>
      <c r="E3030" s="2" t="s">
        <v>38</v>
      </c>
      <c r="G3030" s="2">
        <v>502089075</v>
      </c>
      <c r="H3030" s="2" t="s">
        <v>41</v>
      </c>
      <c r="I3030" s="2" t="s">
        <v>1182</v>
      </c>
      <c r="J3030" s="2" t="s">
        <v>1183</v>
      </c>
      <c r="L3030" s="2" t="s">
        <v>462</v>
      </c>
      <c r="M3030" s="2" t="s">
        <v>41</v>
      </c>
      <c r="O3030" s="2" t="s">
        <v>2463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7"/>
        <v>1</v>
      </c>
      <c r="Z3030" s="2" t="s">
        <v>170</v>
      </c>
      <c r="AA3030" s="2" t="s">
        <v>170</v>
      </c>
      <c r="AF3030" s="2">
        <f t="shared" si="345"/>
        <v>0</v>
      </c>
      <c r="AJ3030" s="2">
        <f t="shared" si="346"/>
        <v>0</v>
      </c>
      <c r="AK3030" s="2">
        <f t="shared" si="342"/>
        <v>10</v>
      </c>
      <c r="AL3030" s="5">
        <f t="shared" si="343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7"/>
        <v>1</v>
      </c>
      <c r="Z3031" s="2" t="s">
        <v>170</v>
      </c>
      <c r="AA3031" s="2" t="s">
        <v>170</v>
      </c>
      <c r="AF3031" s="2">
        <f t="shared" si="345"/>
        <v>0</v>
      </c>
      <c r="AJ3031" s="2">
        <f t="shared" si="346"/>
        <v>0</v>
      </c>
      <c r="AK3031" s="2">
        <f t="shared" si="342"/>
        <v>5</v>
      </c>
      <c r="AL3031" s="5">
        <f t="shared" si="343"/>
        <v>1</v>
      </c>
    </row>
    <row r="3032" spans="1:38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2378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7"/>
        <v>1</v>
      </c>
      <c r="Z3032" s="2" t="s">
        <v>170</v>
      </c>
      <c r="AA3032" s="2" t="s">
        <v>170</v>
      </c>
      <c r="AF3032" s="2">
        <f t="shared" si="345"/>
        <v>0</v>
      </c>
      <c r="AJ3032" s="2">
        <f t="shared" si="346"/>
        <v>0</v>
      </c>
      <c r="AK3032" s="2">
        <f t="shared" si="342"/>
        <v>5</v>
      </c>
      <c r="AL3032" s="5">
        <f t="shared" si="343"/>
        <v>1</v>
      </c>
    </row>
    <row r="3033" spans="1:38" x14ac:dyDescent="0.2">
      <c r="A3033" s="2">
        <v>2026</v>
      </c>
      <c r="B3033" s="2">
        <v>1</v>
      </c>
      <c r="D3033" s="2" t="s">
        <v>1294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7"/>
        <v>1</v>
      </c>
      <c r="Z3033" s="2" t="s">
        <v>170</v>
      </c>
      <c r="AA3033" s="2" t="s">
        <v>170</v>
      </c>
      <c r="AF3033" s="2">
        <f t="shared" si="345"/>
        <v>0</v>
      </c>
      <c r="AJ3033" s="2">
        <f t="shared" si="346"/>
        <v>0</v>
      </c>
      <c r="AK3033" s="2">
        <f t="shared" si="342"/>
        <v>4.5</v>
      </c>
      <c r="AL3033" s="5">
        <f t="shared" si="343"/>
        <v>1</v>
      </c>
    </row>
    <row r="3034" spans="1:38" x14ac:dyDescent="0.2">
      <c r="A3034" s="2">
        <v>2026</v>
      </c>
      <c r="B3034" s="2">
        <v>1</v>
      </c>
      <c r="D3034" s="2" t="s">
        <v>1101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7"/>
        <v>1</v>
      </c>
      <c r="Z3034" s="2" t="s">
        <v>170</v>
      </c>
      <c r="AA3034" s="2" t="s">
        <v>170</v>
      </c>
      <c r="AF3034" s="2">
        <f t="shared" si="345"/>
        <v>0</v>
      </c>
      <c r="AJ3034" s="2">
        <f t="shared" si="346"/>
        <v>0</v>
      </c>
      <c r="AK3034" s="2">
        <f t="shared" si="342"/>
        <v>100</v>
      </c>
      <c r="AL3034" s="5">
        <f t="shared" si="343"/>
        <v>1</v>
      </c>
    </row>
    <row r="3035" spans="1:38" x14ac:dyDescent="0.2">
      <c r="A3035" s="2">
        <v>2026</v>
      </c>
      <c r="B3035" s="2">
        <v>1</v>
      </c>
      <c r="D3035" s="2" t="s">
        <v>2380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7"/>
        <v>1</v>
      </c>
      <c r="Z3035" s="2" t="s">
        <v>170</v>
      </c>
      <c r="AA3035" s="2" t="s">
        <v>170</v>
      </c>
      <c r="AF3035" s="2">
        <f t="shared" si="345"/>
        <v>0</v>
      </c>
      <c r="AJ3035" s="2">
        <f t="shared" si="346"/>
        <v>0</v>
      </c>
      <c r="AK3035" s="2">
        <f t="shared" si="342"/>
        <v>8</v>
      </c>
      <c r="AL3035" s="5">
        <f t="shared" si="343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5"/>
        <v>0</v>
      </c>
      <c r="AJ3036" s="2">
        <f t="shared" si="346"/>
        <v>0</v>
      </c>
    </row>
    <row r="3037" spans="1:38" x14ac:dyDescent="0.2">
      <c r="A3037" s="2">
        <v>2026</v>
      </c>
      <c r="B3037" s="2">
        <v>1</v>
      </c>
      <c r="D3037" s="2" t="s">
        <v>2000</v>
      </c>
      <c r="M3037" s="2" t="s">
        <v>40</v>
      </c>
      <c r="P3037" s="2" t="s">
        <v>188</v>
      </c>
      <c r="Q3037" s="2" t="s">
        <v>1312</v>
      </c>
      <c r="R3037" s="2" t="s">
        <v>1313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8">(T3037-W3037)/T3037</f>
        <v>1</v>
      </c>
      <c r="Z3037" s="2" t="s">
        <v>118</v>
      </c>
      <c r="AA3037" s="2" t="s">
        <v>1314</v>
      </c>
      <c r="AF3037" s="2">
        <f t="shared" si="345"/>
        <v>0</v>
      </c>
      <c r="AJ3037" s="2">
        <f t="shared" si="346"/>
        <v>0</v>
      </c>
      <c r="AK3037" s="2">
        <f t="shared" ref="AK3037:AK3068" si="349">T3037-W3037</f>
        <v>588.54999999999995</v>
      </c>
      <c r="AL3037" s="5">
        <f t="shared" ref="AL3037:AL3068" si="350">(T3037-W3037)/T3037</f>
        <v>1</v>
      </c>
    </row>
    <row r="3038" spans="1:38" x14ac:dyDescent="0.2">
      <c r="A3038" s="2">
        <v>2026</v>
      </c>
      <c r="B3038" s="2">
        <v>1</v>
      </c>
      <c r="D3038" s="2" t="s">
        <v>1885</v>
      </c>
      <c r="M3038" s="2" t="s">
        <v>40</v>
      </c>
      <c r="P3038" s="2" t="s">
        <v>188</v>
      </c>
      <c r="Q3038" s="2" t="s">
        <v>1312</v>
      </c>
      <c r="R3038" s="2" t="s">
        <v>1313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8"/>
        <v>#DIV/0!</v>
      </c>
      <c r="Z3038" s="2" t="s">
        <v>118</v>
      </c>
      <c r="AA3038" s="2" t="s">
        <v>1314</v>
      </c>
      <c r="AF3038" s="2">
        <f t="shared" si="345"/>
        <v>0</v>
      </c>
      <c r="AJ3038" s="2">
        <f t="shared" si="346"/>
        <v>0</v>
      </c>
      <c r="AK3038" s="2">
        <f t="shared" si="349"/>
        <v>0</v>
      </c>
      <c r="AL3038" s="5" t="e">
        <f t="shared" si="350"/>
        <v>#DIV/0!</v>
      </c>
    </row>
    <row r="3039" spans="1:38" x14ac:dyDescent="0.2">
      <c r="A3039" s="2">
        <v>2026</v>
      </c>
      <c r="B3039" s="2">
        <v>1</v>
      </c>
      <c r="D3039" s="2" t="s">
        <v>2405</v>
      </c>
      <c r="M3039" s="2" t="s">
        <v>40</v>
      </c>
      <c r="P3039" s="2" t="s">
        <v>188</v>
      </c>
      <c r="Q3039" s="2" t="s">
        <v>1312</v>
      </c>
      <c r="R3039" s="2" t="s">
        <v>1313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8"/>
        <v>#DIV/0!</v>
      </c>
      <c r="Z3039" s="2" t="s">
        <v>118</v>
      </c>
      <c r="AA3039" s="2" t="s">
        <v>1314</v>
      </c>
      <c r="AF3039" s="2">
        <f t="shared" si="345"/>
        <v>0</v>
      </c>
      <c r="AJ3039" s="2">
        <f t="shared" si="346"/>
        <v>0</v>
      </c>
      <c r="AK3039" s="2">
        <f t="shared" si="349"/>
        <v>0</v>
      </c>
      <c r="AL3039" s="5" t="e">
        <f t="shared" si="350"/>
        <v>#DIV/0!</v>
      </c>
    </row>
    <row r="3040" spans="1:38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1312</v>
      </c>
      <c r="R3040" s="2" t="s">
        <v>1313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8"/>
        <v>1</v>
      </c>
      <c r="Z3040" s="2" t="s">
        <v>118</v>
      </c>
      <c r="AA3040" s="2" t="s">
        <v>1314</v>
      </c>
      <c r="AF3040" s="2">
        <f t="shared" si="345"/>
        <v>0</v>
      </c>
      <c r="AJ3040" s="2">
        <f t="shared" si="346"/>
        <v>0</v>
      </c>
      <c r="AK3040" s="2">
        <f t="shared" si="349"/>
        <v>940</v>
      </c>
      <c r="AL3040" s="5">
        <f t="shared" si="350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2464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8"/>
        <v>0</v>
      </c>
      <c r="Z3041" s="2" t="s">
        <v>3237</v>
      </c>
      <c r="AA3041" s="2" t="s">
        <v>97</v>
      </c>
      <c r="AB3041" s="2" t="s">
        <v>77</v>
      </c>
      <c r="AC3041" s="2" t="s">
        <v>94</v>
      </c>
      <c r="AF3041" s="2">
        <f t="shared" si="345"/>
        <v>0</v>
      </c>
      <c r="AJ3041" s="2">
        <f t="shared" si="346"/>
        <v>0</v>
      </c>
      <c r="AK3041" s="2">
        <f t="shared" si="349"/>
        <v>0</v>
      </c>
      <c r="AL3041" s="5">
        <f t="shared" si="350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2406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8"/>
        <v>0</v>
      </c>
      <c r="Z3042" s="2" t="s">
        <v>3237</v>
      </c>
      <c r="AA3042" s="2" t="s">
        <v>97</v>
      </c>
      <c r="AB3042" s="2" t="s">
        <v>77</v>
      </c>
      <c r="AC3042" s="2" t="s">
        <v>94</v>
      </c>
      <c r="AF3042" s="2">
        <f t="shared" si="345"/>
        <v>0</v>
      </c>
      <c r="AJ3042" s="2">
        <f t="shared" si="346"/>
        <v>0</v>
      </c>
      <c r="AK3042" s="2">
        <f t="shared" si="349"/>
        <v>0</v>
      </c>
      <c r="AL3042" s="5">
        <f t="shared" si="350"/>
        <v>0</v>
      </c>
    </row>
    <row r="3043" spans="1:38" x14ac:dyDescent="0.2">
      <c r="A3043" s="2">
        <v>2026</v>
      </c>
      <c r="B3043" s="2">
        <v>1</v>
      </c>
      <c r="D3043" s="2" t="s">
        <v>2399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8"/>
        <v>0</v>
      </c>
      <c r="Z3043" s="2" t="s">
        <v>3237</v>
      </c>
      <c r="AA3043" s="2" t="s">
        <v>97</v>
      </c>
      <c r="AB3043" s="2" t="s">
        <v>77</v>
      </c>
      <c r="AC3043" s="2" t="s">
        <v>94</v>
      </c>
      <c r="AF3043" s="2">
        <f t="shared" si="345"/>
        <v>0</v>
      </c>
      <c r="AJ3043" s="2">
        <f t="shared" si="346"/>
        <v>0</v>
      </c>
      <c r="AK3043" s="2">
        <f t="shared" si="349"/>
        <v>0</v>
      </c>
      <c r="AL3043" s="5">
        <f t="shared" si="350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8"/>
        <v>0</v>
      </c>
      <c r="Z3044" s="2" t="s">
        <v>3237</v>
      </c>
      <c r="AA3044" s="2" t="s">
        <v>97</v>
      </c>
      <c r="AB3044" s="2" t="s">
        <v>77</v>
      </c>
      <c r="AC3044" s="2" t="s">
        <v>94</v>
      </c>
      <c r="AF3044" s="2">
        <f t="shared" si="345"/>
        <v>0</v>
      </c>
      <c r="AJ3044" s="2">
        <f t="shared" si="346"/>
        <v>0</v>
      </c>
      <c r="AK3044" s="2">
        <f t="shared" si="349"/>
        <v>0</v>
      </c>
      <c r="AL3044" s="5">
        <f t="shared" si="350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8"/>
        <v>0</v>
      </c>
      <c r="Z3045" s="2" t="s">
        <v>3237</v>
      </c>
      <c r="AA3045" s="2" t="s">
        <v>97</v>
      </c>
      <c r="AB3045" s="2" t="s">
        <v>77</v>
      </c>
      <c r="AC3045" s="2" t="s">
        <v>94</v>
      </c>
      <c r="AF3045" s="2">
        <f t="shared" si="345"/>
        <v>0</v>
      </c>
      <c r="AJ3045" s="2">
        <f t="shared" si="346"/>
        <v>0</v>
      </c>
      <c r="AK3045" s="2">
        <f t="shared" si="349"/>
        <v>0</v>
      </c>
      <c r="AL3045" s="5">
        <f t="shared" si="350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2425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8"/>
        <v>0</v>
      </c>
      <c r="Z3046" s="2" t="s">
        <v>3237</v>
      </c>
      <c r="AA3046" s="2" t="s">
        <v>97</v>
      </c>
      <c r="AB3046" s="2" t="s">
        <v>77</v>
      </c>
      <c r="AC3046" s="2" t="s">
        <v>94</v>
      </c>
      <c r="AF3046" s="2">
        <f t="shared" si="345"/>
        <v>0</v>
      </c>
      <c r="AJ3046" s="2">
        <f t="shared" si="346"/>
        <v>0</v>
      </c>
      <c r="AK3046" s="2">
        <f t="shared" si="349"/>
        <v>0</v>
      </c>
      <c r="AL3046" s="5">
        <f t="shared" si="350"/>
        <v>0</v>
      </c>
    </row>
    <row r="3047" spans="1:38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2424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8"/>
        <v>0.49849305555555556</v>
      </c>
      <c r="Z3047" s="2" t="s">
        <v>3237</v>
      </c>
      <c r="AA3047" s="2" t="s">
        <v>46</v>
      </c>
      <c r="AB3047" s="2" t="s">
        <v>57</v>
      </c>
      <c r="AC3047" s="2" t="s">
        <v>58</v>
      </c>
      <c r="AF3047" s="2">
        <f t="shared" si="345"/>
        <v>0</v>
      </c>
      <c r="AG3047" s="2">
        <v>7.2217000000000002</v>
      </c>
      <c r="AH3047" s="2">
        <v>14.4</v>
      </c>
      <c r="AJ3047" s="2">
        <f t="shared" si="346"/>
        <v>0</v>
      </c>
      <c r="AK3047" s="2">
        <f t="shared" si="349"/>
        <v>7.1783000000000001</v>
      </c>
      <c r="AL3047" s="5">
        <f t="shared" si="350"/>
        <v>0.49849305555555556</v>
      </c>
    </row>
    <row r="3048" spans="1:38" x14ac:dyDescent="0.2">
      <c r="A3048" s="2">
        <v>2026</v>
      </c>
      <c r="B3048" s="2">
        <v>1</v>
      </c>
      <c r="D3048" s="2" t="s">
        <v>984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985</v>
      </c>
      <c r="J3048" s="2" t="s">
        <v>986</v>
      </c>
      <c r="L3048" s="2" t="s">
        <v>294</v>
      </c>
      <c r="M3048" s="2" t="s">
        <v>81</v>
      </c>
      <c r="O3048" s="2" t="s">
        <v>2434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8"/>
        <v>0</v>
      </c>
      <c r="Z3048" s="2" t="s">
        <v>3237</v>
      </c>
      <c r="AA3048" s="2" t="s">
        <v>97</v>
      </c>
      <c r="AB3048" s="2" t="s">
        <v>77</v>
      </c>
      <c r="AC3048" s="2" t="s">
        <v>94</v>
      </c>
      <c r="AF3048" s="2">
        <f t="shared" si="345"/>
        <v>0</v>
      </c>
      <c r="AG3048" s="2">
        <v>1.48</v>
      </c>
      <c r="AH3048" s="2">
        <v>1.48</v>
      </c>
      <c r="AJ3048" s="2">
        <f t="shared" si="346"/>
        <v>0</v>
      </c>
      <c r="AK3048" s="2">
        <f t="shared" si="349"/>
        <v>0</v>
      </c>
      <c r="AL3048" s="5">
        <f t="shared" si="350"/>
        <v>0</v>
      </c>
    </row>
    <row r="3049" spans="1:38" x14ac:dyDescent="0.2">
      <c r="A3049" s="2">
        <v>2026</v>
      </c>
      <c r="B3049" s="2">
        <v>1</v>
      </c>
      <c r="D3049" s="2" t="s">
        <v>2016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8"/>
        <v>0</v>
      </c>
      <c r="Z3049" s="2" t="s">
        <v>3237</v>
      </c>
      <c r="AA3049" s="2" t="s">
        <v>97</v>
      </c>
      <c r="AB3049" s="2" t="s">
        <v>77</v>
      </c>
      <c r="AC3049" s="2" t="s">
        <v>94</v>
      </c>
      <c r="AF3049" s="2">
        <f t="shared" si="345"/>
        <v>0</v>
      </c>
      <c r="AJ3049" s="2">
        <f t="shared" si="346"/>
        <v>0</v>
      </c>
      <c r="AK3049" s="2">
        <f t="shared" si="349"/>
        <v>0</v>
      </c>
      <c r="AL3049" s="5">
        <f t="shared" si="350"/>
        <v>0</v>
      </c>
    </row>
    <row r="3050" spans="1:38" x14ac:dyDescent="0.2">
      <c r="A3050" s="2">
        <v>2026</v>
      </c>
      <c r="B3050" s="2">
        <v>1</v>
      </c>
      <c r="D3050" s="2" t="s">
        <v>1012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1013</v>
      </c>
      <c r="J3050" s="2" t="s">
        <v>1014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8"/>
        <v>0</v>
      </c>
      <c r="Z3050" s="2" t="s">
        <v>3237</v>
      </c>
      <c r="AA3050" s="2" t="s">
        <v>97</v>
      </c>
      <c r="AB3050" s="2" t="s">
        <v>77</v>
      </c>
      <c r="AC3050" s="2" t="s">
        <v>94</v>
      </c>
      <c r="AF3050" s="2">
        <f t="shared" si="345"/>
        <v>0</v>
      </c>
      <c r="AJ3050" s="2">
        <f t="shared" si="346"/>
        <v>0</v>
      </c>
      <c r="AK3050" s="2">
        <f t="shared" si="349"/>
        <v>0</v>
      </c>
      <c r="AL3050" s="5">
        <f t="shared" si="350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2465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8"/>
        <v>0</v>
      </c>
      <c r="Z3051" s="2" t="s">
        <v>3237</v>
      </c>
      <c r="AA3051" s="2" t="s">
        <v>97</v>
      </c>
      <c r="AB3051" s="2" t="s">
        <v>77</v>
      </c>
      <c r="AC3051" s="2" t="s">
        <v>94</v>
      </c>
      <c r="AF3051" s="2">
        <f t="shared" si="345"/>
        <v>0</v>
      </c>
      <c r="AJ3051" s="2">
        <f t="shared" si="346"/>
        <v>0</v>
      </c>
      <c r="AK3051" s="2">
        <f t="shared" si="349"/>
        <v>0</v>
      </c>
      <c r="AL3051" s="5">
        <f t="shared" si="350"/>
        <v>0</v>
      </c>
    </row>
    <row r="3052" spans="1:38" x14ac:dyDescent="0.2">
      <c r="A3052" s="2">
        <v>2026</v>
      </c>
      <c r="B3052" s="2">
        <v>1</v>
      </c>
      <c r="D3052" s="2" t="s">
        <v>1560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1561</v>
      </c>
      <c r="J3052" s="2" t="s">
        <v>1562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8"/>
        <v>0</v>
      </c>
      <c r="Z3052" s="2" t="s">
        <v>3237</v>
      </c>
      <c r="AA3052" s="2" t="s">
        <v>97</v>
      </c>
      <c r="AB3052" s="2" t="s">
        <v>77</v>
      </c>
      <c r="AC3052" s="2" t="s">
        <v>94</v>
      </c>
      <c r="AF3052" s="2">
        <f t="shared" si="345"/>
        <v>0</v>
      </c>
      <c r="AJ3052" s="2">
        <f t="shared" si="346"/>
        <v>0</v>
      </c>
      <c r="AK3052" s="2">
        <f t="shared" si="349"/>
        <v>0</v>
      </c>
      <c r="AL3052" s="5">
        <f t="shared" si="350"/>
        <v>0</v>
      </c>
    </row>
    <row r="3053" spans="1:38" x14ac:dyDescent="0.2">
      <c r="A3053" s="2">
        <v>2026</v>
      </c>
      <c r="B3053" s="2">
        <v>1</v>
      </c>
      <c r="D3053" s="2" t="s">
        <v>1380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8"/>
        <v>0</v>
      </c>
      <c r="Z3053" s="2" t="s">
        <v>3237</v>
      </c>
      <c r="AA3053" s="2" t="s">
        <v>97</v>
      </c>
      <c r="AB3053" s="2" t="s">
        <v>77</v>
      </c>
      <c r="AC3053" s="2" t="s">
        <v>94</v>
      </c>
      <c r="AF3053" s="2">
        <f t="shared" si="345"/>
        <v>0</v>
      </c>
      <c r="AJ3053" s="2">
        <f t="shared" si="346"/>
        <v>0</v>
      </c>
      <c r="AK3053" s="2">
        <f t="shared" si="349"/>
        <v>0</v>
      </c>
      <c r="AL3053" s="5">
        <f t="shared" si="350"/>
        <v>0</v>
      </c>
    </row>
    <row r="3054" spans="1:38" x14ac:dyDescent="0.2">
      <c r="A3054" s="2">
        <v>2026</v>
      </c>
      <c r="B3054" s="2">
        <v>1</v>
      </c>
      <c r="D3054" s="2" t="s">
        <v>1020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1021</v>
      </c>
      <c r="J3054" s="2" t="s">
        <v>1022</v>
      </c>
      <c r="L3054" s="2" t="s">
        <v>294</v>
      </c>
      <c r="M3054" s="2" t="s">
        <v>81</v>
      </c>
      <c r="O3054" s="2" t="s">
        <v>2400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8"/>
        <v>0</v>
      </c>
      <c r="Z3054" s="2" t="s">
        <v>3237</v>
      </c>
      <c r="AA3054" s="2" t="s">
        <v>97</v>
      </c>
      <c r="AB3054" s="2" t="s">
        <v>77</v>
      </c>
      <c r="AC3054" s="2" t="s">
        <v>94</v>
      </c>
      <c r="AF3054" s="2">
        <f t="shared" si="345"/>
        <v>0</v>
      </c>
      <c r="AG3054" s="2">
        <v>1.48</v>
      </c>
      <c r="AH3054" s="2">
        <v>1.48</v>
      </c>
      <c r="AJ3054" s="2">
        <f t="shared" si="346"/>
        <v>0</v>
      </c>
      <c r="AK3054" s="2">
        <f t="shared" si="349"/>
        <v>0</v>
      </c>
      <c r="AL3054" s="5">
        <f t="shared" si="350"/>
        <v>0</v>
      </c>
    </row>
    <row r="3055" spans="1:38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8"/>
        <v>0</v>
      </c>
      <c r="Z3055" s="2" t="s">
        <v>3237</v>
      </c>
      <c r="AA3055" s="2" t="s">
        <v>97</v>
      </c>
      <c r="AB3055" s="2" t="s">
        <v>77</v>
      </c>
      <c r="AC3055" s="2" t="s">
        <v>94</v>
      </c>
      <c r="AF3055" s="2">
        <f t="shared" si="345"/>
        <v>0</v>
      </c>
      <c r="AJ3055" s="2">
        <f t="shared" si="346"/>
        <v>0</v>
      </c>
      <c r="AK3055" s="2">
        <f t="shared" si="349"/>
        <v>0</v>
      </c>
      <c r="AL3055" s="5">
        <f t="shared" si="350"/>
        <v>0</v>
      </c>
    </row>
    <row r="3056" spans="1:38" x14ac:dyDescent="0.2">
      <c r="A3056" s="2">
        <v>2026</v>
      </c>
      <c r="B3056" s="2">
        <v>1</v>
      </c>
      <c r="D3056" s="2" t="s">
        <v>1571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8"/>
        <v>0</v>
      </c>
      <c r="Z3056" s="2" t="s">
        <v>3237</v>
      </c>
      <c r="AA3056" s="2" t="s">
        <v>97</v>
      </c>
      <c r="AB3056" s="2" t="s">
        <v>77</v>
      </c>
      <c r="AC3056" s="2" t="s">
        <v>94</v>
      </c>
      <c r="AF3056" s="2">
        <f t="shared" si="345"/>
        <v>0</v>
      </c>
      <c r="AJ3056" s="2">
        <f t="shared" si="346"/>
        <v>0</v>
      </c>
      <c r="AK3056" s="2">
        <f t="shared" si="349"/>
        <v>0</v>
      </c>
      <c r="AL3056" s="5">
        <f t="shared" si="350"/>
        <v>0</v>
      </c>
    </row>
    <row r="3057" spans="1:38" x14ac:dyDescent="0.2">
      <c r="A3057" s="2">
        <v>2026</v>
      </c>
      <c r="B3057" s="2">
        <v>1</v>
      </c>
      <c r="D3057" s="2" t="s">
        <v>1029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1030</v>
      </c>
      <c r="J3057" s="2" t="s">
        <v>1031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8"/>
        <v>0</v>
      </c>
      <c r="Z3057" s="2" t="s">
        <v>3237</v>
      </c>
      <c r="AA3057" s="2" t="s">
        <v>97</v>
      </c>
      <c r="AB3057" s="2" t="s">
        <v>77</v>
      </c>
      <c r="AC3057" s="2" t="s">
        <v>94</v>
      </c>
      <c r="AF3057" s="2">
        <f t="shared" si="345"/>
        <v>0</v>
      </c>
      <c r="AJ3057" s="2">
        <f t="shared" si="346"/>
        <v>0</v>
      </c>
      <c r="AK3057" s="2">
        <f t="shared" si="349"/>
        <v>0</v>
      </c>
      <c r="AL3057" s="5">
        <f t="shared" si="350"/>
        <v>0</v>
      </c>
    </row>
    <row r="3058" spans="1:38" x14ac:dyDescent="0.2">
      <c r="A3058" s="2">
        <v>2026</v>
      </c>
      <c r="B3058" s="2">
        <v>1</v>
      </c>
      <c r="D3058" s="2" t="s">
        <v>1600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1601</v>
      </c>
      <c r="J3058" s="2" t="s">
        <v>1602</v>
      </c>
      <c r="L3058" s="2" t="s">
        <v>202</v>
      </c>
      <c r="M3058" s="2" t="s">
        <v>81</v>
      </c>
      <c r="O3058" s="2" t="s">
        <v>2401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8"/>
        <v>0</v>
      </c>
      <c r="Z3058" s="2" t="s">
        <v>3237</v>
      </c>
      <c r="AA3058" s="2" t="s">
        <v>97</v>
      </c>
      <c r="AB3058" s="2" t="s">
        <v>77</v>
      </c>
      <c r="AC3058" s="2" t="s">
        <v>94</v>
      </c>
      <c r="AF3058" s="2">
        <f t="shared" si="345"/>
        <v>0</v>
      </c>
      <c r="AG3058" s="2">
        <v>1.48</v>
      </c>
      <c r="AH3058" s="2">
        <v>1.48</v>
      </c>
      <c r="AJ3058" s="2">
        <f t="shared" si="346"/>
        <v>0</v>
      </c>
      <c r="AK3058" s="2">
        <f t="shared" si="349"/>
        <v>0</v>
      </c>
      <c r="AL3058" s="5">
        <f t="shared" si="350"/>
        <v>0</v>
      </c>
    </row>
    <row r="3059" spans="1:38" x14ac:dyDescent="0.2">
      <c r="A3059" s="2">
        <v>2026</v>
      </c>
      <c r="B3059" s="2">
        <v>1</v>
      </c>
      <c r="D3059" s="2" t="s">
        <v>2411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8"/>
        <v>0</v>
      </c>
      <c r="Z3059" s="2" t="s">
        <v>3237</v>
      </c>
      <c r="AA3059" s="2" t="s">
        <v>97</v>
      </c>
      <c r="AB3059" s="2" t="s">
        <v>77</v>
      </c>
      <c r="AC3059" s="2" t="s">
        <v>94</v>
      </c>
      <c r="AF3059" s="2">
        <f t="shared" si="345"/>
        <v>0</v>
      </c>
      <c r="AJ3059" s="2">
        <f t="shared" si="346"/>
        <v>0</v>
      </c>
      <c r="AK3059" s="2">
        <f t="shared" si="349"/>
        <v>0</v>
      </c>
      <c r="AL3059" s="5">
        <f t="shared" si="350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8"/>
        <v>0</v>
      </c>
      <c r="Z3060" s="2" t="s">
        <v>3237</v>
      </c>
      <c r="AA3060" s="2" t="s">
        <v>97</v>
      </c>
      <c r="AB3060" s="2" t="s">
        <v>77</v>
      </c>
      <c r="AC3060" s="2" t="s">
        <v>94</v>
      </c>
      <c r="AF3060" s="2">
        <f t="shared" si="345"/>
        <v>0</v>
      </c>
      <c r="AJ3060" s="2">
        <f t="shared" si="346"/>
        <v>0</v>
      </c>
      <c r="AK3060" s="2">
        <f t="shared" si="349"/>
        <v>0</v>
      </c>
      <c r="AL3060" s="5">
        <f t="shared" si="350"/>
        <v>0</v>
      </c>
    </row>
    <row r="3061" spans="1:38" x14ac:dyDescent="0.2">
      <c r="A3061" s="2">
        <v>2026</v>
      </c>
      <c r="B3061" s="2">
        <v>1</v>
      </c>
      <c r="D3061" s="2" t="s">
        <v>1076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8"/>
        <v>0</v>
      </c>
      <c r="Z3061" s="2" t="s">
        <v>3237</v>
      </c>
      <c r="AA3061" s="2" t="s">
        <v>97</v>
      </c>
      <c r="AB3061" s="2" t="s">
        <v>77</v>
      </c>
      <c r="AC3061" s="2" t="s">
        <v>94</v>
      </c>
      <c r="AF3061" s="2">
        <f t="shared" si="345"/>
        <v>0</v>
      </c>
      <c r="AJ3061" s="2">
        <f t="shared" si="346"/>
        <v>0</v>
      </c>
      <c r="AK3061" s="2">
        <f t="shared" si="349"/>
        <v>0</v>
      </c>
      <c r="AL3061" s="5">
        <f t="shared" si="350"/>
        <v>0</v>
      </c>
    </row>
    <row r="3062" spans="1:38" x14ac:dyDescent="0.2">
      <c r="A3062" s="2">
        <v>2026</v>
      </c>
      <c r="B3062" s="2">
        <v>1</v>
      </c>
      <c r="D3062" s="2" t="s">
        <v>1422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2419</v>
      </c>
      <c r="J3062" s="2" t="s">
        <v>2420</v>
      </c>
      <c r="L3062" s="2" t="s">
        <v>202</v>
      </c>
      <c r="M3062" s="2" t="s">
        <v>81</v>
      </c>
      <c r="O3062" s="2" t="s">
        <v>2421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8"/>
        <v>0</v>
      </c>
      <c r="Z3062" s="2" t="s">
        <v>3237</v>
      </c>
      <c r="AA3062" s="2" t="s">
        <v>97</v>
      </c>
      <c r="AB3062" s="2" t="s">
        <v>77</v>
      </c>
      <c r="AC3062" s="2" t="s">
        <v>94</v>
      </c>
      <c r="AF3062" s="2">
        <f t="shared" si="345"/>
        <v>0</v>
      </c>
      <c r="AJ3062" s="2">
        <f t="shared" si="346"/>
        <v>0</v>
      </c>
      <c r="AK3062" s="2">
        <f t="shared" si="349"/>
        <v>0</v>
      </c>
      <c r="AL3062" s="5">
        <f t="shared" si="350"/>
        <v>0</v>
      </c>
    </row>
    <row r="3063" spans="1:38" x14ac:dyDescent="0.2">
      <c r="A3063" s="2">
        <v>2026</v>
      </c>
      <c r="B3063" s="2">
        <v>1</v>
      </c>
      <c r="D3063" s="2" t="s">
        <v>1423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1276</v>
      </c>
      <c r="J3063" s="2" t="s">
        <v>2402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8"/>
        <v>0</v>
      </c>
      <c r="Z3063" s="2" t="s">
        <v>3237</v>
      </c>
      <c r="AA3063" s="2" t="s">
        <v>97</v>
      </c>
      <c r="AB3063" s="2" t="s">
        <v>77</v>
      </c>
      <c r="AC3063" s="2" t="s">
        <v>94</v>
      </c>
      <c r="AF3063" s="2">
        <f t="shared" si="345"/>
        <v>0</v>
      </c>
      <c r="AJ3063" s="2">
        <f t="shared" si="346"/>
        <v>0</v>
      </c>
      <c r="AK3063" s="2">
        <f t="shared" si="349"/>
        <v>0</v>
      </c>
      <c r="AL3063" s="5">
        <f t="shared" si="350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2403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8"/>
        <v>0</v>
      </c>
      <c r="Z3064" s="2" t="s">
        <v>3237</v>
      </c>
      <c r="AA3064" s="2" t="s">
        <v>97</v>
      </c>
      <c r="AB3064" s="2" t="s">
        <v>77</v>
      </c>
      <c r="AC3064" s="2" t="s">
        <v>94</v>
      </c>
      <c r="AF3064" s="2">
        <f t="shared" si="345"/>
        <v>0</v>
      </c>
      <c r="AG3064" s="2">
        <v>1.48</v>
      </c>
      <c r="AH3064" s="2">
        <v>1.48</v>
      </c>
      <c r="AJ3064" s="2">
        <f t="shared" si="346"/>
        <v>0</v>
      </c>
      <c r="AK3064" s="2">
        <f t="shared" si="349"/>
        <v>0</v>
      </c>
      <c r="AL3064" s="5">
        <f t="shared" si="350"/>
        <v>0</v>
      </c>
    </row>
    <row r="3065" spans="1:38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8"/>
        <v>0</v>
      </c>
      <c r="Z3065" s="2" t="s">
        <v>3237</v>
      </c>
      <c r="AA3065" s="2" t="s">
        <v>97</v>
      </c>
      <c r="AB3065" s="2" t="s">
        <v>77</v>
      </c>
      <c r="AC3065" s="2" t="s">
        <v>94</v>
      </c>
      <c r="AF3065" s="2">
        <f t="shared" si="345"/>
        <v>0</v>
      </c>
      <c r="AJ3065" s="2">
        <f t="shared" si="346"/>
        <v>0</v>
      </c>
      <c r="AK3065" s="2">
        <f t="shared" si="349"/>
        <v>0</v>
      </c>
      <c r="AL3065" s="5">
        <f t="shared" si="350"/>
        <v>0</v>
      </c>
    </row>
    <row r="3066" spans="1:38" x14ac:dyDescent="0.2">
      <c r="A3066" s="2">
        <v>2026</v>
      </c>
      <c r="B3066" s="2">
        <v>1</v>
      </c>
      <c r="D3066" s="2" t="s">
        <v>2404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8"/>
        <v>0</v>
      </c>
      <c r="Z3066" s="2" t="s">
        <v>3237</v>
      </c>
      <c r="AA3066" s="2" t="s">
        <v>97</v>
      </c>
      <c r="AB3066" s="2" t="s">
        <v>77</v>
      </c>
      <c r="AC3066" s="2" t="s">
        <v>94</v>
      </c>
      <c r="AF3066" s="2">
        <f t="shared" si="345"/>
        <v>0</v>
      </c>
      <c r="AJ3066" s="2">
        <f t="shared" si="346"/>
        <v>0</v>
      </c>
      <c r="AK3066" s="2">
        <f t="shared" si="349"/>
        <v>0</v>
      </c>
      <c r="AL3066" s="5">
        <f t="shared" si="350"/>
        <v>0</v>
      </c>
    </row>
    <row r="3067" spans="1:38" x14ac:dyDescent="0.2">
      <c r="A3067" s="2">
        <v>2026</v>
      </c>
      <c r="B3067" s="2">
        <v>1</v>
      </c>
      <c r="D3067" s="2" t="s">
        <v>1950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8"/>
        <v>0</v>
      </c>
      <c r="Z3067" s="2" t="s">
        <v>3237</v>
      </c>
      <c r="AA3067" s="2" t="s">
        <v>97</v>
      </c>
      <c r="AB3067" s="2" t="s">
        <v>77</v>
      </c>
      <c r="AC3067" s="2" t="s">
        <v>94</v>
      </c>
      <c r="AF3067" s="2">
        <f t="shared" si="345"/>
        <v>0</v>
      </c>
      <c r="AJ3067" s="2">
        <f t="shared" si="346"/>
        <v>0</v>
      </c>
      <c r="AK3067" s="2">
        <f t="shared" si="349"/>
        <v>0</v>
      </c>
      <c r="AL3067" s="5">
        <f t="shared" si="350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8"/>
        <v>0</v>
      </c>
      <c r="Z3068" s="2" t="s">
        <v>3237</v>
      </c>
      <c r="AA3068" s="2" t="s">
        <v>97</v>
      </c>
      <c r="AB3068" s="2" t="s">
        <v>77</v>
      </c>
      <c r="AC3068" s="2" t="s">
        <v>94</v>
      </c>
      <c r="AF3068" s="2">
        <f t="shared" si="345"/>
        <v>0</v>
      </c>
      <c r="AJ3068" s="2">
        <f t="shared" si="346"/>
        <v>0</v>
      </c>
      <c r="AK3068" s="2">
        <f t="shared" si="349"/>
        <v>0</v>
      </c>
      <c r="AL3068" s="5">
        <f t="shared" si="350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8"/>
        <v>0</v>
      </c>
      <c r="Z3069" s="2" t="s">
        <v>3237</v>
      </c>
      <c r="AA3069" s="2" t="s">
        <v>97</v>
      </c>
      <c r="AB3069" s="2" t="s">
        <v>77</v>
      </c>
      <c r="AC3069" s="2" t="s">
        <v>94</v>
      </c>
      <c r="AF3069" s="2">
        <f t="shared" si="345"/>
        <v>0</v>
      </c>
      <c r="AJ3069" s="2">
        <f t="shared" si="346"/>
        <v>0</v>
      </c>
      <c r="AK3069" s="2">
        <f t="shared" ref="AK3069:AK3084" si="351">T3069-W3069</f>
        <v>0</v>
      </c>
      <c r="AL3069" s="5">
        <f t="shared" ref="AL3069:AL3084" si="352">(T3069-W3069)/T3069</f>
        <v>0</v>
      </c>
    </row>
    <row r="3070" spans="1:38" x14ac:dyDescent="0.2">
      <c r="A3070" s="2">
        <v>2026</v>
      </c>
      <c r="B3070" s="2">
        <v>1</v>
      </c>
      <c r="D3070" s="2" t="s">
        <v>1299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1300</v>
      </c>
      <c r="L3070" s="2" t="s">
        <v>340</v>
      </c>
      <c r="M3070" s="2" t="s">
        <v>81</v>
      </c>
      <c r="O3070" s="2" t="s">
        <v>2427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8"/>
        <v>0</v>
      </c>
      <c r="Z3070" s="2" t="s">
        <v>3237</v>
      </c>
      <c r="AA3070" s="2" t="s">
        <v>97</v>
      </c>
      <c r="AB3070" s="2" t="s">
        <v>77</v>
      </c>
      <c r="AC3070" s="2" t="s">
        <v>94</v>
      </c>
      <c r="AF3070" s="2">
        <f t="shared" si="345"/>
        <v>0</v>
      </c>
      <c r="AG3070" s="2">
        <v>1.48</v>
      </c>
      <c r="AH3070" s="2">
        <v>1.48</v>
      </c>
      <c r="AJ3070" s="2">
        <f t="shared" si="346"/>
        <v>0</v>
      </c>
      <c r="AK3070" s="2">
        <f t="shared" si="351"/>
        <v>0</v>
      </c>
      <c r="AL3070" s="5">
        <f t="shared" si="352"/>
        <v>0</v>
      </c>
    </row>
    <row r="3071" spans="1:38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8"/>
        <v>0</v>
      </c>
      <c r="Z3071" s="2" t="s">
        <v>3237</v>
      </c>
      <c r="AA3071" s="2" t="s">
        <v>97</v>
      </c>
      <c r="AB3071" s="2" t="s">
        <v>77</v>
      </c>
      <c r="AC3071" s="2" t="s">
        <v>94</v>
      </c>
      <c r="AF3071" s="2">
        <f t="shared" si="345"/>
        <v>0</v>
      </c>
      <c r="AJ3071" s="2">
        <f t="shared" si="346"/>
        <v>0</v>
      </c>
      <c r="AK3071" s="2">
        <f t="shared" si="351"/>
        <v>0</v>
      </c>
      <c r="AL3071" s="5">
        <f t="shared" si="352"/>
        <v>0</v>
      </c>
    </row>
    <row r="3072" spans="1:38" x14ac:dyDescent="0.2">
      <c r="A3072" s="2">
        <v>2026</v>
      </c>
      <c r="B3072" s="2">
        <v>1</v>
      </c>
      <c r="D3072" s="2" t="s">
        <v>2405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8"/>
        <v>0</v>
      </c>
      <c r="Z3072" s="2" t="s">
        <v>3237</v>
      </c>
      <c r="AA3072" s="2" t="s">
        <v>97</v>
      </c>
      <c r="AB3072" s="2" t="s">
        <v>77</v>
      </c>
      <c r="AC3072" s="2" t="s">
        <v>94</v>
      </c>
      <c r="AF3072" s="2">
        <f t="shared" si="345"/>
        <v>0</v>
      </c>
      <c r="AJ3072" s="2">
        <f t="shared" si="346"/>
        <v>0</v>
      </c>
      <c r="AK3072" s="2">
        <f t="shared" si="351"/>
        <v>0</v>
      </c>
      <c r="AL3072" s="5">
        <f t="shared" si="352"/>
        <v>0</v>
      </c>
    </row>
    <row r="3073" spans="1:38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2433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8"/>
        <v>0</v>
      </c>
      <c r="Z3073" s="2" t="s">
        <v>3237</v>
      </c>
      <c r="AA3073" s="2" t="s">
        <v>97</v>
      </c>
      <c r="AB3073" s="2" t="s">
        <v>77</v>
      </c>
      <c r="AC3073" s="2" t="s">
        <v>94</v>
      </c>
      <c r="AF3073" s="2">
        <f t="shared" si="345"/>
        <v>0</v>
      </c>
      <c r="AJ3073" s="2">
        <f t="shared" si="346"/>
        <v>0</v>
      </c>
      <c r="AK3073" s="2">
        <f t="shared" si="351"/>
        <v>0</v>
      </c>
      <c r="AL3073" s="5">
        <f t="shared" si="352"/>
        <v>0</v>
      </c>
    </row>
    <row r="3074" spans="1:38" x14ac:dyDescent="0.2">
      <c r="A3074" s="2">
        <v>2026</v>
      </c>
      <c r="B3074" s="2">
        <v>1</v>
      </c>
      <c r="D3074" s="2" t="s">
        <v>1892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5"/>
        <v>0</v>
      </c>
      <c r="AJ3074" s="2">
        <f t="shared" si="346"/>
        <v>0</v>
      </c>
      <c r="AK3074" s="2">
        <f t="shared" si="351"/>
        <v>0</v>
      </c>
      <c r="AL3074" s="5" t="e">
        <f t="shared" si="352"/>
        <v>#DIV/0!</v>
      </c>
    </row>
    <row r="3075" spans="1:38" x14ac:dyDescent="0.2">
      <c r="A3075" s="2">
        <v>2026</v>
      </c>
      <c r="B3075" s="2">
        <v>1</v>
      </c>
      <c r="D3075" s="2" t="s">
        <v>1012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1013</v>
      </c>
      <c r="J3075" s="2" t="s">
        <v>1014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3">AJ3075</f>
        <v>0</v>
      </c>
      <c r="AJ3075" s="2">
        <f t="shared" ref="AJ3075:AJ3138" si="354">AI3075*T3075</f>
        <v>0</v>
      </c>
      <c r="AK3075" s="2">
        <f t="shared" si="351"/>
        <v>0</v>
      </c>
      <c r="AL3075" s="5" t="e">
        <f t="shared" si="352"/>
        <v>#DIV/0!</v>
      </c>
    </row>
    <row r="3076" spans="1:38" x14ac:dyDescent="0.2">
      <c r="A3076" s="2">
        <v>2026</v>
      </c>
      <c r="B3076" s="2">
        <v>1</v>
      </c>
      <c r="D3076" s="2" t="s">
        <v>2341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5">(T3076-W3076)/T3076</f>
        <v>1</v>
      </c>
      <c r="Z3076" s="2" t="s">
        <v>120</v>
      </c>
      <c r="AA3076" s="2" t="s">
        <v>3392</v>
      </c>
      <c r="AF3076" s="2">
        <f t="shared" si="353"/>
        <v>0</v>
      </c>
      <c r="AJ3076" s="2">
        <f t="shared" si="354"/>
        <v>0</v>
      </c>
      <c r="AK3076" s="2">
        <f t="shared" si="351"/>
        <v>2.4500000000000002</v>
      </c>
      <c r="AL3076" s="5">
        <f t="shared" si="352"/>
        <v>1</v>
      </c>
    </row>
    <row r="3077" spans="1:38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2312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5"/>
        <v>1</v>
      </c>
      <c r="Z3077" s="2" t="s">
        <v>118</v>
      </c>
      <c r="AA3077" s="2" t="s">
        <v>119</v>
      </c>
      <c r="AF3077" s="2">
        <f t="shared" si="353"/>
        <v>0</v>
      </c>
      <c r="AJ3077" s="2">
        <f t="shared" si="354"/>
        <v>0</v>
      </c>
      <c r="AK3077" s="2">
        <f t="shared" si="351"/>
        <v>2296.8000000000002</v>
      </c>
      <c r="AL3077" s="5">
        <f t="shared" si="352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2466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5"/>
        <v>1</v>
      </c>
      <c r="Z3078" s="2" t="s">
        <v>3237</v>
      </c>
      <c r="AA3078" s="2" t="s">
        <v>120</v>
      </c>
      <c r="AF3078" s="2">
        <f t="shared" si="353"/>
        <v>0</v>
      </c>
      <c r="AJ3078" s="2">
        <f t="shared" si="354"/>
        <v>0</v>
      </c>
      <c r="AK3078" s="2">
        <f t="shared" si="351"/>
        <v>267.8</v>
      </c>
      <c r="AL3078" s="5">
        <f t="shared" si="352"/>
        <v>1</v>
      </c>
    </row>
    <row r="3079" spans="1:38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2467</v>
      </c>
      <c r="P3079" s="2" t="s">
        <v>115</v>
      </c>
      <c r="Q3079" s="2" t="s">
        <v>2233</v>
      </c>
      <c r="R3079" s="2" t="s">
        <v>2234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5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3"/>
        <v>0</v>
      </c>
      <c r="AG3079" s="2">
        <v>5.35</v>
      </c>
      <c r="AJ3079" s="2">
        <f t="shared" si="354"/>
        <v>0</v>
      </c>
      <c r="AK3079" s="2">
        <f t="shared" si="351"/>
        <v>5.9</v>
      </c>
      <c r="AL3079" s="5">
        <f t="shared" si="352"/>
        <v>0.52444444444444449</v>
      </c>
    </row>
    <row r="3080" spans="1:38" x14ac:dyDescent="0.2">
      <c r="A3080" s="2">
        <v>2026</v>
      </c>
      <c r="B3080" s="2">
        <v>2</v>
      </c>
      <c r="D3080" s="2" t="s">
        <v>2459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2460</v>
      </c>
      <c r="J3080" s="2" t="s">
        <v>2461</v>
      </c>
      <c r="K3080" s="2">
        <v>967554174</v>
      </c>
      <c r="L3080" s="2" t="s">
        <v>134</v>
      </c>
      <c r="M3080" s="2" t="s">
        <v>40</v>
      </c>
      <c r="O3080" s="2" t="s">
        <v>2462</v>
      </c>
      <c r="P3080" s="2" t="s">
        <v>115</v>
      </c>
      <c r="Q3080" s="2" t="s">
        <v>2305</v>
      </c>
      <c r="R3080" s="2" t="s">
        <v>2306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5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3"/>
        <v>0</v>
      </c>
      <c r="AG3080" s="2">
        <v>136.38999999999999</v>
      </c>
      <c r="AJ3080" s="2">
        <f t="shared" si="354"/>
        <v>0</v>
      </c>
      <c r="AK3080" s="2">
        <f t="shared" si="351"/>
        <v>145.72000000000003</v>
      </c>
      <c r="AL3080" s="5">
        <f t="shared" si="352"/>
        <v>0.51653610293857011</v>
      </c>
    </row>
    <row r="3081" spans="1:38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2468</v>
      </c>
      <c r="P3081" s="2" t="s">
        <v>115</v>
      </c>
      <c r="Q3081" s="2" t="s">
        <v>2224</v>
      </c>
      <c r="R3081" s="2" t="s">
        <v>1433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5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3"/>
        <v>0</v>
      </c>
      <c r="AG3081" s="2">
        <v>17.9434</v>
      </c>
      <c r="AJ3081" s="2">
        <f t="shared" si="354"/>
        <v>0</v>
      </c>
      <c r="AK3081" s="2">
        <f t="shared" si="351"/>
        <v>21.106599999999997</v>
      </c>
      <c r="AL3081" s="5">
        <f t="shared" si="352"/>
        <v>0.54050192061459668</v>
      </c>
    </row>
    <row r="3082" spans="1:38" x14ac:dyDescent="0.2">
      <c r="A3082" s="2">
        <v>2026</v>
      </c>
      <c r="B3082" s="2">
        <v>2</v>
      </c>
      <c r="D3082" s="2" t="s">
        <v>2459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2460</v>
      </c>
      <c r="J3082" s="2" t="s">
        <v>2461</v>
      </c>
      <c r="K3082" s="2">
        <v>967554174</v>
      </c>
      <c r="L3082" s="2" t="s">
        <v>134</v>
      </c>
      <c r="M3082" s="2" t="s">
        <v>40</v>
      </c>
      <c r="O3082" s="2" t="s">
        <v>2462</v>
      </c>
      <c r="P3082" s="2" t="s">
        <v>115</v>
      </c>
      <c r="Q3082" s="2" t="s">
        <v>2469</v>
      </c>
      <c r="R3082" s="2" t="s">
        <v>2470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5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3"/>
        <v>0</v>
      </c>
      <c r="AG3082" s="2">
        <v>25.157499999999999</v>
      </c>
      <c r="AJ3082" s="2">
        <f t="shared" si="354"/>
        <v>0</v>
      </c>
      <c r="AK3082" s="2">
        <f t="shared" si="351"/>
        <v>26.452500000000001</v>
      </c>
      <c r="AL3082" s="5">
        <f t="shared" si="352"/>
        <v>0.51254601821352452</v>
      </c>
    </row>
    <row r="3083" spans="1:38" x14ac:dyDescent="0.2">
      <c r="A3083" s="2">
        <v>2026</v>
      </c>
      <c r="B3083" s="2">
        <v>2</v>
      </c>
      <c r="D3083" s="2" t="s">
        <v>2459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2460</v>
      </c>
      <c r="J3083" s="2" t="s">
        <v>2461</v>
      </c>
      <c r="K3083" s="2">
        <v>967554174</v>
      </c>
      <c r="L3083" s="2" t="s">
        <v>134</v>
      </c>
      <c r="M3083" s="2" t="s">
        <v>40</v>
      </c>
      <c r="O3083" s="2" t="s">
        <v>2462</v>
      </c>
      <c r="P3083" s="2" t="s">
        <v>115</v>
      </c>
      <c r="Q3083" s="2" t="s">
        <v>1378</v>
      </c>
      <c r="R3083" s="2" t="s">
        <v>1379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5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3"/>
        <v>0</v>
      </c>
      <c r="AG3083" s="2">
        <v>27.86</v>
      </c>
      <c r="AJ3083" s="2">
        <f t="shared" si="354"/>
        <v>0</v>
      </c>
      <c r="AK3083" s="2">
        <f t="shared" si="351"/>
        <v>61.769999999999996</v>
      </c>
      <c r="AL3083" s="5">
        <f t="shared" si="352"/>
        <v>0.52574687207421911</v>
      </c>
    </row>
    <row r="3084" spans="1:38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2471</v>
      </c>
      <c r="P3084" s="2" t="s">
        <v>115</v>
      </c>
      <c r="Q3084" s="2" t="s">
        <v>2201</v>
      </c>
      <c r="R3084" s="2" t="s">
        <v>2202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5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3"/>
        <v>0</v>
      </c>
      <c r="AG3084" s="2">
        <v>7.2733999999999996</v>
      </c>
      <c r="AJ3084" s="2">
        <f t="shared" si="354"/>
        <v>0</v>
      </c>
      <c r="AK3084" s="2">
        <f t="shared" si="351"/>
        <v>5.6866000000000012</v>
      </c>
      <c r="AL3084" s="5">
        <f t="shared" si="352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2451</v>
      </c>
      <c r="P3085" s="2" t="s">
        <v>115</v>
      </c>
      <c r="Q3085" s="2" t="s">
        <v>1521</v>
      </c>
      <c r="R3085" s="2" t="s">
        <v>1522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3"/>
        <v>0</v>
      </c>
      <c r="AG3085" s="2">
        <v>11.246700000000001</v>
      </c>
      <c r="AJ3085" s="2">
        <f t="shared" si="354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2484</v>
      </c>
      <c r="J3086" s="2" t="s">
        <v>3132</v>
      </c>
      <c r="K3086" s="2">
        <v>965864665</v>
      </c>
      <c r="L3086" s="2" t="s">
        <v>345</v>
      </c>
      <c r="M3086" s="2" t="s">
        <v>40</v>
      </c>
      <c r="O3086" s="2" t="s">
        <v>2485</v>
      </c>
      <c r="P3086" s="2" t="s">
        <v>115</v>
      </c>
      <c r="Q3086" s="2" t="s">
        <v>1521</v>
      </c>
      <c r="R3086" s="2" t="s">
        <v>1522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3"/>
        <v>0</v>
      </c>
      <c r="AG3086" s="2">
        <v>11.246700000000001</v>
      </c>
      <c r="AJ3086" s="2">
        <f t="shared" si="354"/>
        <v>0</v>
      </c>
      <c r="AK3086" s="2">
        <f t="shared" ref="AK3086:AK3098" si="356">T3086-W3086</f>
        <v>12.543299999999999</v>
      </c>
      <c r="AL3086" s="5">
        <f t="shared" ref="AL3086:AL3098" si="357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2472</v>
      </c>
      <c r="P3087" s="2" t="s">
        <v>115</v>
      </c>
      <c r="Q3087" s="2" t="s">
        <v>2473</v>
      </c>
      <c r="R3087" s="2" t="s">
        <v>2474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3"/>
        <v>0</v>
      </c>
      <c r="AG3087" s="2">
        <v>38.56</v>
      </c>
      <c r="AJ3087" s="2">
        <f t="shared" si="354"/>
        <v>0</v>
      </c>
      <c r="AK3087" s="2">
        <f t="shared" si="356"/>
        <v>28.289999999999992</v>
      </c>
      <c r="AL3087" s="5">
        <f t="shared" si="357"/>
        <v>0.42318623784592363</v>
      </c>
    </row>
    <row r="3088" spans="1:38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2475</v>
      </c>
      <c r="P3088" s="2" t="s">
        <v>115</v>
      </c>
      <c r="Q3088" s="2" t="s">
        <v>2476</v>
      </c>
      <c r="R3088" s="2" t="s">
        <v>2477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3"/>
        <v>0</v>
      </c>
      <c r="AG3088" s="2">
        <v>84.95</v>
      </c>
      <c r="AJ3088" s="2">
        <f t="shared" si="354"/>
        <v>0</v>
      </c>
      <c r="AK3088" s="2">
        <f t="shared" si="356"/>
        <v>66.95</v>
      </c>
      <c r="AL3088" s="5">
        <f t="shared" si="357"/>
        <v>0.44075049374588543</v>
      </c>
    </row>
    <row r="3089" spans="1:38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2478</v>
      </c>
      <c r="P3089" s="2" t="s">
        <v>115</v>
      </c>
      <c r="Q3089" s="2" t="s">
        <v>2479</v>
      </c>
      <c r="R3089" s="2" t="s">
        <v>2480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3"/>
        <v>0</v>
      </c>
      <c r="AG3089" s="2">
        <v>314.88499999999999</v>
      </c>
      <c r="AJ3089" s="2">
        <f t="shared" si="354"/>
        <v>0</v>
      </c>
      <c r="AK3089" s="2">
        <f t="shared" si="356"/>
        <v>229.67499999999995</v>
      </c>
      <c r="AL3089" s="5">
        <f t="shared" si="357"/>
        <v>0.42176252387248414</v>
      </c>
    </row>
    <row r="3090" spans="1:38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2481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3"/>
        <v>0</v>
      </c>
      <c r="AJ3090" s="2">
        <f t="shared" si="354"/>
        <v>0</v>
      </c>
      <c r="AK3090" s="2">
        <f t="shared" si="356"/>
        <v>0</v>
      </c>
      <c r="AL3090" s="5" t="e">
        <f t="shared" si="357"/>
        <v>#DIV/0!</v>
      </c>
    </row>
    <row r="3091" spans="1:38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2482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8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3"/>
        <v>0</v>
      </c>
      <c r="AG3091" s="2">
        <v>246.77</v>
      </c>
      <c r="AJ3091" s="2">
        <f t="shared" si="354"/>
        <v>0</v>
      </c>
      <c r="AK3091" s="2">
        <f t="shared" si="356"/>
        <v>271.52</v>
      </c>
      <c r="AL3091" s="5">
        <f t="shared" si="357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3124</v>
      </c>
      <c r="J3092" s="2" t="s">
        <v>3125</v>
      </c>
      <c r="L3092" s="2" t="s">
        <v>113</v>
      </c>
      <c r="M3092" s="2" t="s">
        <v>40</v>
      </c>
      <c r="O3092" s="2" t="s">
        <v>2483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8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3"/>
        <v>0</v>
      </c>
      <c r="AG3092" s="2">
        <v>615.6</v>
      </c>
      <c r="AJ3092" s="2">
        <f t="shared" si="354"/>
        <v>0</v>
      </c>
      <c r="AK3092" s="2">
        <f t="shared" si="356"/>
        <v>174.39999999999998</v>
      </c>
      <c r="AL3092" s="5">
        <f t="shared" si="357"/>
        <v>0.22075949367088604</v>
      </c>
    </row>
    <row r="3093" spans="1:38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2471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8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3"/>
        <v>0</v>
      </c>
      <c r="AG3093" s="2">
        <f>14.4+0.27</f>
        <v>14.67</v>
      </c>
      <c r="AJ3093" s="2">
        <f t="shared" si="354"/>
        <v>0</v>
      </c>
      <c r="AK3093" s="2">
        <f t="shared" si="356"/>
        <v>30.509999999999998</v>
      </c>
      <c r="AL3093" s="5">
        <f t="shared" si="357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2484</v>
      </c>
      <c r="J3094" s="2" t="s">
        <v>3132</v>
      </c>
      <c r="K3094" s="2">
        <v>965864665</v>
      </c>
      <c r="L3094" s="2" t="s">
        <v>345</v>
      </c>
      <c r="M3094" s="2" t="s">
        <v>40</v>
      </c>
      <c r="O3094" s="2" t="s">
        <v>2485</v>
      </c>
      <c r="P3094" s="2" t="s">
        <v>115</v>
      </c>
      <c r="Q3094" s="2" t="s">
        <v>1082</v>
      </c>
      <c r="R3094" s="2" t="s">
        <v>1083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8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3"/>
        <v>0</v>
      </c>
      <c r="AG3094" s="2">
        <v>37.96</v>
      </c>
      <c r="AJ3094" s="2">
        <f t="shared" si="354"/>
        <v>0</v>
      </c>
      <c r="AK3094" s="2">
        <f t="shared" si="356"/>
        <v>39.520000000000003</v>
      </c>
      <c r="AL3094" s="5">
        <f t="shared" si="357"/>
        <v>0.51006711409395977</v>
      </c>
    </row>
    <row r="3095" spans="1:38" x14ac:dyDescent="0.2">
      <c r="A3095" s="2">
        <v>2026</v>
      </c>
      <c r="B3095" s="2">
        <v>1</v>
      </c>
      <c r="D3095" s="2" t="s">
        <v>1153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2486</v>
      </c>
      <c r="J3095" s="2" t="s">
        <v>1477</v>
      </c>
      <c r="K3095" s="2">
        <v>938183284</v>
      </c>
      <c r="L3095" s="2" t="s">
        <v>134</v>
      </c>
      <c r="M3095" s="2" t="s">
        <v>40</v>
      </c>
      <c r="O3095" s="2" t="s">
        <v>2487</v>
      </c>
      <c r="P3095" s="2" t="s">
        <v>115</v>
      </c>
      <c r="Q3095" s="2" t="s">
        <v>2488</v>
      </c>
      <c r="R3095" s="2" t="s">
        <v>1391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8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3"/>
        <v>0</v>
      </c>
      <c r="AG3095" s="2">
        <v>222.18</v>
      </c>
      <c r="AJ3095" s="2">
        <f t="shared" si="354"/>
        <v>0</v>
      </c>
      <c r="AK3095" s="2">
        <f t="shared" si="356"/>
        <v>244.39999999999998</v>
      </c>
      <c r="AL3095" s="5">
        <f t="shared" si="357"/>
        <v>0.52381156500492942</v>
      </c>
    </row>
    <row r="3096" spans="1:38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2478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8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3"/>
        <v>0</v>
      </c>
      <c r="AG3096" s="2">
        <v>342.22</v>
      </c>
      <c r="AJ3096" s="2">
        <f t="shared" si="354"/>
        <v>0</v>
      </c>
      <c r="AK3096" s="2">
        <f t="shared" si="356"/>
        <v>120.4966</v>
      </c>
      <c r="AL3096" s="5">
        <f t="shared" si="357"/>
        <v>0.25874296757569254</v>
      </c>
    </row>
    <row r="3097" spans="1:38" x14ac:dyDescent="0.2">
      <c r="A3097" s="2">
        <v>2026</v>
      </c>
      <c r="B3097" s="2">
        <v>2</v>
      </c>
      <c r="D3097" s="2" t="s">
        <v>2295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2296</v>
      </c>
      <c r="L3097" s="2" t="s">
        <v>202</v>
      </c>
      <c r="M3097" s="2" t="s">
        <v>40</v>
      </c>
      <c r="O3097" s="2" t="s">
        <v>2297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8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3"/>
        <v>0</v>
      </c>
      <c r="AG3097" s="2">
        <v>343.38569999999999</v>
      </c>
      <c r="AJ3097" s="2">
        <f t="shared" si="354"/>
        <v>0</v>
      </c>
      <c r="AK3097" s="2">
        <f t="shared" si="356"/>
        <v>355.72999999999996</v>
      </c>
      <c r="AL3097" s="5">
        <f t="shared" si="357"/>
        <v>0.50869440869440863</v>
      </c>
    </row>
    <row r="3098" spans="1:38" x14ac:dyDescent="0.2">
      <c r="A3098" s="2">
        <v>2026</v>
      </c>
      <c r="B3098" s="2">
        <v>2</v>
      </c>
      <c r="D3098" s="2" t="s">
        <v>2298</v>
      </c>
      <c r="E3098" s="2" t="s">
        <v>38</v>
      </c>
      <c r="G3098" s="2">
        <v>509800696</v>
      </c>
      <c r="H3098" s="2" t="s">
        <v>291</v>
      </c>
      <c r="I3098" s="2" t="s">
        <v>2299</v>
      </c>
      <c r="J3098" s="2" t="s">
        <v>2300</v>
      </c>
      <c r="K3098" s="2">
        <v>930444437</v>
      </c>
      <c r="L3098" s="2" t="s">
        <v>2299</v>
      </c>
      <c r="M3098" s="2" t="s">
        <v>40</v>
      </c>
      <c r="O3098" s="2" t="s">
        <v>2301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8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3"/>
        <v>0</v>
      </c>
      <c r="AG3098" s="2">
        <v>343.38569999999999</v>
      </c>
      <c r="AJ3098" s="2">
        <f t="shared" si="354"/>
        <v>0</v>
      </c>
      <c r="AK3098" s="2">
        <f t="shared" si="356"/>
        <v>511.62860000000001</v>
      </c>
      <c r="AL3098" s="5">
        <f t="shared" si="357"/>
        <v>0.42678395061728397</v>
      </c>
    </row>
    <row r="3099" spans="1:38" x14ac:dyDescent="0.2">
      <c r="A3099" s="2">
        <v>2026</v>
      </c>
      <c r="B3099" s="2">
        <v>2</v>
      </c>
      <c r="D3099" s="2" t="s">
        <v>2335</v>
      </c>
      <c r="I3099" s="2" t="s">
        <v>806</v>
      </c>
      <c r="L3099" s="2" t="s">
        <v>100</v>
      </c>
      <c r="M3099" s="2" t="s">
        <v>40</v>
      </c>
      <c r="O3099" s="2" t="s">
        <v>2489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3"/>
        <v>0</v>
      </c>
      <c r="AG3099" s="2">
        <v>343.38569999999999</v>
      </c>
      <c r="AJ3099" s="2">
        <f t="shared" si="354"/>
        <v>0</v>
      </c>
    </row>
    <row r="3100" spans="1:38" x14ac:dyDescent="0.2">
      <c r="A3100" s="2">
        <v>2026</v>
      </c>
      <c r="B3100" s="2">
        <v>2</v>
      </c>
      <c r="D3100" s="2" t="s">
        <v>2490</v>
      </c>
      <c r="M3100" s="2" t="s">
        <v>40</v>
      </c>
      <c r="O3100" s="2" t="s">
        <v>2491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9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3"/>
        <v>0</v>
      </c>
      <c r="AG3100" s="2">
        <v>343.38569999999999</v>
      </c>
      <c r="AJ3100" s="2">
        <f t="shared" si="354"/>
        <v>0</v>
      </c>
      <c r="AK3100" s="2">
        <f t="shared" ref="AK3100:AK3131" si="360">T3100-W3100</f>
        <v>352.72999999999996</v>
      </c>
      <c r="AL3100" s="5">
        <f t="shared" ref="AL3100:AL3131" si="361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2492</v>
      </c>
      <c r="P3101" s="2" t="s">
        <v>115</v>
      </c>
      <c r="Q3101" s="2" t="s">
        <v>1428</v>
      </c>
      <c r="R3101" s="2" t="s">
        <v>1429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9"/>
        <v>0.45541480842983673</v>
      </c>
      <c r="Z3101" s="2" t="s">
        <v>118</v>
      </c>
      <c r="AA3101" s="2" t="s">
        <v>617</v>
      </c>
      <c r="AB3101" s="2" t="s">
        <v>960</v>
      </c>
      <c r="AC3101" s="2" t="s">
        <v>115</v>
      </c>
      <c r="AF3101" s="2">
        <f t="shared" si="353"/>
        <v>0</v>
      </c>
      <c r="AG3101" s="2">
        <f>868.26+3.61</f>
        <v>871.87</v>
      </c>
      <c r="AJ3101" s="2">
        <f t="shared" si="354"/>
        <v>0</v>
      </c>
      <c r="AK3101" s="2">
        <f t="shared" si="360"/>
        <v>729.11</v>
      </c>
      <c r="AL3101" s="5">
        <f t="shared" si="361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2493</v>
      </c>
      <c r="P3102" s="2" t="s">
        <v>115</v>
      </c>
      <c r="Q3102" s="2" t="s">
        <v>2494</v>
      </c>
      <c r="R3102" s="2" t="s">
        <v>2495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9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3"/>
        <v>0</v>
      </c>
      <c r="AG3102" s="2">
        <v>102.88249999999999</v>
      </c>
      <c r="AJ3102" s="2">
        <f t="shared" si="354"/>
        <v>0</v>
      </c>
      <c r="AK3102" s="2">
        <f t="shared" si="360"/>
        <v>112.075</v>
      </c>
      <c r="AL3102" s="5">
        <f t="shared" si="361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2496</v>
      </c>
      <c r="P3103" s="2" t="s">
        <v>115</v>
      </c>
      <c r="Q3103" s="2" t="s">
        <v>2497</v>
      </c>
      <c r="R3103" s="2" t="s">
        <v>2498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9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3"/>
        <v>0</v>
      </c>
      <c r="AG3103" s="2">
        <v>15</v>
      </c>
      <c r="AJ3103" s="2">
        <f t="shared" si="354"/>
        <v>0</v>
      </c>
      <c r="AK3103" s="2">
        <f t="shared" si="360"/>
        <v>13.350000000000001</v>
      </c>
      <c r="AL3103" s="5">
        <f t="shared" si="361"/>
        <v>0.47089947089947093</v>
      </c>
    </row>
    <row r="3104" spans="1:38" x14ac:dyDescent="0.2">
      <c r="A3104" s="2">
        <v>2026</v>
      </c>
      <c r="B3104" s="2">
        <v>2</v>
      </c>
      <c r="D3104" s="2" t="s">
        <v>2499</v>
      </c>
      <c r="M3104" s="2" t="s">
        <v>40</v>
      </c>
      <c r="O3104" s="2" t="s">
        <v>2500</v>
      </c>
      <c r="P3104" s="2" t="s">
        <v>115</v>
      </c>
      <c r="Q3104" s="2" t="s">
        <v>2501</v>
      </c>
      <c r="R3104" s="2" t="s">
        <v>2502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9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3"/>
        <v>0</v>
      </c>
      <c r="AG3104" s="2">
        <v>43.23</v>
      </c>
      <c r="AJ3104" s="2">
        <f t="shared" si="354"/>
        <v>0</v>
      </c>
      <c r="AK3104" s="2">
        <f t="shared" si="360"/>
        <v>44.07</v>
      </c>
      <c r="AL3104" s="5">
        <f t="shared" si="361"/>
        <v>0.50481099656357387</v>
      </c>
    </row>
    <row r="3105" spans="1:38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2503</v>
      </c>
      <c r="R3105" s="2" t="s">
        <v>2504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9"/>
        <v>1</v>
      </c>
      <c r="Z3105" s="2" t="s">
        <v>118</v>
      </c>
      <c r="AF3105" s="2">
        <f t="shared" si="353"/>
        <v>0</v>
      </c>
      <c r="AJ3105" s="2">
        <f t="shared" si="354"/>
        <v>0</v>
      </c>
      <c r="AK3105" s="2">
        <f t="shared" si="360"/>
        <v>1190</v>
      </c>
      <c r="AL3105" s="5">
        <f t="shared" si="361"/>
        <v>1</v>
      </c>
    </row>
    <row r="3106" spans="1:38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1336</v>
      </c>
      <c r="R3106" s="2" t="s">
        <v>1337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9"/>
        <v>1</v>
      </c>
      <c r="Z3106" s="2" t="s">
        <v>118</v>
      </c>
      <c r="AF3106" s="2">
        <f t="shared" si="353"/>
        <v>0</v>
      </c>
      <c r="AJ3106" s="2">
        <f t="shared" si="354"/>
        <v>0</v>
      </c>
      <c r="AK3106" s="2">
        <f t="shared" si="360"/>
        <v>60.1</v>
      </c>
      <c r="AL3106" s="5">
        <f t="shared" si="361"/>
        <v>1</v>
      </c>
    </row>
    <row r="3107" spans="1:38" x14ac:dyDescent="0.2">
      <c r="A3107" s="2">
        <v>2026</v>
      </c>
      <c r="B3107" s="2">
        <v>2</v>
      </c>
      <c r="D3107" s="2" t="s">
        <v>2450</v>
      </c>
      <c r="P3107" s="2" t="s">
        <v>115</v>
      </c>
      <c r="Q3107" s="2" t="s">
        <v>2505</v>
      </c>
      <c r="R3107" s="2" t="s">
        <v>2506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9"/>
        <v>1</v>
      </c>
      <c r="Z3107" s="2" t="s">
        <v>118</v>
      </c>
      <c r="AF3107" s="2">
        <f t="shared" si="353"/>
        <v>0</v>
      </c>
      <c r="AJ3107" s="2">
        <f t="shared" si="354"/>
        <v>0</v>
      </c>
      <c r="AK3107" s="2">
        <f t="shared" si="360"/>
        <v>3754.3</v>
      </c>
      <c r="AL3107" s="5">
        <f t="shared" si="361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9"/>
        <v>1</v>
      </c>
      <c r="Z3108" s="2" t="s">
        <v>118</v>
      </c>
      <c r="AF3108" s="2">
        <f t="shared" si="353"/>
        <v>0</v>
      </c>
      <c r="AJ3108" s="2">
        <f t="shared" si="354"/>
        <v>0</v>
      </c>
      <c r="AK3108" s="2">
        <f t="shared" si="360"/>
        <v>79.47</v>
      </c>
      <c r="AL3108" s="5">
        <f t="shared" si="361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2507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9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3"/>
        <v>0</v>
      </c>
      <c r="AG3109" s="2">
        <v>25.2</v>
      </c>
      <c r="AJ3109" s="2">
        <f t="shared" si="354"/>
        <v>0</v>
      </c>
      <c r="AK3109" s="2">
        <f t="shared" si="360"/>
        <v>54.269999999999996</v>
      </c>
      <c r="AL3109" s="5">
        <f t="shared" si="361"/>
        <v>0.68289920724801811</v>
      </c>
    </row>
    <row r="3110" spans="1:38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1529</v>
      </c>
      <c r="R3110" s="2" t="s">
        <v>1530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3"/>
        <v>0</v>
      </c>
      <c r="AJ3110" s="2">
        <f t="shared" si="354"/>
        <v>0</v>
      </c>
      <c r="AK3110" s="2">
        <f t="shared" si="360"/>
        <v>0</v>
      </c>
      <c r="AL3110" s="5" t="e">
        <f t="shared" si="361"/>
        <v>#DIV/0!</v>
      </c>
    </row>
    <row r="3111" spans="1:38" x14ac:dyDescent="0.2">
      <c r="A3111" s="2">
        <v>2026</v>
      </c>
      <c r="B3111" s="2">
        <v>2</v>
      </c>
      <c r="D3111" s="2" t="s">
        <v>1358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2508</v>
      </c>
      <c r="J3111" s="2" t="s">
        <v>2509</v>
      </c>
      <c r="L3111" s="2" t="s">
        <v>294</v>
      </c>
      <c r="P3111" s="2" t="s">
        <v>115</v>
      </c>
      <c r="Q3111" s="2" t="s">
        <v>2510</v>
      </c>
      <c r="R3111" s="2" t="s">
        <v>2511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2">(T3111-W3111)/T3111</f>
        <v>1</v>
      </c>
      <c r="Z3111" s="2" t="s">
        <v>118</v>
      </c>
      <c r="AF3111" s="2">
        <f t="shared" si="353"/>
        <v>0</v>
      </c>
      <c r="AJ3111" s="2">
        <f t="shared" si="354"/>
        <v>0</v>
      </c>
      <c r="AK3111" s="2">
        <f t="shared" si="360"/>
        <v>1594.72</v>
      </c>
      <c r="AL3111" s="5">
        <f t="shared" si="361"/>
        <v>1</v>
      </c>
    </row>
    <row r="3112" spans="1:38" x14ac:dyDescent="0.2">
      <c r="A3112" s="2">
        <v>2026</v>
      </c>
      <c r="B3112" s="2">
        <v>2</v>
      </c>
      <c r="C3112" s="2" t="s">
        <v>3332</v>
      </c>
      <c r="D3112" s="2" t="s">
        <v>3254</v>
      </c>
      <c r="E3112" s="2" t="s">
        <v>754</v>
      </c>
      <c r="F3112" s="2" t="s">
        <v>39</v>
      </c>
      <c r="L3112" s="2" t="s">
        <v>345</v>
      </c>
      <c r="M3112" s="2" t="s">
        <v>40</v>
      </c>
      <c r="O3112" s="2" t="s">
        <v>2512</v>
      </c>
      <c r="P3112" s="2" t="s">
        <v>115</v>
      </c>
      <c r="Q3112" s="2" t="s">
        <v>1186</v>
      </c>
      <c r="R3112" s="2" t="s">
        <v>1187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2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3"/>
        <v>0</v>
      </c>
      <c r="AG3112" s="2">
        <v>7437.5950000000003</v>
      </c>
      <c r="AJ3112" s="2">
        <f t="shared" si="354"/>
        <v>0</v>
      </c>
      <c r="AK3112" s="2">
        <f t="shared" si="360"/>
        <v>4552.4049999999997</v>
      </c>
      <c r="AL3112" s="5">
        <f t="shared" si="361"/>
        <v>0.3796834862385321</v>
      </c>
    </row>
    <row r="3113" spans="1:38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2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3"/>
        <v>0</v>
      </c>
      <c r="AJ3113" s="2">
        <f t="shared" si="354"/>
        <v>0</v>
      </c>
      <c r="AK3113" s="2">
        <f t="shared" si="360"/>
        <v>4400.1200000000008</v>
      </c>
      <c r="AL3113" s="5">
        <f t="shared" si="361"/>
        <v>0.31451894210150111</v>
      </c>
    </row>
    <row r="3114" spans="1:38" x14ac:dyDescent="0.2">
      <c r="A3114" s="2">
        <v>2026</v>
      </c>
      <c r="B3114" s="2">
        <v>1</v>
      </c>
      <c r="D3114" s="2" t="s">
        <v>3253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2513</v>
      </c>
      <c r="P3114" s="2" t="s">
        <v>115</v>
      </c>
      <c r="Q3114" s="2" t="s">
        <v>958</v>
      </c>
      <c r="R3114" s="2" t="s">
        <v>959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2"/>
        <v>0.27561814109742444</v>
      </c>
      <c r="Z3114" s="2" t="s">
        <v>105</v>
      </c>
      <c r="AA3114" s="2" t="s">
        <v>617</v>
      </c>
      <c r="AB3114" s="2" t="s">
        <v>960</v>
      </c>
      <c r="AC3114" s="2" t="s">
        <v>115</v>
      </c>
      <c r="AF3114" s="2">
        <f t="shared" si="353"/>
        <v>0</v>
      </c>
      <c r="AG3114" s="2">
        <f>6193.4+275.33</f>
        <v>6468.73</v>
      </c>
      <c r="AJ3114" s="2">
        <f t="shared" si="354"/>
        <v>0</v>
      </c>
      <c r="AK3114" s="2">
        <f t="shared" si="360"/>
        <v>2461.2700000000004</v>
      </c>
      <c r="AL3114" s="5">
        <f t="shared" si="361"/>
        <v>0.27561814109742444</v>
      </c>
    </row>
    <row r="3115" spans="1:38" x14ac:dyDescent="0.2">
      <c r="A3115" s="2">
        <v>2026</v>
      </c>
      <c r="B3115" s="2">
        <v>2</v>
      </c>
      <c r="D3115" s="2" t="s">
        <v>3255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2514</v>
      </c>
      <c r="P3115" s="2" t="s">
        <v>115</v>
      </c>
      <c r="Q3115" s="2" t="s">
        <v>958</v>
      </c>
      <c r="R3115" s="2" t="s">
        <v>959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2"/>
        <v>0.27561814109742444</v>
      </c>
      <c r="Z3115" s="2" t="s">
        <v>105</v>
      </c>
      <c r="AA3115" s="2" t="s">
        <v>617</v>
      </c>
      <c r="AB3115" s="2" t="s">
        <v>960</v>
      </c>
      <c r="AC3115" s="2" t="s">
        <v>115</v>
      </c>
      <c r="AF3115" s="2">
        <f t="shared" si="353"/>
        <v>0</v>
      </c>
      <c r="AG3115" s="2">
        <v>6468.73</v>
      </c>
      <c r="AJ3115" s="2">
        <f t="shared" si="354"/>
        <v>0</v>
      </c>
      <c r="AK3115" s="2">
        <f t="shared" si="360"/>
        <v>2461.2700000000004</v>
      </c>
      <c r="AL3115" s="5">
        <f t="shared" si="361"/>
        <v>0.27561814109742444</v>
      </c>
    </row>
    <row r="3116" spans="1:38" x14ac:dyDescent="0.2">
      <c r="A3116" s="2">
        <v>2026</v>
      </c>
      <c r="B3116" s="2">
        <v>2</v>
      </c>
      <c r="D3116" s="2" t="s">
        <v>1123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3256</v>
      </c>
      <c r="J3116" s="2" t="s">
        <v>3257</v>
      </c>
      <c r="K3116" s="2">
        <v>96179412</v>
      </c>
      <c r="L3116" s="2" t="s">
        <v>462</v>
      </c>
      <c r="M3116" s="2" t="s">
        <v>110</v>
      </c>
      <c r="O3116" s="2" t="s">
        <v>3258</v>
      </c>
      <c r="P3116" s="2" t="s">
        <v>115</v>
      </c>
      <c r="Q3116" s="2" t="s">
        <v>958</v>
      </c>
      <c r="R3116" s="2" t="s">
        <v>959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2"/>
        <v>0.27561814109742444</v>
      </c>
      <c r="Z3116" s="2" t="s">
        <v>105</v>
      </c>
      <c r="AA3116" s="2" t="s">
        <v>617</v>
      </c>
      <c r="AB3116" s="2" t="s">
        <v>960</v>
      </c>
      <c r="AC3116" s="2" t="s">
        <v>115</v>
      </c>
      <c r="AF3116" s="2">
        <f t="shared" si="353"/>
        <v>0</v>
      </c>
      <c r="AG3116" s="2">
        <v>6468.73</v>
      </c>
      <c r="AJ3116" s="2">
        <f t="shared" si="354"/>
        <v>0</v>
      </c>
      <c r="AK3116" s="2">
        <f t="shared" si="360"/>
        <v>2461.2700000000004</v>
      </c>
      <c r="AL3116" s="5">
        <f t="shared" si="361"/>
        <v>0.27561814109742444</v>
      </c>
    </row>
    <row r="3117" spans="1:38" x14ac:dyDescent="0.2">
      <c r="A3117" s="2">
        <v>2026</v>
      </c>
      <c r="B3117" s="2">
        <v>2</v>
      </c>
      <c r="D3117" s="2" t="s">
        <v>2515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2"/>
        <v>0.26665473940803525</v>
      </c>
      <c r="Z3117" s="2" t="s">
        <v>105</v>
      </c>
      <c r="AA3117" s="2" t="s">
        <v>617</v>
      </c>
      <c r="AB3117" s="2" t="s">
        <v>2516</v>
      </c>
      <c r="AC3117" s="2" t="s">
        <v>115</v>
      </c>
      <c r="AF3117" s="2">
        <f t="shared" si="353"/>
        <v>0</v>
      </c>
      <c r="AG3117" s="2">
        <f>3130.82+148.37</f>
        <v>3279.19</v>
      </c>
      <c r="AJ3117" s="2">
        <f t="shared" si="354"/>
        <v>0</v>
      </c>
      <c r="AK3117" s="2">
        <f t="shared" si="360"/>
        <v>1192.3600000000001</v>
      </c>
      <c r="AL3117" s="5">
        <f t="shared" si="361"/>
        <v>0.26665473940803525</v>
      </c>
    </row>
    <row r="3118" spans="1:38" x14ac:dyDescent="0.2">
      <c r="A3118" s="2">
        <v>2026</v>
      </c>
      <c r="B3118" s="2">
        <v>2</v>
      </c>
      <c r="D3118" s="2" t="s">
        <v>3255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2514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2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3"/>
        <v>0</v>
      </c>
      <c r="AG3118" s="2">
        <v>3345.125</v>
      </c>
      <c r="AJ3118" s="2">
        <f t="shared" si="354"/>
        <v>0</v>
      </c>
      <c r="AK3118" s="2">
        <f t="shared" si="360"/>
        <v>944.88000000000011</v>
      </c>
      <c r="AL3118" s="5">
        <f t="shared" si="361"/>
        <v>0.22025174825174829</v>
      </c>
    </row>
    <row r="3119" spans="1:38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1585</v>
      </c>
      <c r="R3119" s="2" t="s">
        <v>1586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2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3"/>
        <v>0</v>
      </c>
      <c r="AG3119" s="2">
        <f>4893.23+171</f>
        <v>5064.2299999999996</v>
      </c>
      <c r="AJ3119" s="2">
        <f t="shared" si="354"/>
        <v>0</v>
      </c>
      <c r="AK3119" s="2">
        <f t="shared" si="360"/>
        <v>2925.7700000000004</v>
      </c>
      <c r="AL3119" s="5">
        <f t="shared" si="361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2484</v>
      </c>
      <c r="J3120" s="2" t="s">
        <v>3132</v>
      </c>
      <c r="K3120" s="2">
        <v>965864665</v>
      </c>
      <c r="L3120" s="2" t="s">
        <v>345</v>
      </c>
      <c r="M3120" s="2" t="s">
        <v>40</v>
      </c>
      <c r="O3120" s="2" t="s">
        <v>2485</v>
      </c>
      <c r="P3120" s="2" t="s">
        <v>1611</v>
      </c>
      <c r="Q3120" s="2" t="s">
        <v>1774</v>
      </c>
      <c r="R3120" s="2" t="s">
        <v>1775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2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1611</v>
      </c>
      <c r="AF3120" s="2">
        <f t="shared" si="353"/>
        <v>0</v>
      </c>
      <c r="AG3120" s="2">
        <v>23.9572</v>
      </c>
      <c r="AJ3120" s="2">
        <f t="shared" si="354"/>
        <v>0</v>
      </c>
      <c r="AK3120" s="2">
        <f t="shared" si="360"/>
        <v>44.902799999999999</v>
      </c>
      <c r="AL3120" s="5">
        <f t="shared" si="361"/>
        <v>0.65208829509149002</v>
      </c>
    </row>
    <row r="3121" spans="1:38" x14ac:dyDescent="0.2">
      <c r="A3121" s="2">
        <v>2026</v>
      </c>
      <c r="B3121" s="2">
        <v>2</v>
      </c>
      <c r="D3121" s="2" t="s">
        <v>2517</v>
      </c>
      <c r="P3121" s="2" t="s">
        <v>1611</v>
      </c>
      <c r="Q3121" s="2" t="s">
        <v>1774</v>
      </c>
      <c r="R3121" s="2" t="s">
        <v>1775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2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1611</v>
      </c>
      <c r="AF3121" s="2">
        <f t="shared" si="353"/>
        <v>0</v>
      </c>
      <c r="AG3121" s="2">
        <v>23.9572</v>
      </c>
      <c r="AJ3121" s="2">
        <f t="shared" si="354"/>
        <v>0</v>
      </c>
      <c r="AK3121" s="2">
        <f t="shared" si="360"/>
        <v>44.902799999999999</v>
      </c>
      <c r="AL3121" s="5">
        <f t="shared" si="361"/>
        <v>0.65208829509149002</v>
      </c>
    </row>
    <row r="3122" spans="1:38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1611</v>
      </c>
      <c r="Q3122" s="2" t="s">
        <v>1609</v>
      </c>
      <c r="R3122" s="2" t="s">
        <v>1610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2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1611</v>
      </c>
      <c r="AF3122" s="2">
        <f t="shared" si="353"/>
        <v>0</v>
      </c>
      <c r="AG3122" s="2">
        <v>10.15</v>
      </c>
      <c r="AJ3122" s="2">
        <f t="shared" si="354"/>
        <v>0</v>
      </c>
      <c r="AK3122" s="2">
        <f t="shared" si="360"/>
        <v>58.71</v>
      </c>
      <c r="AL3122" s="5">
        <f t="shared" si="361"/>
        <v>0.8525994772001162</v>
      </c>
    </row>
    <row r="3123" spans="1:38" x14ac:dyDescent="0.2">
      <c r="A3123" s="2">
        <v>2026</v>
      </c>
      <c r="B3123" s="2">
        <v>2</v>
      </c>
      <c r="C3123" s="2" t="s">
        <v>3424</v>
      </c>
      <c r="D3123" s="2" t="s">
        <v>2518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2519</v>
      </c>
      <c r="R3123" s="2" t="s">
        <v>2520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2"/>
        <v>6.6666666666666428E-3</v>
      </c>
      <c r="Z3123" s="2" t="s">
        <v>3237</v>
      </c>
      <c r="AA3123" s="2" t="s">
        <v>156</v>
      </c>
      <c r="AB3123" s="2" t="s">
        <v>155</v>
      </c>
      <c r="AC3123" s="2" t="s">
        <v>153</v>
      </c>
      <c r="AF3123" s="2">
        <f t="shared" si="353"/>
        <v>0</v>
      </c>
      <c r="AJ3123" s="2">
        <f t="shared" si="354"/>
        <v>0</v>
      </c>
      <c r="AK3123" s="2">
        <f t="shared" si="360"/>
        <v>9.9999999999999645E-2</v>
      </c>
      <c r="AL3123" s="5">
        <f t="shared" si="361"/>
        <v>6.6666666666666428E-3</v>
      </c>
    </row>
    <row r="3124" spans="1:38" x14ac:dyDescent="0.2">
      <c r="A3124" s="2">
        <v>2026</v>
      </c>
      <c r="B3124" s="2">
        <v>2</v>
      </c>
      <c r="C3124" s="2" t="s">
        <v>3424</v>
      </c>
      <c r="D3124" s="2" t="s">
        <v>2518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2"/>
        <v>6.6666666666666666E-2</v>
      </c>
      <c r="Z3124" s="2" t="s">
        <v>3237</v>
      </c>
      <c r="AA3124" s="2" t="s">
        <v>156</v>
      </c>
      <c r="AB3124" s="2" t="s">
        <v>155</v>
      </c>
      <c r="AC3124" s="2" t="s">
        <v>153</v>
      </c>
      <c r="AF3124" s="2">
        <f t="shared" si="353"/>
        <v>0</v>
      </c>
      <c r="AJ3124" s="2">
        <f t="shared" si="354"/>
        <v>0</v>
      </c>
      <c r="AK3124" s="2">
        <f t="shared" si="360"/>
        <v>1</v>
      </c>
      <c r="AL3124" s="5">
        <f t="shared" si="361"/>
        <v>6.6666666666666666E-2</v>
      </c>
    </row>
    <row r="3125" spans="1:38" x14ac:dyDescent="0.2">
      <c r="A3125" s="2">
        <v>2026</v>
      </c>
      <c r="B3125" s="2">
        <v>2</v>
      </c>
      <c r="D3125" s="2" t="s">
        <v>2521</v>
      </c>
      <c r="M3125" s="2" t="s">
        <v>110</v>
      </c>
      <c r="P3125" s="2" t="s">
        <v>283</v>
      </c>
      <c r="Q3125" s="2" t="s">
        <v>2522</v>
      </c>
      <c r="R3125" s="2" t="s">
        <v>2523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2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3"/>
        <v>0</v>
      </c>
      <c r="AG3125" s="2">
        <v>759</v>
      </c>
      <c r="AJ3125" s="2">
        <f t="shared" si="354"/>
        <v>0</v>
      </c>
      <c r="AK3125" s="2">
        <f t="shared" si="360"/>
        <v>31</v>
      </c>
      <c r="AL3125" s="5">
        <f t="shared" si="361"/>
        <v>3.9240506329113925E-2</v>
      </c>
    </row>
    <row r="3126" spans="1:38" x14ac:dyDescent="0.2">
      <c r="A3126" s="2">
        <v>2026</v>
      </c>
      <c r="B3126" s="2">
        <v>2</v>
      </c>
      <c r="D3126" s="2" t="s">
        <v>2524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2525</v>
      </c>
      <c r="J3126" s="2" t="s">
        <v>2526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1554</v>
      </c>
      <c r="R3126" s="2" t="s">
        <v>1555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2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3"/>
        <v>0</v>
      </c>
      <c r="AG3126" s="2">
        <v>297</v>
      </c>
      <c r="AH3126" s="2">
        <v>595</v>
      </c>
      <c r="AJ3126" s="2">
        <f t="shared" si="354"/>
        <v>0</v>
      </c>
      <c r="AK3126" s="2">
        <f t="shared" si="360"/>
        <v>298</v>
      </c>
      <c r="AL3126" s="5">
        <f t="shared" si="361"/>
        <v>0.50084033613445378</v>
      </c>
    </row>
    <row r="3127" spans="1:38" x14ac:dyDescent="0.2">
      <c r="A3127" s="2">
        <v>2026</v>
      </c>
      <c r="B3127" s="2">
        <v>2</v>
      </c>
      <c r="D3127" s="2" t="s">
        <v>1582</v>
      </c>
      <c r="E3127" s="2" t="s">
        <v>38</v>
      </c>
      <c r="G3127" s="2">
        <v>505123177</v>
      </c>
      <c r="H3127" s="2" t="s">
        <v>110</v>
      </c>
      <c r="I3127" s="2" t="s">
        <v>2527</v>
      </c>
      <c r="J3127" s="2" t="s">
        <v>2528</v>
      </c>
      <c r="L3127" s="2" t="s">
        <v>399</v>
      </c>
      <c r="M3127" s="2" t="s">
        <v>110</v>
      </c>
      <c r="P3127" s="2" t="s">
        <v>283</v>
      </c>
      <c r="Q3127" s="2" t="s">
        <v>1554</v>
      </c>
      <c r="R3127" s="2" t="s">
        <v>1555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2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3"/>
        <v>0</v>
      </c>
      <c r="AG3127" s="2">
        <v>297</v>
      </c>
      <c r="AH3127" s="2">
        <v>595</v>
      </c>
      <c r="AJ3127" s="2">
        <f t="shared" si="354"/>
        <v>0</v>
      </c>
      <c r="AK3127" s="2">
        <f t="shared" si="360"/>
        <v>298</v>
      </c>
      <c r="AL3127" s="5">
        <f t="shared" si="361"/>
        <v>0.50084033613445378</v>
      </c>
    </row>
    <row r="3128" spans="1:38" x14ac:dyDescent="0.2">
      <c r="A3128" s="2">
        <v>2026</v>
      </c>
      <c r="B3128" s="2">
        <v>2</v>
      </c>
      <c r="D3128" s="2" t="s">
        <v>2529</v>
      </c>
      <c r="E3128" s="2" t="s">
        <v>38</v>
      </c>
      <c r="G3128" s="2">
        <v>259186163</v>
      </c>
      <c r="H3128" s="2" t="s">
        <v>110</v>
      </c>
      <c r="I3128" s="2" t="s">
        <v>2530</v>
      </c>
      <c r="J3128" s="2" t="s">
        <v>2531</v>
      </c>
      <c r="L3128" s="2" t="s">
        <v>462</v>
      </c>
      <c r="M3128" s="2" t="s">
        <v>110</v>
      </c>
      <c r="P3128" s="2" t="s">
        <v>283</v>
      </c>
      <c r="Q3128" s="2" t="s">
        <v>1554</v>
      </c>
      <c r="R3128" s="2" t="s">
        <v>1555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2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3"/>
        <v>0</v>
      </c>
      <c r="AG3128" s="2">
        <v>297</v>
      </c>
      <c r="AH3128" s="2">
        <v>595</v>
      </c>
      <c r="AJ3128" s="2">
        <f t="shared" si="354"/>
        <v>0</v>
      </c>
      <c r="AK3128" s="2">
        <f t="shared" si="360"/>
        <v>298</v>
      </c>
      <c r="AL3128" s="5">
        <f t="shared" si="361"/>
        <v>0.50084033613445378</v>
      </c>
    </row>
    <row r="3129" spans="1:38" x14ac:dyDescent="0.2">
      <c r="A3129" s="2">
        <v>2026</v>
      </c>
      <c r="B3129" s="2">
        <v>2</v>
      </c>
      <c r="D3129" s="2" t="s">
        <v>2524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2525</v>
      </c>
      <c r="J3129" s="2" t="s">
        <v>2526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3">14.5099*S3129</f>
        <v>159.60890000000001</v>
      </c>
      <c r="X3129" s="5">
        <f t="shared" si="362"/>
        <v>0.20195549999999998</v>
      </c>
      <c r="Z3129" s="2" t="s">
        <v>3237</v>
      </c>
      <c r="AA3129" s="2" t="s">
        <v>46</v>
      </c>
      <c r="AB3129" s="2" t="s">
        <v>61</v>
      </c>
      <c r="AC3129" s="2" t="s">
        <v>3343</v>
      </c>
      <c r="AF3129" s="2">
        <f t="shared" si="353"/>
        <v>0</v>
      </c>
      <c r="AJ3129" s="2">
        <f t="shared" si="354"/>
        <v>0</v>
      </c>
      <c r="AK3129" s="2">
        <f t="shared" si="360"/>
        <v>40.391099999999994</v>
      </c>
      <c r="AL3129" s="5">
        <f t="shared" si="361"/>
        <v>0.20195549999999998</v>
      </c>
    </row>
    <row r="3130" spans="1:38" x14ac:dyDescent="0.2">
      <c r="A3130" s="2">
        <v>2026</v>
      </c>
      <c r="B3130" s="2">
        <v>2</v>
      </c>
      <c r="D3130" s="2" t="s">
        <v>1582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3"/>
        <v>14.5099</v>
      </c>
      <c r="Z3130" s="2" t="s">
        <v>3237</v>
      </c>
      <c r="AA3130" s="2" t="s">
        <v>46</v>
      </c>
      <c r="AB3130" s="2" t="s">
        <v>61</v>
      </c>
      <c r="AC3130" s="2" t="s">
        <v>3343</v>
      </c>
      <c r="AF3130" s="2">
        <f t="shared" si="353"/>
        <v>0</v>
      </c>
      <c r="AJ3130" s="2">
        <f t="shared" si="354"/>
        <v>0</v>
      </c>
    </row>
    <row r="3131" spans="1:38" x14ac:dyDescent="0.2">
      <c r="A3131" s="2">
        <v>2026</v>
      </c>
      <c r="B3131" s="2">
        <v>2</v>
      </c>
      <c r="D3131" s="2" t="s">
        <v>2529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3"/>
        <v>145.09899999999999</v>
      </c>
      <c r="X3131" s="5">
        <f>(T3131-W3131)/T3131</f>
        <v>0.27450500000000005</v>
      </c>
      <c r="Z3131" s="2" t="s">
        <v>3237</v>
      </c>
      <c r="AA3131" s="2" t="s">
        <v>46</v>
      </c>
      <c r="AB3131" s="2" t="s">
        <v>61</v>
      </c>
      <c r="AC3131" s="2" t="s">
        <v>3343</v>
      </c>
      <c r="AF3131" s="2">
        <f t="shared" si="353"/>
        <v>0</v>
      </c>
      <c r="AJ3131" s="2">
        <f t="shared" si="354"/>
        <v>0</v>
      </c>
      <c r="AK3131" s="2">
        <f t="shared" si="360"/>
        <v>54.90100000000001</v>
      </c>
      <c r="AL3131" s="5">
        <f t="shared" si="361"/>
        <v>0.27450500000000005</v>
      </c>
    </row>
    <row r="3132" spans="1:38" x14ac:dyDescent="0.2">
      <c r="A3132" s="2">
        <v>2026</v>
      </c>
      <c r="B3132" s="2">
        <v>2</v>
      </c>
      <c r="D3132" s="2" t="s">
        <v>2524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2525</v>
      </c>
      <c r="J3132" s="2" t="s">
        <v>2526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3"/>
        <v>159.60890000000001</v>
      </c>
      <c r="X3132" s="5">
        <f>(T3132-W3132)/T3132</f>
        <v>0.20195549999999998</v>
      </c>
      <c r="Z3132" s="2" t="s">
        <v>3237</v>
      </c>
      <c r="AA3132" s="2" t="s">
        <v>46</v>
      </c>
      <c r="AB3132" s="2" t="s">
        <v>61</v>
      </c>
      <c r="AC3132" s="2" t="s">
        <v>3343</v>
      </c>
      <c r="AF3132" s="2">
        <f t="shared" si="353"/>
        <v>0</v>
      </c>
      <c r="AJ3132" s="2">
        <f t="shared" si="354"/>
        <v>0</v>
      </c>
      <c r="AK3132" s="2">
        <f t="shared" ref="AK3132:AK3157" si="364">T3132-W3132</f>
        <v>40.391099999999994</v>
      </c>
      <c r="AL3132" s="5">
        <f t="shared" ref="AL3132:AL3154" si="365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1582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3"/>
        <v>14.5099</v>
      </c>
      <c r="X3133" s="19">
        <v>-1</v>
      </c>
      <c r="Z3133" s="2" t="s">
        <v>3237</v>
      </c>
      <c r="AA3133" s="2" t="s">
        <v>46</v>
      </c>
      <c r="AB3133" s="2" t="s">
        <v>61</v>
      </c>
      <c r="AC3133" s="2" t="s">
        <v>3343</v>
      </c>
      <c r="AF3133" s="2">
        <f t="shared" si="353"/>
        <v>0</v>
      </c>
      <c r="AJ3133" s="2">
        <f t="shared" si="354"/>
        <v>0</v>
      </c>
      <c r="AK3133" s="2">
        <f t="shared" si="364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2529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3"/>
        <v>145.09899999999999</v>
      </c>
      <c r="X3134" s="5">
        <f t="shared" ref="X3134:X3154" si="366">(T3134-W3134)/T3134</f>
        <v>0.27450500000000005</v>
      </c>
      <c r="Z3134" s="2" t="s">
        <v>3237</v>
      </c>
      <c r="AA3134" s="2" t="s">
        <v>46</v>
      </c>
      <c r="AB3134" s="2" t="s">
        <v>61</v>
      </c>
      <c r="AC3134" s="2" t="s">
        <v>3343</v>
      </c>
      <c r="AF3134" s="2">
        <f t="shared" si="353"/>
        <v>0</v>
      </c>
      <c r="AJ3134" s="2">
        <f t="shared" si="354"/>
        <v>0</v>
      </c>
      <c r="AK3134" s="2">
        <f t="shared" si="364"/>
        <v>54.90100000000001</v>
      </c>
      <c r="AL3134" s="5">
        <f t="shared" si="365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2532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6"/>
        <v>0.4919047619047619</v>
      </c>
      <c r="Z3135" s="2" t="s">
        <v>3237</v>
      </c>
      <c r="AA3135" s="2" t="s">
        <v>46</v>
      </c>
      <c r="AB3135" s="2" t="s">
        <v>47</v>
      </c>
      <c r="AC3135" s="2" t="s">
        <v>48</v>
      </c>
      <c r="AF3135" s="2">
        <f t="shared" si="353"/>
        <v>0</v>
      </c>
      <c r="AG3135" s="2">
        <v>10.67</v>
      </c>
      <c r="AH3135" s="2">
        <v>21</v>
      </c>
      <c r="AJ3135" s="2">
        <f t="shared" si="354"/>
        <v>0</v>
      </c>
      <c r="AK3135" s="2">
        <f t="shared" si="364"/>
        <v>20.66</v>
      </c>
      <c r="AL3135" s="5">
        <f t="shared" si="365"/>
        <v>0.4919047619047619</v>
      </c>
    </row>
    <row r="3136" spans="1:38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7">6.6267*S3136</f>
        <v>6.6266999999999996</v>
      </c>
      <c r="X3136" s="5">
        <f t="shared" si="366"/>
        <v>0.44777500000000003</v>
      </c>
      <c r="Z3136" s="2" t="s">
        <v>3237</v>
      </c>
      <c r="AA3136" s="2" t="s">
        <v>46</v>
      </c>
      <c r="AB3136" s="2" t="s">
        <v>47</v>
      </c>
      <c r="AC3136" s="2" t="s">
        <v>48</v>
      </c>
      <c r="AF3136" s="2">
        <f t="shared" si="353"/>
        <v>0</v>
      </c>
      <c r="AG3136" s="2">
        <v>6.6266999999999996</v>
      </c>
      <c r="AH3136" s="2">
        <v>12</v>
      </c>
      <c r="AJ3136" s="2">
        <f t="shared" si="354"/>
        <v>0</v>
      </c>
      <c r="AK3136" s="2">
        <f t="shared" si="364"/>
        <v>5.3733000000000004</v>
      </c>
      <c r="AL3136" s="5">
        <f t="shared" si="365"/>
        <v>0.44777500000000003</v>
      </c>
    </row>
    <row r="3137" spans="1:38" x14ac:dyDescent="0.2">
      <c r="A3137" s="2">
        <v>2026</v>
      </c>
      <c r="B3137" s="2">
        <v>2</v>
      </c>
      <c r="D3137" s="2" t="s">
        <v>1024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1561</v>
      </c>
      <c r="J3137" s="2" t="s">
        <v>2533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7"/>
        <v>6.6266999999999996</v>
      </c>
      <c r="X3137" s="5">
        <f t="shared" si="366"/>
        <v>0.49025384615384621</v>
      </c>
      <c r="Z3137" s="2" t="s">
        <v>3237</v>
      </c>
      <c r="AA3137" s="2" t="s">
        <v>46</v>
      </c>
      <c r="AB3137" s="2" t="s">
        <v>47</v>
      </c>
      <c r="AC3137" s="2" t="s">
        <v>48</v>
      </c>
      <c r="AF3137" s="2">
        <f t="shared" si="353"/>
        <v>0</v>
      </c>
      <c r="AG3137" s="2">
        <v>6.6266999999999996</v>
      </c>
      <c r="AH3137" s="2">
        <v>12</v>
      </c>
      <c r="AJ3137" s="2">
        <f t="shared" si="354"/>
        <v>0</v>
      </c>
      <c r="AK3137" s="2">
        <f t="shared" si="364"/>
        <v>6.3733000000000004</v>
      </c>
      <c r="AL3137" s="5">
        <f t="shared" si="365"/>
        <v>0.49025384615384621</v>
      </c>
    </row>
    <row r="3138" spans="1:38" x14ac:dyDescent="0.2">
      <c r="A3138" s="2">
        <v>2026</v>
      </c>
      <c r="B3138" s="2">
        <v>2</v>
      </c>
      <c r="D3138" s="2" t="s">
        <v>1401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3227</v>
      </c>
      <c r="J3138" s="2" t="s">
        <v>3226</v>
      </c>
      <c r="K3138" s="2">
        <v>913814877</v>
      </c>
      <c r="L3138" s="2" t="s">
        <v>202</v>
      </c>
      <c r="M3138" s="2" t="s">
        <v>81</v>
      </c>
      <c r="O3138" s="2" t="s">
        <v>3223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7"/>
        <v>13.253399999999999</v>
      </c>
      <c r="X3138" s="5">
        <f t="shared" si="366"/>
        <v>0.44777500000000003</v>
      </c>
      <c r="Z3138" s="2" t="s">
        <v>3237</v>
      </c>
      <c r="AA3138" s="2" t="s">
        <v>46</v>
      </c>
      <c r="AB3138" s="2" t="s">
        <v>47</v>
      </c>
      <c r="AC3138" s="2" t="s">
        <v>48</v>
      </c>
      <c r="AF3138" s="2">
        <f t="shared" si="353"/>
        <v>0</v>
      </c>
      <c r="AG3138" s="2">
        <v>6.6266999999999996</v>
      </c>
      <c r="AH3138" s="2">
        <v>12</v>
      </c>
      <c r="AJ3138" s="2">
        <f t="shared" si="354"/>
        <v>0</v>
      </c>
      <c r="AK3138" s="2">
        <f t="shared" si="364"/>
        <v>10.746600000000001</v>
      </c>
      <c r="AL3138" s="5">
        <f t="shared" si="365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3143</v>
      </c>
      <c r="L3139" s="2" t="s">
        <v>178</v>
      </c>
      <c r="M3139" s="2" t="s">
        <v>41</v>
      </c>
      <c r="O3139" s="2" t="s">
        <v>3150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7"/>
        <v>19.880099999999999</v>
      </c>
      <c r="X3139" s="5">
        <f t="shared" si="366"/>
        <v>0.44777500000000003</v>
      </c>
      <c r="Z3139" s="2" t="s">
        <v>3237</v>
      </c>
      <c r="AA3139" s="2" t="s">
        <v>46</v>
      </c>
      <c r="AB3139" s="2" t="s">
        <v>47</v>
      </c>
      <c r="AC3139" s="2" t="s">
        <v>48</v>
      </c>
      <c r="AF3139" s="2">
        <f t="shared" ref="AF3139:AF3202" si="368">AJ3139</f>
        <v>0</v>
      </c>
      <c r="AG3139" s="2">
        <v>6.6266999999999996</v>
      </c>
      <c r="AH3139" s="2">
        <v>12</v>
      </c>
      <c r="AJ3139" s="2">
        <f t="shared" ref="AJ3139:AJ3202" si="369">AI3139*T3139</f>
        <v>0</v>
      </c>
      <c r="AK3139" s="2">
        <f t="shared" si="364"/>
        <v>16.119900000000001</v>
      </c>
      <c r="AL3139" s="5">
        <f t="shared" si="365"/>
        <v>0.44777500000000003</v>
      </c>
    </row>
    <row r="3140" spans="1:38" x14ac:dyDescent="0.2">
      <c r="A3140" s="2">
        <v>2026</v>
      </c>
      <c r="B3140" s="2">
        <v>2</v>
      </c>
      <c r="D3140" s="2" t="s">
        <v>2534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7"/>
        <v>13.253399999999999</v>
      </c>
      <c r="X3140" s="5">
        <f t="shared" si="366"/>
        <v>0.44777500000000003</v>
      </c>
      <c r="Z3140" s="2" t="s">
        <v>3237</v>
      </c>
      <c r="AA3140" s="2" t="s">
        <v>46</v>
      </c>
      <c r="AB3140" s="2" t="s">
        <v>47</v>
      </c>
      <c r="AC3140" s="2" t="s">
        <v>48</v>
      </c>
      <c r="AF3140" s="2">
        <f t="shared" si="368"/>
        <v>0</v>
      </c>
      <c r="AG3140" s="2">
        <v>6.6266999999999996</v>
      </c>
      <c r="AH3140" s="2">
        <v>12</v>
      </c>
      <c r="AJ3140" s="2">
        <f t="shared" si="369"/>
        <v>0</v>
      </c>
      <c r="AK3140" s="2">
        <f t="shared" si="364"/>
        <v>10.746600000000001</v>
      </c>
      <c r="AL3140" s="5">
        <f t="shared" si="365"/>
        <v>0.44777500000000003</v>
      </c>
    </row>
    <row r="3141" spans="1:38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7"/>
        <v>6.6266999999999996</v>
      </c>
      <c r="X3141" s="5">
        <f t="shared" si="366"/>
        <v>0.44777500000000003</v>
      </c>
      <c r="Z3141" s="2" t="s">
        <v>3237</v>
      </c>
      <c r="AA3141" s="2" t="s">
        <v>46</v>
      </c>
      <c r="AB3141" s="2" t="s">
        <v>47</v>
      </c>
      <c r="AC3141" s="2" t="s">
        <v>48</v>
      </c>
      <c r="AF3141" s="2">
        <f t="shared" si="368"/>
        <v>0</v>
      </c>
      <c r="AG3141" s="2">
        <v>6.6266999999999996</v>
      </c>
      <c r="AH3141" s="2">
        <v>12</v>
      </c>
      <c r="AJ3141" s="2">
        <f t="shared" si="369"/>
        <v>0</v>
      </c>
      <c r="AK3141" s="2">
        <f t="shared" si="364"/>
        <v>5.3733000000000004</v>
      </c>
      <c r="AL3141" s="5">
        <f t="shared" si="365"/>
        <v>0.44777500000000003</v>
      </c>
    </row>
    <row r="3142" spans="1:38" x14ac:dyDescent="0.2">
      <c r="A3142" s="2">
        <v>2026</v>
      </c>
      <c r="B3142" s="2">
        <v>2</v>
      </c>
      <c r="D3142" s="2" t="s">
        <v>1909</v>
      </c>
      <c r="P3142" s="2" t="s">
        <v>43</v>
      </c>
      <c r="Q3142" s="2" t="s">
        <v>1367</v>
      </c>
      <c r="R3142" s="2" t="s">
        <v>1368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0">9.75*S3142</f>
        <v>9.75</v>
      </c>
      <c r="X3142" s="5">
        <f t="shared" si="366"/>
        <v>0.71491228070175439</v>
      </c>
      <c r="Z3142" s="2" t="s">
        <v>3237</v>
      </c>
      <c r="AA3142" s="2" t="s">
        <v>46</v>
      </c>
      <c r="AB3142" s="2" t="s">
        <v>47</v>
      </c>
      <c r="AC3142" s="2" t="s">
        <v>48</v>
      </c>
      <c r="AF3142" s="2">
        <f t="shared" si="368"/>
        <v>0</v>
      </c>
      <c r="AJ3142" s="2">
        <f t="shared" si="369"/>
        <v>0</v>
      </c>
      <c r="AK3142" s="2">
        <f t="shared" si="364"/>
        <v>24.450000000000003</v>
      </c>
      <c r="AL3142" s="5">
        <f t="shared" si="365"/>
        <v>0.71491228070175439</v>
      </c>
    </row>
    <row r="3143" spans="1:38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1367</v>
      </c>
      <c r="R3143" s="2" t="s">
        <v>1368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0"/>
        <v>9.75</v>
      </c>
      <c r="X3143" s="5">
        <f t="shared" si="366"/>
        <v>0.71491228070175439</v>
      </c>
      <c r="Z3143" s="2" t="s">
        <v>3237</v>
      </c>
      <c r="AA3143" s="2" t="s">
        <v>46</v>
      </c>
      <c r="AB3143" s="2" t="s">
        <v>47</v>
      </c>
      <c r="AC3143" s="2" t="s">
        <v>48</v>
      </c>
      <c r="AF3143" s="2">
        <f t="shared" si="368"/>
        <v>0</v>
      </c>
      <c r="AJ3143" s="2">
        <f t="shared" si="369"/>
        <v>0</v>
      </c>
      <c r="AK3143" s="2">
        <f t="shared" si="364"/>
        <v>24.450000000000003</v>
      </c>
      <c r="AL3143" s="5">
        <f t="shared" si="365"/>
        <v>0.71491228070175439</v>
      </c>
    </row>
    <row r="3144" spans="1:38" x14ac:dyDescent="0.2">
      <c r="A3144" s="2">
        <v>2026</v>
      </c>
      <c r="B3144" s="2">
        <v>2</v>
      </c>
      <c r="D3144" s="2" t="s">
        <v>1909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1">11.295*S3144</f>
        <v>22.59</v>
      </c>
      <c r="X3144" s="5">
        <f t="shared" si="366"/>
        <v>0.68624999999999992</v>
      </c>
      <c r="Z3144" s="2" t="s">
        <v>3237</v>
      </c>
      <c r="AA3144" s="2" t="s">
        <v>46</v>
      </c>
      <c r="AB3144" s="2" t="s">
        <v>47</v>
      </c>
      <c r="AC3144" s="2" t="s">
        <v>48</v>
      </c>
      <c r="AF3144" s="2">
        <f t="shared" si="368"/>
        <v>0</v>
      </c>
      <c r="AJ3144" s="2">
        <f t="shared" si="369"/>
        <v>0</v>
      </c>
      <c r="AK3144" s="2">
        <f t="shared" si="364"/>
        <v>49.41</v>
      </c>
      <c r="AL3144" s="5">
        <f t="shared" si="365"/>
        <v>0.68624999999999992</v>
      </c>
    </row>
    <row r="3145" spans="1:38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1"/>
        <v>11.295</v>
      </c>
      <c r="X3145" s="5">
        <f t="shared" si="366"/>
        <v>0.68624999999999992</v>
      </c>
      <c r="Z3145" s="2" t="s">
        <v>3237</v>
      </c>
      <c r="AA3145" s="2" t="s">
        <v>46</v>
      </c>
      <c r="AB3145" s="2" t="s">
        <v>47</v>
      </c>
      <c r="AC3145" s="2" t="s">
        <v>48</v>
      </c>
      <c r="AF3145" s="2">
        <f t="shared" si="368"/>
        <v>0</v>
      </c>
      <c r="AJ3145" s="2">
        <f t="shared" si="369"/>
        <v>0</v>
      </c>
      <c r="AK3145" s="2">
        <f t="shared" si="364"/>
        <v>24.704999999999998</v>
      </c>
      <c r="AL3145" s="5">
        <f t="shared" si="365"/>
        <v>0.68624999999999992</v>
      </c>
    </row>
    <row r="3146" spans="1:38" x14ac:dyDescent="0.2">
      <c r="A3146" s="2">
        <v>2026</v>
      </c>
      <c r="B3146" s="2">
        <v>2</v>
      </c>
      <c r="D3146" s="2" t="s">
        <v>1116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1117</v>
      </c>
      <c r="J3146" s="2" t="s">
        <v>1118</v>
      </c>
      <c r="K3146" s="2">
        <v>914550474</v>
      </c>
      <c r="L3146" s="2" t="s">
        <v>100</v>
      </c>
      <c r="M3146" s="2" t="s">
        <v>81</v>
      </c>
      <c r="O3146" s="2" t="s">
        <v>2535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6"/>
        <v>0.59037280701754391</v>
      </c>
      <c r="Z3146" s="2" t="s">
        <v>3237</v>
      </c>
      <c r="AA3146" s="2" t="s">
        <v>46</v>
      </c>
      <c r="AB3146" s="2" t="s">
        <v>47</v>
      </c>
      <c r="AC3146" s="2" t="s">
        <v>48</v>
      </c>
      <c r="AF3146" s="2">
        <f t="shared" si="368"/>
        <v>0</v>
      </c>
      <c r="AG3146" s="2">
        <v>3.7357999999999998</v>
      </c>
      <c r="AH3146" s="2">
        <v>9</v>
      </c>
      <c r="AJ3146" s="2">
        <f t="shared" si="369"/>
        <v>0</v>
      </c>
      <c r="AK3146" s="2">
        <f t="shared" si="364"/>
        <v>26.921000000000003</v>
      </c>
      <c r="AL3146" s="5">
        <f t="shared" si="365"/>
        <v>0.59037280701754391</v>
      </c>
    </row>
    <row r="3147" spans="1:38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2424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66"/>
        <v>0.47844827586206895</v>
      </c>
      <c r="Z3147" s="2" t="s">
        <v>3237</v>
      </c>
      <c r="AA3147" s="2" t="s">
        <v>46</v>
      </c>
      <c r="AB3147" s="2" t="s">
        <v>57</v>
      </c>
      <c r="AC3147" s="2" t="s">
        <v>58</v>
      </c>
      <c r="AF3147" s="2">
        <f t="shared" si="368"/>
        <v>0</v>
      </c>
      <c r="AJ3147" s="2">
        <f t="shared" si="369"/>
        <v>0</v>
      </c>
      <c r="AK3147" s="2">
        <f t="shared" si="364"/>
        <v>8.3249999999999993</v>
      </c>
      <c r="AL3147" s="5">
        <f t="shared" si="365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6"/>
        <v>0.53121428571428575</v>
      </c>
      <c r="Z3148" s="2" t="s">
        <v>3237</v>
      </c>
      <c r="AA3148" s="2" t="s">
        <v>46</v>
      </c>
      <c r="AB3148" s="2" t="s">
        <v>57</v>
      </c>
      <c r="AC3148" s="2" t="s">
        <v>58</v>
      </c>
      <c r="AF3148" s="2">
        <f t="shared" si="368"/>
        <v>0</v>
      </c>
      <c r="AG3148" s="2">
        <v>5.9066999999999998</v>
      </c>
      <c r="AH3148" s="2">
        <v>12.6</v>
      </c>
      <c r="AJ3148" s="2">
        <f t="shared" si="369"/>
        <v>0</v>
      </c>
      <c r="AK3148" s="2">
        <f t="shared" si="364"/>
        <v>6.6932999999999998</v>
      </c>
      <c r="AL3148" s="5">
        <f t="shared" si="365"/>
        <v>0.53121428571428575</v>
      </c>
    </row>
    <row r="3149" spans="1:38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2424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6"/>
        <v>1</v>
      </c>
      <c r="Z3149" s="2" t="s">
        <v>3237</v>
      </c>
      <c r="AA3149" s="2" t="s">
        <v>46</v>
      </c>
      <c r="AB3149" s="2" t="s">
        <v>57</v>
      </c>
      <c r="AC3149" s="2" t="s">
        <v>58</v>
      </c>
      <c r="AF3149" s="2">
        <f t="shared" si="368"/>
        <v>0</v>
      </c>
      <c r="AJ3149" s="2">
        <f t="shared" si="369"/>
        <v>0</v>
      </c>
      <c r="AK3149" s="2">
        <f t="shared" si="364"/>
        <v>21</v>
      </c>
      <c r="AL3149" s="5">
        <f t="shared" si="365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6"/>
        <v>0.49849305555555556</v>
      </c>
      <c r="Z3150" s="2" t="s">
        <v>3237</v>
      </c>
      <c r="AA3150" s="2" t="s">
        <v>46</v>
      </c>
      <c r="AB3150" s="2" t="s">
        <v>57</v>
      </c>
      <c r="AC3150" s="2" t="s">
        <v>58</v>
      </c>
      <c r="AF3150" s="2">
        <f t="shared" si="368"/>
        <v>0</v>
      </c>
      <c r="AG3150" s="2">
        <v>7.2217000000000002</v>
      </c>
      <c r="AH3150" s="2">
        <v>14.4</v>
      </c>
      <c r="AJ3150" s="2">
        <f t="shared" si="369"/>
        <v>0</v>
      </c>
      <c r="AK3150" s="2">
        <f t="shared" si="364"/>
        <v>7.1783000000000001</v>
      </c>
      <c r="AL3150" s="5">
        <f t="shared" si="365"/>
        <v>0.49849305555555556</v>
      </c>
    </row>
    <row r="3151" spans="1:38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2424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6"/>
        <v>1</v>
      </c>
      <c r="Z3151" s="2" t="s">
        <v>3237</v>
      </c>
      <c r="AA3151" s="2" t="s">
        <v>46</v>
      </c>
      <c r="AB3151" s="2" t="s">
        <v>57</v>
      </c>
      <c r="AC3151" s="2" t="s">
        <v>58</v>
      </c>
      <c r="AF3151" s="2">
        <f t="shared" si="368"/>
        <v>0</v>
      </c>
      <c r="AJ3151" s="2">
        <f t="shared" si="369"/>
        <v>0</v>
      </c>
      <c r="AK3151" s="2">
        <f t="shared" si="364"/>
        <v>30</v>
      </c>
      <c r="AL3151" s="5">
        <f t="shared" si="365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66"/>
        <v>0.47844827586206895</v>
      </c>
      <c r="Z3152" s="2" t="s">
        <v>3237</v>
      </c>
      <c r="AA3152" s="2" t="s">
        <v>46</v>
      </c>
      <c r="AB3152" s="2" t="s">
        <v>57</v>
      </c>
      <c r="AC3152" s="2" t="s">
        <v>58</v>
      </c>
      <c r="AF3152" s="2">
        <f t="shared" si="368"/>
        <v>0</v>
      </c>
      <c r="AJ3152" s="2">
        <f t="shared" si="369"/>
        <v>0</v>
      </c>
      <c r="AK3152" s="2">
        <f t="shared" si="364"/>
        <v>8.3249999999999993</v>
      </c>
      <c r="AL3152" s="5">
        <f t="shared" si="365"/>
        <v>0.47844827586206895</v>
      </c>
    </row>
    <row r="3153" spans="1:38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2536</v>
      </c>
      <c r="P3153" s="2" t="s">
        <v>115</v>
      </c>
      <c r="Q3153" s="2" t="s">
        <v>2537</v>
      </c>
      <c r="R3153" s="2" t="s">
        <v>2538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6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8"/>
        <v>0</v>
      </c>
      <c r="AG3153" s="2">
        <v>120.81</v>
      </c>
      <c r="AJ3153" s="2">
        <f t="shared" si="369"/>
        <v>0</v>
      </c>
      <c r="AK3153" s="2">
        <f t="shared" si="364"/>
        <v>142.92000000000002</v>
      </c>
      <c r="AL3153" s="5">
        <f t="shared" si="365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6"/>
        <v>1</v>
      </c>
      <c r="Z3154" s="2" t="s">
        <v>3237</v>
      </c>
      <c r="AA3154" s="2" t="s">
        <v>46</v>
      </c>
      <c r="AB3154" s="2" t="s">
        <v>57</v>
      </c>
      <c r="AC3154" s="2" t="s">
        <v>58</v>
      </c>
      <c r="AF3154" s="2">
        <f t="shared" si="368"/>
        <v>0</v>
      </c>
      <c r="AJ3154" s="2">
        <f t="shared" si="369"/>
        <v>0</v>
      </c>
      <c r="AK3154" s="2">
        <f t="shared" si="364"/>
        <v>21</v>
      </c>
      <c r="AL3154" s="5">
        <f t="shared" si="365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3237</v>
      </c>
      <c r="AA3155" s="2" t="s">
        <v>46</v>
      </c>
      <c r="AB3155" s="2" t="s">
        <v>57</v>
      </c>
      <c r="AC3155" s="2" t="s">
        <v>58</v>
      </c>
      <c r="AF3155" s="2">
        <f t="shared" si="368"/>
        <v>0</v>
      </c>
      <c r="AJ3155" s="2">
        <f t="shared" si="369"/>
        <v>0</v>
      </c>
      <c r="AK3155" s="2">
        <f t="shared" si="364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3237</v>
      </c>
      <c r="AA3156" s="2" t="s">
        <v>46</v>
      </c>
      <c r="AB3156" s="2" t="s">
        <v>57</v>
      </c>
      <c r="AC3156" s="2" t="s">
        <v>58</v>
      </c>
      <c r="AF3156" s="2">
        <f t="shared" si="368"/>
        <v>0</v>
      </c>
      <c r="AJ3156" s="2">
        <f t="shared" si="369"/>
        <v>0</v>
      </c>
      <c r="AK3156" s="2">
        <f t="shared" si="364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3237</v>
      </c>
      <c r="AA3157" s="2" t="s">
        <v>46</v>
      </c>
      <c r="AB3157" s="2" t="s">
        <v>57</v>
      </c>
      <c r="AC3157" s="2" t="s">
        <v>58</v>
      </c>
      <c r="AF3157" s="2">
        <f t="shared" si="368"/>
        <v>0</v>
      </c>
      <c r="AJ3157" s="2">
        <f t="shared" si="369"/>
        <v>0</v>
      </c>
      <c r="AK3157" s="2">
        <f t="shared" si="364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2449</v>
      </c>
      <c r="P3158" s="2" t="s">
        <v>115</v>
      </c>
      <c r="Q3158" s="2" t="s">
        <v>2107</v>
      </c>
      <c r="R3158" s="2" t="s">
        <v>2108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8"/>
        <v>0</v>
      </c>
      <c r="AG3158" s="2">
        <v>42.23</v>
      </c>
      <c r="AJ3158" s="2">
        <f t="shared" si="369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3237</v>
      </c>
      <c r="AA3159" s="2" t="s">
        <v>46</v>
      </c>
      <c r="AB3159" s="2" t="s">
        <v>57</v>
      </c>
      <c r="AC3159" s="2" t="s">
        <v>58</v>
      </c>
      <c r="AF3159" s="2">
        <f t="shared" si="368"/>
        <v>0</v>
      </c>
      <c r="AJ3159" s="2">
        <f t="shared" si="369"/>
        <v>0</v>
      </c>
      <c r="AK3159" s="2">
        <f t="shared" ref="AK3159:AK3190" si="372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3237</v>
      </c>
      <c r="AA3160" s="2" t="s">
        <v>46</v>
      </c>
      <c r="AB3160" s="2" t="s">
        <v>57</v>
      </c>
      <c r="AC3160" s="2" t="s">
        <v>58</v>
      </c>
      <c r="AF3160" s="2">
        <f t="shared" si="368"/>
        <v>0</v>
      </c>
      <c r="AJ3160" s="2">
        <f t="shared" si="369"/>
        <v>0</v>
      </c>
      <c r="AK3160" s="2">
        <f t="shared" si="372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3">(T3161-W3161)/T3161</f>
        <v>0.26896551724137935</v>
      </c>
      <c r="Z3161" s="2" t="s">
        <v>3237</v>
      </c>
      <c r="AA3161" s="2" t="s">
        <v>46</v>
      </c>
      <c r="AB3161" s="2" t="s">
        <v>57</v>
      </c>
      <c r="AC3161" s="2" t="s">
        <v>58</v>
      </c>
      <c r="AF3161" s="2">
        <f t="shared" si="368"/>
        <v>0</v>
      </c>
      <c r="AG3161" s="2">
        <v>10.6</v>
      </c>
      <c r="AH3161" s="2">
        <v>18</v>
      </c>
      <c r="AJ3161" s="2">
        <f t="shared" si="369"/>
        <v>0</v>
      </c>
      <c r="AK3161" s="2">
        <f t="shared" si="372"/>
        <v>15.600000000000001</v>
      </c>
      <c r="AL3161" s="5">
        <f t="shared" ref="AL3161:AL3169" si="374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3124</v>
      </c>
      <c r="J3162" s="2" t="s">
        <v>3125</v>
      </c>
      <c r="L3162" s="2" t="s">
        <v>113</v>
      </c>
      <c r="M3162" s="2" t="s">
        <v>110</v>
      </c>
      <c r="O3162" s="2" t="s">
        <v>3128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3"/>
        <v>0.41111111111111115</v>
      </c>
      <c r="Z3162" s="2" t="s">
        <v>3237</v>
      </c>
      <c r="AA3162" s="2" t="s">
        <v>46</v>
      </c>
      <c r="AB3162" s="2" t="s">
        <v>57</v>
      </c>
      <c r="AC3162" s="2" t="s">
        <v>58</v>
      </c>
      <c r="AF3162" s="2">
        <f t="shared" si="368"/>
        <v>0</v>
      </c>
      <c r="AG3162" s="2">
        <v>10.6</v>
      </c>
      <c r="AH3162" s="2">
        <v>18</v>
      </c>
      <c r="AJ3162" s="2">
        <f t="shared" si="369"/>
        <v>0</v>
      </c>
      <c r="AK3162" s="2">
        <f t="shared" si="372"/>
        <v>22.200000000000003</v>
      </c>
      <c r="AL3162" s="5">
        <f t="shared" si="374"/>
        <v>0.41111111111111115</v>
      </c>
    </row>
    <row r="3163" spans="1:38" x14ac:dyDescent="0.2">
      <c r="A3163" s="2">
        <v>2026</v>
      </c>
      <c r="B3163" s="2">
        <v>2</v>
      </c>
      <c r="D3163" s="2" t="s">
        <v>2539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3"/>
        <v>0.24285714285714285</v>
      </c>
      <c r="Z3163" s="2" t="s">
        <v>3237</v>
      </c>
      <c r="AA3163" s="2" t="s">
        <v>46</v>
      </c>
      <c r="AB3163" s="2" t="s">
        <v>57</v>
      </c>
      <c r="AC3163" s="2" t="s">
        <v>58</v>
      </c>
      <c r="AF3163" s="2">
        <f t="shared" si="368"/>
        <v>0</v>
      </c>
      <c r="AG3163" s="2">
        <v>10.6</v>
      </c>
      <c r="AH3163" s="2">
        <v>18</v>
      </c>
      <c r="AJ3163" s="2">
        <f t="shared" si="369"/>
        <v>0</v>
      </c>
      <c r="AK3163" s="2">
        <f t="shared" si="372"/>
        <v>34</v>
      </c>
      <c r="AL3163" s="5">
        <f t="shared" si="374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3"/>
        <v>0.41111111111111115</v>
      </c>
      <c r="Z3164" s="2" t="s">
        <v>3237</v>
      </c>
      <c r="AA3164" s="2" t="s">
        <v>46</v>
      </c>
      <c r="AB3164" s="2" t="s">
        <v>57</v>
      </c>
      <c r="AC3164" s="2" t="s">
        <v>58</v>
      </c>
      <c r="AF3164" s="2">
        <f t="shared" si="368"/>
        <v>0</v>
      </c>
      <c r="AG3164" s="2">
        <v>10.6</v>
      </c>
      <c r="AH3164" s="2">
        <v>18</v>
      </c>
      <c r="AJ3164" s="2">
        <f t="shared" si="369"/>
        <v>0</v>
      </c>
      <c r="AK3164" s="2">
        <f t="shared" si="372"/>
        <v>7.4</v>
      </c>
      <c r="AL3164" s="5">
        <f t="shared" si="374"/>
        <v>0.41111111111111115</v>
      </c>
    </row>
    <row r="3165" spans="1:38" x14ac:dyDescent="0.2">
      <c r="A3165" s="2">
        <v>2026</v>
      </c>
      <c r="B3165" s="2">
        <v>2</v>
      </c>
      <c r="D3165" s="2" t="s">
        <v>1024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1561</v>
      </c>
      <c r="J3165" s="2" t="s">
        <v>2533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3"/>
        <v>0.41111111111111115</v>
      </c>
      <c r="Z3165" s="2" t="s">
        <v>3237</v>
      </c>
      <c r="AA3165" s="2" t="s">
        <v>46</v>
      </c>
      <c r="AB3165" s="2" t="s">
        <v>57</v>
      </c>
      <c r="AC3165" s="2" t="s">
        <v>58</v>
      </c>
      <c r="AF3165" s="2">
        <f t="shared" si="368"/>
        <v>0</v>
      </c>
      <c r="AG3165" s="2">
        <v>10.6</v>
      </c>
      <c r="AH3165" s="2">
        <v>18</v>
      </c>
      <c r="AJ3165" s="2">
        <f t="shared" si="369"/>
        <v>0</v>
      </c>
      <c r="AK3165" s="2">
        <f t="shared" si="372"/>
        <v>14.8</v>
      </c>
      <c r="AL3165" s="5">
        <f t="shared" si="374"/>
        <v>0.41111111111111115</v>
      </c>
    </row>
    <row r="3166" spans="1:38" x14ac:dyDescent="0.2">
      <c r="A3166" s="2">
        <v>2026</v>
      </c>
      <c r="B3166" s="2">
        <v>2</v>
      </c>
      <c r="D3166" s="2" t="s">
        <v>1024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1561</v>
      </c>
      <c r="J3166" s="2" t="s">
        <v>2533</v>
      </c>
      <c r="L3166" s="2" t="s">
        <v>178</v>
      </c>
      <c r="M3166" s="2" t="s">
        <v>41</v>
      </c>
      <c r="O3166" s="2" t="s">
        <v>2540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3"/>
        <v>0.34714285714285725</v>
      </c>
      <c r="Z3166" s="2" t="s">
        <v>3237</v>
      </c>
      <c r="AA3166" s="2" t="s">
        <v>46</v>
      </c>
      <c r="AB3166" s="2" t="s">
        <v>61</v>
      </c>
      <c r="AC3166" s="2" t="s">
        <v>58</v>
      </c>
      <c r="AF3166" s="2">
        <f t="shared" si="368"/>
        <v>0</v>
      </c>
      <c r="AG3166" s="2">
        <v>9.14</v>
      </c>
      <c r="AH3166" s="2">
        <v>16</v>
      </c>
      <c r="AJ3166" s="2">
        <f t="shared" si="369"/>
        <v>0</v>
      </c>
      <c r="AK3166" s="2">
        <f t="shared" si="372"/>
        <v>4.8600000000000012</v>
      </c>
      <c r="AL3166" s="5">
        <f t="shared" si="374"/>
        <v>0.34714285714285725</v>
      </c>
    </row>
    <row r="3167" spans="1:38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2541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3"/>
        <v>0.29692307692307701</v>
      </c>
      <c r="Z3167" s="2" t="s">
        <v>3237</v>
      </c>
      <c r="AA3167" s="2" t="s">
        <v>46</v>
      </c>
      <c r="AB3167" s="2" t="s">
        <v>61</v>
      </c>
      <c r="AC3167" s="2" t="s">
        <v>58</v>
      </c>
      <c r="AF3167" s="2">
        <f t="shared" si="368"/>
        <v>0</v>
      </c>
      <c r="AG3167" s="2">
        <v>9.14</v>
      </c>
      <c r="AH3167" s="2">
        <v>16</v>
      </c>
      <c r="AJ3167" s="2">
        <f t="shared" si="369"/>
        <v>0</v>
      </c>
      <c r="AK3167" s="2">
        <f t="shared" si="372"/>
        <v>7.7200000000000024</v>
      </c>
      <c r="AL3167" s="5">
        <f t="shared" si="374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5">0.082*S3168</f>
        <v>155.80000000000001</v>
      </c>
      <c r="X3168" s="5">
        <f t="shared" si="373"/>
        <v>0.25454545454545446</v>
      </c>
      <c r="Z3168" s="2" t="s">
        <v>3237</v>
      </c>
      <c r="AA3168" s="2" t="s">
        <v>46</v>
      </c>
      <c r="AB3168" s="2" t="s">
        <v>61</v>
      </c>
      <c r="AC3168" s="2" t="s">
        <v>58</v>
      </c>
      <c r="AF3168" s="2">
        <f t="shared" si="368"/>
        <v>0</v>
      </c>
      <c r="AG3168" s="2">
        <v>8.1999999999999993</v>
      </c>
      <c r="AH3168" s="2">
        <v>13</v>
      </c>
      <c r="AJ3168" s="2">
        <f t="shared" si="369"/>
        <v>0</v>
      </c>
      <c r="AK3168" s="2">
        <f t="shared" si="372"/>
        <v>53.199999999999989</v>
      </c>
      <c r="AL3168" s="5">
        <f t="shared" si="374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5"/>
        <v>16.400000000000002</v>
      </c>
      <c r="X3169" s="5">
        <f t="shared" si="373"/>
        <v>0.36923076923076914</v>
      </c>
      <c r="Z3169" s="2" t="s">
        <v>3237</v>
      </c>
      <c r="AA3169" s="2" t="s">
        <v>46</v>
      </c>
      <c r="AB3169" s="2" t="s">
        <v>61</v>
      </c>
      <c r="AC3169" s="2" t="s">
        <v>58</v>
      </c>
      <c r="AF3169" s="2">
        <f t="shared" si="368"/>
        <v>0</v>
      </c>
      <c r="AG3169" s="2">
        <v>8.1999999999999993</v>
      </c>
      <c r="AH3169" s="2">
        <v>13</v>
      </c>
      <c r="AJ3169" s="2">
        <f t="shared" si="369"/>
        <v>0</v>
      </c>
      <c r="AK3169" s="2">
        <f t="shared" si="372"/>
        <v>9.5999999999999979</v>
      </c>
      <c r="AL3169" s="5">
        <f t="shared" si="374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3237</v>
      </c>
      <c r="AA3170" s="2" t="s">
        <v>46</v>
      </c>
      <c r="AB3170" s="2" t="s">
        <v>61</v>
      </c>
      <c r="AC3170" s="2" t="s">
        <v>58</v>
      </c>
      <c r="AF3170" s="2">
        <f t="shared" si="368"/>
        <v>0</v>
      </c>
      <c r="AG3170" s="2">
        <v>8.1999999999999993</v>
      </c>
      <c r="AH3170" s="2">
        <v>13</v>
      </c>
      <c r="AJ3170" s="2">
        <f t="shared" si="369"/>
        <v>0</v>
      </c>
      <c r="AK3170" s="2">
        <f t="shared" si="372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2542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5"/>
        <v>16.400000000000002</v>
      </c>
      <c r="X3171" s="5">
        <f t="shared" ref="X3171:X3181" si="376">(T3171-W3171)/T3171</f>
        <v>0.3166666666666666</v>
      </c>
      <c r="Z3171" s="2" t="s">
        <v>3237</v>
      </c>
      <c r="AA3171" s="2" t="s">
        <v>46</v>
      </c>
      <c r="AB3171" s="2" t="s">
        <v>61</v>
      </c>
      <c r="AC3171" s="2" t="s">
        <v>58</v>
      </c>
      <c r="AF3171" s="2">
        <f t="shared" si="368"/>
        <v>0</v>
      </c>
      <c r="AG3171" s="2">
        <v>8.1999999999999993</v>
      </c>
      <c r="AH3171" s="2">
        <v>13</v>
      </c>
      <c r="AJ3171" s="2">
        <f t="shared" si="369"/>
        <v>0</v>
      </c>
      <c r="AK3171" s="2">
        <f t="shared" si="372"/>
        <v>7.5999999999999979</v>
      </c>
      <c r="AL3171" s="5">
        <f t="shared" ref="AL3171:AL3181" si="377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1024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1561</v>
      </c>
      <c r="J3172" s="2" t="s">
        <v>2533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5"/>
        <v>8.2000000000000011</v>
      </c>
      <c r="X3172" s="5">
        <f t="shared" si="376"/>
        <v>0.36923076923076914</v>
      </c>
      <c r="Z3172" s="2" t="s">
        <v>3237</v>
      </c>
      <c r="AA3172" s="2" t="s">
        <v>46</v>
      </c>
      <c r="AB3172" s="2" t="s">
        <v>61</v>
      </c>
      <c r="AC3172" s="2" t="s">
        <v>58</v>
      </c>
      <c r="AF3172" s="2">
        <f t="shared" si="368"/>
        <v>0</v>
      </c>
      <c r="AG3172" s="2">
        <v>8.1999999999999993</v>
      </c>
      <c r="AH3172" s="2">
        <v>13</v>
      </c>
      <c r="AJ3172" s="2">
        <f t="shared" si="369"/>
        <v>0</v>
      </c>
      <c r="AK3172" s="2">
        <f t="shared" si="372"/>
        <v>4.7999999999999989</v>
      </c>
      <c r="AL3172" s="5">
        <f t="shared" si="377"/>
        <v>0.36923076923076914</v>
      </c>
    </row>
    <row r="3173" spans="1:38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5"/>
        <v>8.2000000000000011</v>
      </c>
      <c r="X3173" s="5">
        <f t="shared" si="376"/>
        <v>0.3166666666666666</v>
      </c>
      <c r="Z3173" s="2" t="s">
        <v>3237</v>
      </c>
      <c r="AA3173" s="2" t="s">
        <v>46</v>
      </c>
      <c r="AB3173" s="2" t="s">
        <v>61</v>
      </c>
      <c r="AC3173" s="2" t="s">
        <v>58</v>
      </c>
      <c r="AF3173" s="2">
        <f t="shared" si="368"/>
        <v>0</v>
      </c>
      <c r="AG3173" s="2">
        <v>8.1999999999999993</v>
      </c>
      <c r="AH3173" s="2">
        <v>13</v>
      </c>
      <c r="AJ3173" s="2">
        <f t="shared" si="369"/>
        <v>0</v>
      </c>
      <c r="AK3173" s="2">
        <f t="shared" si="372"/>
        <v>3.7999999999999989</v>
      </c>
      <c r="AL3173" s="5">
        <f t="shared" si="377"/>
        <v>0.3166666666666666</v>
      </c>
    </row>
    <row r="3174" spans="1:38" x14ac:dyDescent="0.2">
      <c r="A3174" s="2">
        <v>2026</v>
      </c>
      <c r="B3174" s="2">
        <v>2</v>
      </c>
      <c r="D3174" s="2" t="s">
        <v>1316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1317</v>
      </c>
      <c r="L3174" s="2" t="s">
        <v>178</v>
      </c>
      <c r="M3174" s="2" t="s">
        <v>41</v>
      </c>
      <c r="O3174" s="2" t="s">
        <v>2543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5"/>
        <v>16.400000000000002</v>
      </c>
      <c r="X3174" s="5">
        <f t="shared" si="376"/>
        <v>0.3166666666666666</v>
      </c>
      <c r="Z3174" s="2" t="s">
        <v>3237</v>
      </c>
      <c r="AA3174" s="2" t="s">
        <v>46</v>
      </c>
      <c r="AB3174" s="2" t="s">
        <v>61</v>
      </c>
      <c r="AC3174" s="2" t="s">
        <v>58</v>
      </c>
      <c r="AF3174" s="2">
        <f t="shared" si="368"/>
        <v>0</v>
      </c>
      <c r="AG3174" s="2">
        <v>8.1999999999999993</v>
      </c>
      <c r="AH3174" s="2">
        <v>13</v>
      </c>
      <c r="AJ3174" s="2">
        <f t="shared" si="369"/>
        <v>0</v>
      </c>
      <c r="AK3174" s="2">
        <f t="shared" si="372"/>
        <v>7.5999999999999979</v>
      </c>
      <c r="AL3174" s="5">
        <f t="shared" si="377"/>
        <v>0.3166666666666666</v>
      </c>
    </row>
    <row r="3175" spans="1:38" x14ac:dyDescent="0.2">
      <c r="A3175" s="2">
        <v>2026</v>
      </c>
      <c r="B3175" s="2">
        <v>2</v>
      </c>
      <c r="D3175" s="2" t="s">
        <v>2542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8">0.0914*S3175</f>
        <v>9.1399999999999988</v>
      </c>
      <c r="X3175" s="5">
        <f t="shared" si="376"/>
        <v>0.34714285714285725</v>
      </c>
      <c r="Z3175" s="2" t="s">
        <v>3237</v>
      </c>
      <c r="AA3175" s="2" t="s">
        <v>46</v>
      </c>
      <c r="AB3175" s="2" t="s">
        <v>61</v>
      </c>
      <c r="AC3175" s="2" t="s">
        <v>58</v>
      </c>
      <c r="AF3175" s="2">
        <f t="shared" si="368"/>
        <v>0</v>
      </c>
      <c r="AJ3175" s="2">
        <f t="shared" si="369"/>
        <v>0</v>
      </c>
      <c r="AK3175" s="2">
        <f t="shared" si="372"/>
        <v>4.8600000000000012</v>
      </c>
      <c r="AL3175" s="5">
        <f t="shared" si="377"/>
        <v>0.34714285714285725</v>
      </c>
    </row>
    <row r="3176" spans="1:38" x14ac:dyDescent="0.2">
      <c r="A3176" s="2">
        <v>2026</v>
      </c>
      <c r="B3176" s="2">
        <v>2</v>
      </c>
      <c r="D3176" s="2" t="s">
        <v>1316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1317</v>
      </c>
      <c r="L3176" s="2" t="s">
        <v>178</v>
      </c>
      <c r="M3176" s="2" t="s">
        <v>41</v>
      </c>
      <c r="O3176" s="2" t="s">
        <v>2543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8"/>
        <v>9.1399999999999988</v>
      </c>
      <c r="X3176" s="5">
        <f t="shared" si="376"/>
        <v>0.34714285714285725</v>
      </c>
      <c r="Z3176" s="2" t="s">
        <v>3237</v>
      </c>
      <c r="AA3176" s="2" t="s">
        <v>46</v>
      </c>
      <c r="AB3176" s="2" t="s">
        <v>61</v>
      </c>
      <c r="AC3176" s="2" t="s">
        <v>58</v>
      </c>
      <c r="AF3176" s="2">
        <f t="shared" si="368"/>
        <v>0</v>
      </c>
      <c r="AJ3176" s="2">
        <f t="shared" si="369"/>
        <v>0</v>
      </c>
      <c r="AK3176" s="2">
        <f t="shared" si="372"/>
        <v>4.8600000000000012</v>
      </c>
      <c r="AL3176" s="5">
        <f t="shared" si="377"/>
        <v>0.34714285714285725</v>
      </c>
    </row>
    <row r="3177" spans="1:38" x14ac:dyDescent="0.2">
      <c r="A3177" s="2">
        <v>2026</v>
      </c>
      <c r="B3177" s="2">
        <v>2</v>
      </c>
      <c r="D3177" s="2" t="s">
        <v>1024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1561</v>
      </c>
      <c r="J3177" s="2" t="s">
        <v>2533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6"/>
        <v>0.47838888888888892</v>
      </c>
      <c r="Z3177" s="2" t="s">
        <v>3237</v>
      </c>
      <c r="AA3177" s="2" t="s">
        <v>46</v>
      </c>
      <c r="AB3177" s="2" t="s">
        <v>61</v>
      </c>
      <c r="AC3177" s="2" t="s">
        <v>58</v>
      </c>
      <c r="AF3177" s="2">
        <f t="shared" si="368"/>
        <v>0</v>
      </c>
      <c r="AG3177" s="2">
        <v>3.7555999999999998</v>
      </c>
      <c r="AH3177" s="2">
        <v>7.2</v>
      </c>
      <c r="AJ3177" s="2">
        <f t="shared" si="369"/>
        <v>0</v>
      </c>
      <c r="AK3177" s="2">
        <f t="shared" si="372"/>
        <v>13.777600000000001</v>
      </c>
      <c r="AL3177" s="5">
        <f t="shared" si="377"/>
        <v>0.47838888888888892</v>
      </c>
    </row>
    <row r="3178" spans="1:38" x14ac:dyDescent="0.2">
      <c r="A3178" s="2">
        <v>2026</v>
      </c>
      <c r="B3178" s="2">
        <v>2</v>
      </c>
      <c r="D3178" s="2" t="s">
        <v>1024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1561</v>
      </c>
      <c r="J3178" s="2" t="s">
        <v>2533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6"/>
        <v>0.5243888888888889</v>
      </c>
      <c r="Z3178" s="2" t="s">
        <v>3237</v>
      </c>
      <c r="AA3178" s="2" t="s">
        <v>46</v>
      </c>
      <c r="AB3178" s="2" t="s">
        <v>61</v>
      </c>
      <c r="AC3178" s="2" t="s">
        <v>58</v>
      </c>
      <c r="AF3178" s="2">
        <f t="shared" si="368"/>
        <v>0</v>
      </c>
      <c r="AG3178" s="2">
        <v>0.85609999999999997</v>
      </c>
      <c r="AH3178" s="2">
        <v>1.8</v>
      </c>
      <c r="AJ3178" s="2">
        <f t="shared" si="369"/>
        <v>0</v>
      </c>
      <c r="AK3178" s="2">
        <f t="shared" si="372"/>
        <v>0.94390000000000007</v>
      </c>
      <c r="AL3178" s="5">
        <f t="shared" si="377"/>
        <v>0.5243888888888889</v>
      </c>
    </row>
    <row r="3179" spans="1:38" x14ac:dyDescent="0.2">
      <c r="A3179" s="2">
        <v>2026</v>
      </c>
      <c r="B3179" s="2">
        <v>2</v>
      </c>
      <c r="D3179" s="2" t="s">
        <v>2544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6"/>
        <v>0.71463333333333334</v>
      </c>
      <c r="Z3179" s="2" t="s">
        <v>3237</v>
      </c>
      <c r="AA3179" s="2" t="s">
        <v>46</v>
      </c>
      <c r="AB3179" s="2" t="s">
        <v>61</v>
      </c>
      <c r="AC3179" s="2" t="s">
        <v>58</v>
      </c>
      <c r="AF3179" s="2">
        <f t="shared" si="368"/>
        <v>0</v>
      </c>
      <c r="AG3179" s="2">
        <v>0.85609999999999997</v>
      </c>
      <c r="AH3179" s="2">
        <v>1.8</v>
      </c>
      <c r="AJ3179" s="2">
        <f t="shared" si="369"/>
        <v>0</v>
      </c>
      <c r="AK3179" s="2">
        <f t="shared" si="372"/>
        <v>2.1438999999999999</v>
      </c>
      <c r="AL3179" s="5">
        <f t="shared" si="377"/>
        <v>0.71463333333333334</v>
      </c>
    </row>
    <row r="3180" spans="1:38" x14ac:dyDescent="0.2">
      <c r="A3180" s="2">
        <v>2026</v>
      </c>
      <c r="B3180" s="2">
        <v>2</v>
      </c>
      <c r="D3180" s="2" t="s">
        <v>2545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6"/>
        <v>0.62926666666666664</v>
      </c>
      <c r="Z3180" s="2" t="s">
        <v>3237</v>
      </c>
      <c r="AA3180" s="2" t="s">
        <v>46</v>
      </c>
      <c r="AB3180" s="2" t="s">
        <v>61</v>
      </c>
      <c r="AC3180" s="2" t="s">
        <v>58</v>
      </c>
      <c r="AF3180" s="2">
        <f t="shared" si="368"/>
        <v>0</v>
      </c>
      <c r="AG3180" s="2">
        <v>1.1122000000000001</v>
      </c>
      <c r="AH3180" s="2">
        <v>3</v>
      </c>
      <c r="AJ3180" s="2">
        <f t="shared" si="369"/>
        <v>0</v>
      </c>
      <c r="AK3180" s="2">
        <f t="shared" si="372"/>
        <v>5.6633999999999993</v>
      </c>
      <c r="AL3180" s="5">
        <f t="shared" si="377"/>
        <v>0.62926666666666664</v>
      </c>
    </row>
    <row r="3181" spans="1:38" x14ac:dyDescent="0.2">
      <c r="A3181" s="2">
        <v>2026</v>
      </c>
      <c r="B3181" s="2">
        <v>2</v>
      </c>
      <c r="D3181" s="2" t="s">
        <v>2529</v>
      </c>
      <c r="M3181" s="2" t="s">
        <v>110</v>
      </c>
      <c r="P3181" s="2" t="s">
        <v>43</v>
      </c>
      <c r="Q3181" s="2" t="s">
        <v>2386</v>
      </c>
      <c r="R3181" s="2" t="s">
        <v>2387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6"/>
        <v>1</v>
      </c>
      <c r="Z3181" s="2" t="s">
        <v>3237</v>
      </c>
      <c r="AA3181" s="2" t="s">
        <v>46</v>
      </c>
      <c r="AB3181" s="2" t="s">
        <v>91</v>
      </c>
      <c r="AC3181" s="2" t="s">
        <v>58</v>
      </c>
      <c r="AF3181" s="2">
        <f t="shared" si="368"/>
        <v>0</v>
      </c>
      <c r="AJ3181" s="2">
        <f t="shared" si="369"/>
        <v>0</v>
      </c>
      <c r="AK3181" s="2">
        <f t="shared" si="372"/>
        <v>60</v>
      </c>
      <c r="AL3181" s="5">
        <f t="shared" si="377"/>
        <v>1</v>
      </c>
    </row>
    <row r="3182" spans="1:38" x14ac:dyDescent="0.2">
      <c r="A3182" s="2">
        <v>2026</v>
      </c>
      <c r="B3182" s="2">
        <v>2</v>
      </c>
      <c r="D3182" s="2" t="s">
        <v>1018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2546</v>
      </c>
      <c r="L3182" s="2" t="s">
        <v>100</v>
      </c>
      <c r="M3182" s="2" t="s">
        <v>81</v>
      </c>
      <c r="O3182" s="2" t="s">
        <v>2547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3237</v>
      </c>
      <c r="AA3182" s="2" t="s">
        <v>46</v>
      </c>
      <c r="AB3182" s="2" t="s">
        <v>68</v>
      </c>
      <c r="AC3182" s="2" t="s">
        <v>58</v>
      </c>
      <c r="AF3182" s="2">
        <f t="shared" si="368"/>
        <v>0</v>
      </c>
      <c r="AG3182" s="2">
        <v>7.9611999999999998</v>
      </c>
      <c r="AH3182" s="2">
        <v>14.4</v>
      </c>
      <c r="AJ3182" s="2">
        <f t="shared" si="369"/>
        <v>0</v>
      </c>
      <c r="AK3182" s="2">
        <f t="shared" si="372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9">(T3183-W3183)/T3183</f>
        <v>0.66122553191489364</v>
      </c>
      <c r="Z3183" s="2" t="s">
        <v>3237</v>
      </c>
      <c r="AA3183" s="2" t="s">
        <v>46</v>
      </c>
      <c r="AB3183" s="2" t="s">
        <v>68</v>
      </c>
      <c r="AC3183" s="2" t="s">
        <v>58</v>
      </c>
      <c r="AF3183" s="2">
        <f t="shared" si="368"/>
        <v>0</v>
      </c>
      <c r="AG3183" s="2">
        <v>7.9611999999999998</v>
      </c>
      <c r="AH3183" s="2">
        <v>14.4</v>
      </c>
      <c r="AJ3183" s="2">
        <f t="shared" si="369"/>
        <v>0</v>
      </c>
      <c r="AK3183" s="2">
        <f t="shared" si="372"/>
        <v>15.5388</v>
      </c>
      <c r="AL3183" s="5">
        <f t="shared" ref="AL3183:AL3214" si="380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2539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9"/>
        <v>0.3608382978723404</v>
      </c>
      <c r="Z3184" s="2" t="s">
        <v>3237</v>
      </c>
      <c r="AA3184" s="2" t="s">
        <v>46</v>
      </c>
      <c r="AB3184" s="2" t="s">
        <v>68</v>
      </c>
      <c r="AC3184" s="2" t="s">
        <v>58</v>
      </c>
      <c r="AF3184" s="2">
        <f t="shared" si="368"/>
        <v>0</v>
      </c>
      <c r="AG3184" s="2">
        <v>15.020300000000001</v>
      </c>
      <c r="AH3184" s="2">
        <v>27.6</v>
      </c>
      <c r="AJ3184" s="2">
        <f t="shared" si="369"/>
        <v>0</v>
      </c>
      <c r="AK3184" s="2">
        <f t="shared" si="372"/>
        <v>25.439099999999996</v>
      </c>
      <c r="AL3184" s="5">
        <f t="shared" si="380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9"/>
        <v>0.3608382978723404</v>
      </c>
      <c r="Z3185" s="2" t="s">
        <v>3237</v>
      </c>
      <c r="AA3185" s="2" t="s">
        <v>46</v>
      </c>
      <c r="AB3185" s="2" t="s">
        <v>68</v>
      </c>
      <c r="AC3185" s="2" t="s">
        <v>58</v>
      </c>
      <c r="AF3185" s="2">
        <f t="shared" si="368"/>
        <v>0</v>
      </c>
      <c r="AG3185" s="2">
        <v>15.020300000000001</v>
      </c>
      <c r="AH3185" s="2">
        <v>27.6</v>
      </c>
      <c r="AJ3185" s="2">
        <f t="shared" si="369"/>
        <v>0</v>
      </c>
      <c r="AK3185" s="2">
        <f t="shared" si="372"/>
        <v>25.439099999999996</v>
      </c>
      <c r="AL3185" s="5">
        <f t="shared" si="380"/>
        <v>0.3608382978723404</v>
      </c>
    </row>
    <row r="3186" spans="1:38" x14ac:dyDescent="0.2">
      <c r="A3186" s="2">
        <v>2026</v>
      </c>
      <c r="B3186" s="2">
        <v>2</v>
      </c>
      <c r="C3186" s="2" t="s">
        <v>3311</v>
      </c>
      <c r="D3186" s="2" t="s">
        <v>1376</v>
      </c>
      <c r="E3186" s="2" t="s">
        <v>38</v>
      </c>
      <c r="F3186" s="2" t="s">
        <v>39</v>
      </c>
      <c r="I3186" s="2" t="s">
        <v>3310</v>
      </c>
      <c r="L3186" s="2" t="s">
        <v>134</v>
      </c>
      <c r="M3186" s="2" t="s">
        <v>2548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9"/>
        <v>0.45578623188405798</v>
      </c>
      <c r="Z3186" s="2" t="s">
        <v>3237</v>
      </c>
      <c r="AA3186" s="2" t="s">
        <v>46</v>
      </c>
      <c r="AB3186" s="2" t="s">
        <v>68</v>
      </c>
      <c r="AC3186" s="2" t="s">
        <v>58</v>
      </c>
      <c r="AF3186" s="2">
        <f t="shared" si="368"/>
        <v>0</v>
      </c>
      <c r="AG3186" s="2">
        <v>15.020300000000001</v>
      </c>
      <c r="AH3186" s="2">
        <v>27.6</v>
      </c>
      <c r="AJ3186" s="2">
        <f t="shared" si="369"/>
        <v>0</v>
      </c>
      <c r="AK3186" s="2">
        <f t="shared" si="372"/>
        <v>25.159400000000002</v>
      </c>
      <c r="AL3186" s="5">
        <f t="shared" si="380"/>
        <v>0.45578623188405798</v>
      </c>
    </row>
    <row r="3187" spans="1:38" x14ac:dyDescent="0.2">
      <c r="A3187" s="2">
        <v>2026</v>
      </c>
      <c r="B3187" s="2">
        <v>2</v>
      </c>
      <c r="D3187" s="2" t="s">
        <v>1018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2546</v>
      </c>
      <c r="L3187" s="2" t="s">
        <v>100</v>
      </c>
      <c r="M3187" s="2" t="s">
        <v>81</v>
      </c>
      <c r="O3187" s="2" t="s">
        <v>2547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9"/>
        <v>0.34694347826086952</v>
      </c>
      <c r="Z3187" s="2" t="s">
        <v>3237</v>
      </c>
      <c r="AA3187" s="2" t="s">
        <v>46</v>
      </c>
      <c r="AB3187" s="2" t="s">
        <v>68</v>
      </c>
      <c r="AC3187" s="2" t="s">
        <v>58</v>
      </c>
      <c r="AF3187" s="2">
        <f t="shared" si="368"/>
        <v>0</v>
      </c>
      <c r="AG3187" s="2">
        <v>15.020300000000001</v>
      </c>
      <c r="AH3187" s="2">
        <v>27.6</v>
      </c>
      <c r="AJ3187" s="2">
        <f t="shared" si="369"/>
        <v>0</v>
      </c>
      <c r="AK3187" s="2">
        <f t="shared" si="372"/>
        <v>15.959399999999999</v>
      </c>
      <c r="AL3187" s="5">
        <f t="shared" si="380"/>
        <v>0.34694347826086952</v>
      </c>
    </row>
    <row r="3188" spans="1:38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9"/>
        <v>0.3608382978723404</v>
      </c>
      <c r="Z3188" s="2" t="s">
        <v>3237</v>
      </c>
      <c r="AA3188" s="2" t="s">
        <v>46</v>
      </c>
      <c r="AB3188" s="2" t="s">
        <v>68</v>
      </c>
      <c r="AC3188" s="2" t="s">
        <v>58</v>
      </c>
      <c r="AF3188" s="2">
        <f t="shared" si="368"/>
        <v>0</v>
      </c>
      <c r="AG3188" s="2">
        <v>15.020300000000001</v>
      </c>
      <c r="AH3188" s="2">
        <v>27.6</v>
      </c>
      <c r="AJ3188" s="2">
        <f t="shared" si="369"/>
        <v>0</v>
      </c>
      <c r="AK3188" s="2">
        <f t="shared" si="372"/>
        <v>8.4796999999999993</v>
      </c>
      <c r="AL3188" s="5">
        <f t="shared" si="380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1096</v>
      </c>
      <c r="R3189" s="2" t="s">
        <v>1097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9"/>
        <v>0.24785999999999997</v>
      </c>
      <c r="Z3189" s="2" t="s">
        <v>105</v>
      </c>
      <c r="AA3189" s="2" t="s">
        <v>265</v>
      </c>
      <c r="AB3189" s="2" t="s">
        <v>1098</v>
      </c>
      <c r="AC3189" s="2" t="s">
        <v>102</v>
      </c>
      <c r="AF3189" s="2">
        <f t="shared" si="368"/>
        <v>0</v>
      </c>
      <c r="AG3189" s="2">
        <f>2084.42+172</f>
        <v>2256.42</v>
      </c>
      <c r="AJ3189" s="2">
        <f t="shared" si="369"/>
        <v>0</v>
      </c>
      <c r="AK3189" s="2">
        <f t="shared" si="372"/>
        <v>2230.7399999999998</v>
      </c>
      <c r="AL3189" s="5">
        <f t="shared" si="380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2549</v>
      </c>
      <c r="P3190" s="2" t="s">
        <v>43</v>
      </c>
      <c r="Q3190" s="2" t="s">
        <v>2550</v>
      </c>
      <c r="R3190" s="2" t="s">
        <v>2551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9"/>
        <v>0.41111111111111115</v>
      </c>
      <c r="Z3190" s="2" t="s">
        <v>3237</v>
      </c>
      <c r="AA3190" s="2" t="s">
        <v>46</v>
      </c>
      <c r="AB3190" s="2" t="s">
        <v>57</v>
      </c>
      <c r="AC3190" s="2" t="s">
        <v>58</v>
      </c>
      <c r="AF3190" s="2">
        <f t="shared" si="368"/>
        <v>0</v>
      </c>
      <c r="AG3190" s="2">
        <v>10.6</v>
      </c>
      <c r="AH3190" s="2">
        <v>18</v>
      </c>
      <c r="AJ3190" s="2">
        <f t="shared" si="369"/>
        <v>0</v>
      </c>
      <c r="AK3190" s="2">
        <f t="shared" si="372"/>
        <v>14.8</v>
      </c>
      <c r="AL3190" s="5">
        <f t="shared" si="380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2552</v>
      </c>
      <c r="R3191" s="2" t="s">
        <v>2553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9"/>
        <v>0.39970609845701688</v>
      </c>
      <c r="Z3191" s="2" t="s">
        <v>3237</v>
      </c>
      <c r="AA3191" s="2" t="s">
        <v>72</v>
      </c>
      <c r="AB3191" s="2" t="s">
        <v>69</v>
      </c>
      <c r="AC3191" s="2" t="s">
        <v>3242</v>
      </c>
      <c r="AF3191" s="2">
        <f t="shared" si="368"/>
        <v>0</v>
      </c>
      <c r="AG3191" s="2">
        <v>8.17</v>
      </c>
      <c r="AJ3191" s="2">
        <f t="shared" si="369"/>
        <v>0</v>
      </c>
      <c r="AK3191" s="2">
        <f t="shared" ref="AK3191:AK3222" si="381">T3191-W3191</f>
        <v>5.4399999999999995</v>
      </c>
      <c r="AL3191" s="5">
        <f t="shared" si="380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2554</v>
      </c>
      <c r="R3192" s="2" t="s">
        <v>2555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9"/>
        <v>0.39976415094339629</v>
      </c>
      <c r="Z3192" s="2" t="s">
        <v>3237</v>
      </c>
      <c r="AA3192" s="2" t="s">
        <v>72</v>
      </c>
      <c r="AB3192" s="2" t="s">
        <v>69</v>
      </c>
      <c r="AC3192" s="2" t="s">
        <v>3242</v>
      </c>
      <c r="AF3192" s="2">
        <f t="shared" si="368"/>
        <v>0</v>
      </c>
      <c r="AG3192" s="2">
        <v>10.18</v>
      </c>
      <c r="AJ3192" s="2">
        <f t="shared" si="369"/>
        <v>0</v>
      </c>
      <c r="AK3192" s="2">
        <f t="shared" si="381"/>
        <v>6.7800000000000011</v>
      </c>
      <c r="AL3192" s="5">
        <f t="shared" si="380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2556</v>
      </c>
      <c r="R3193" s="2" t="s">
        <v>2557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9"/>
        <v>0.39988151658767762</v>
      </c>
      <c r="Z3193" s="2" t="s">
        <v>3237</v>
      </c>
      <c r="AA3193" s="2" t="s">
        <v>72</v>
      </c>
      <c r="AB3193" s="2" t="s">
        <v>69</v>
      </c>
      <c r="AC3193" s="2" t="s">
        <v>3242</v>
      </c>
      <c r="AF3193" s="2">
        <f t="shared" si="368"/>
        <v>0</v>
      </c>
      <c r="AG3193" s="2">
        <v>10.130000000000001</v>
      </c>
      <c r="AJ3193" s="2">
        <f t="shared" si="369"/>
        <v>0</v>
      </c>
      <c r="AK3193" s="2">
        <f t="shared" si="381"/>
        <v>6.7499999999999982</v>
      </c>
      <c r="AL3193" s="5">
        <f t="shared" si="380"/>
        <v>0.39988151658767762</v>
      </c>
    </row>
    <row r="3194" spans="1:38" x14ac:dyDescent="0.2">
      <c r="A3194" s="2">
        <v>2026</v>
      </c>
      <c r="B3194" s="2">
        <v>2</v>
      </c>
      <c r="D3194" s="2" t="s">
        <v>1490</v>
      </c>
      <c r="M3194" s="2" t="s">
        <v>41</v>
      </c>
      <c r="P3194" s="2" t="s">
        <v>69</v>
      </c>
      <c r="Q3194" s="2" t="s">
        <v>1163</v>
      </c>
      <c r="R3194" s="2" t="s">
        <v>1164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9"/>
        <v>0.21000000000000002</v>
      </c>
      <c r="Z3194" s="2" t="s">
        <v>3237</v>
      </c>
      <c r="AA3194" s="2" t="s">
        <v>72</v>
      </c>
      <c r="AB3194" s="2" t="s">
        <v>69</v>
      </c>
      <c r="AC3194" s="2" t="s">
        <v>3242</v>
      </c>
      <c r="AF3194" s="2">
        <f t="shared" si="368"/>
        <v>0</v>
      </c>
      <c r="AG3194" s="2">
        <v>47.4</v>
      </c>
      <c r="AJ3194" s="2">
        <f t="shared" si="369"/>
        <v>0</v>
      </c>
      <c r="AK3194" s="2">
        <f t="shared" si="381"/>
        <v>12.600000000000001</v>
      </c>
      <c r="AL3194" s="5">
        <f t="shared" si="380"/>
        <v>0.21000000000000002</v>
      </c>
    </row>
    <row r="3195" spans="1:38" x14ac:dyDescent="0.2">
      <c r="A3195" s="2">
        <v>2026</v>
      </c>
      <c r="B3195" s="2">
        <v>2</v>
      </c>
      <c r="D3195" s="2" t="s">
        <v>2524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2525</v>
      </c>
      <c r="J3195" s="2" t="s">
        <v>2526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2558</v>
      </c>
      <c r="R3195" s="2" t="s">
        <v>2559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3242</v>
      </c>
      <c r="AF3195" s="2">
        <f t="shared" si="368"/>
        <v>0</v>
      </c>
      <c r="AG3195" s="2">
        <v>235.29</v>
      </c>
      <c r="AJ3195" s="2">
        <f t="shared" si="369"/>
        <v>0</v>
      </c>
      <c r="AK3195" s="2">
        <f t="shared" si="381"/>
        <v>254.71</v>
      </c>
      <c r="AL3195" s="5">
        <f t="shared" si="380"/>
        <v>0.51981632653061227</v>
      </c>
    </row>
    <row r="3196" spans="1:38" x14ac:dyDescent="0.2">
      <c r="A3196" s="2">
        <v>2026</v>
      </c>
      <c r="B3196" s="2">
        <v>2</v>
      </c>
      <c r="D3196" s="2" t="s">
        <v>2524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2525</v>
      </c>
      <c r="J3196" s="2" t="s">
        <v>2526</v>
      </c>
      <c r="K3196" s="2">
        <v>967032538</v>
      </c>
      <c r="L3196" s="2" t="s">
        <v>399</v>
      </c>
      <c r="M3196" s="2" t="s">
        <v>110</v>
      </c>
      <c r="O3196" s="2" t="s">
        <v>2560</v>
      </c>
      <c r="P3196" s="2" t="s">
        <v>69</v>
      </c>
      <c r="Q3196" s="2" t="s">
        <v>2561</v>
      </c>
      <c r="R3196" s="2" t="s">
        <v>2562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3242</v>
      </c>
      <c r="AF3196" s="2">
        <f t="shared" si="368"/>
        <v>0</v>
      </c>
      <c r="AG3196" s="2">
        <v>647.05999999999995</v>
      </c>
      <c r="AJ3196" s="2">
        <f t="shared" si="369"/>
        <v>0</v>
      </c>
      <c r="AK3196" s="2">
        <f t="shared" si="381"/>
        <v>552.94000000000005</v>
      </c>
      <c r="AL3196" s="5">
        <f t="shared" si="380"/>
        <v>0.46078333333333338</v>
      </c>
    </row>
    <row r="3197" spans="1:38" x14ac:dyDescent="0.2">
      <c r="A3197" s="2">
        <v>2026</v>
      </c>
      <c r="B3197" s="2">
        <v>2</v>
      </c>
      <c r="D3197" s="2" t="s">
        <v>1793</v>
      </c>
      <c r="M3197" s="2" t="s">
        <v>110</v>
      </c>
      <c r="O3197" s="2" t="s">
        <v>2563</v>
      </c>
      <c r="P3197" s="2" t="s">
        <v>69</v>
      </c>
      <c r="Q3197" s="2" t="s">
        <v>2561</v>
      </c>
      <c r="R3197" s="2" t="s">
        <v>2562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3242</v>
      </c>
      <c r="AF3197" s="2">
        <f t="shared" si="368"/>
        <v>0</v>
      </c>
      <c r="AG3197" s="2">
        <v>647.05999999999995</v>
      </c>
      <c r="AJ3197" s="2">
        <f t="shared" si="369"/>
        <v>0</v>
      </c>
      <c r="AK3197" s="2">
        <f t="shared" si="381"/>
        <v>534.44000000000005</v>
      </c>
      <c r="AL3197" s="5">
        <f t="shared" si="380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2564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9"/>
        <v>0.4823015054650443</v>
      </c>
      <c r="Z3198" s="2" t="s">
        <v>3237</v>
      </c>
      <c r="AA3198" s="2" t="s">
        <v>76</v>
      </c>
      <c r="AB3198" s="2" t="s">
        <v>77</v>
      </c>
      <c r="AC3198" s="2" t="s">
        <v>78</v>
      </c>
      <c r="AF3198" s="2">
        <f t="shared" si="368"/>
        <v>0</v>
      </c>
      <c r="AG3198" s="2">
        <v>125.51600000000001</v>
      </c>
      <c r="AH3198" s="2">
        <v>220</v>
      </c>
      <c r="AJ3198" s="2">
        <f t="shared" si="369"/>
        <v>0</v>
      </c>
      <c r="AK3198" s="2">
        <f t="shared" si="381"/>
        <v>116.93399999999998</v>
      </c>
      <c r="AL3198" s="5">
        <f t="shared" si="380"/>
        <v>0.4823015054650443</v>
      </c>
    </row>
    <row r="3199" spans="1:38" x14ac:dyDescent="0.2">
      <c r="A3199" s="2">
        <v>2026</v>
      </c>
      <c r="B3199" s="2">
        <v>2</v>
      </c>
      <c r="D3199" s="2" t="s">
        <v>2545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9"/>
        <v>0.42947272727272723</v>
      </c>
      <c r="Z3199" s="2" t="s">
        <v>3237</v>
      </c>
      <c r="AA3199" s="2" t="s">
        <v>76</v>
      </c>
      <c r="AB3199" s="2" t="s">
        <v>77</v>
      </c>
      <c r="AC3199" s="2" t="s">
        <v>78</v>
      </c>
      <c r="AF3199" s="2">
        <f t="shared" si="368"/>
        <v>0</v>
      </c>
      <c r="AG3199" s="2">
        <v>125.51600000000001</v>
      </c>
      <c r="AH3199" s="2">
        <v>220</v>
      </c>
      <c r="AJ3199" s="2">
        <f t="shared" si="369"/>
        <v>0</v>
      </c>
      <c r="AK3199" s="2">
        <f t="shared" si="381"/>
        <v>188.96799999999999</v>
      </c>
      <c r="AL3199" s="5">
        <f t="shared" si="380"/>
        <v>0.42947272727272723</v>
      </c>
    </row>
    <row r="3200" spans="1:38" x14ac:dyDescent="0.2">
      <c r="A3200" s="2">
        <v>2026</v>
      </c>
      <c r="B3200" s="2">
        <v>2</v>
      </c>
      <c r="D3200" s="2" t="s">
        <v>2565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9"/>
        <v>0.42947272727272723</v>
      </c>
      <c r="Z3200" s="2" t="s">
        <v>3237</v>
      </c>
      <c r="AA3200" s="2" t="s">
        <v>76</v>
      </c>
      <c r="AB3200" s="2" t="s">
        <v>77</v>
      </c>
      <c r="AC3200" s="2" t="s">
        <v>78</v>
      </c>
      <c r="AF3200" s="2">
        <f t="shared" si="368"/>
        <v>0</v>
      </c>
      <c r="AG3200" s="2">
        <v>125.51600000000001</v>
      </c>
      <c r="AH3200" s="2">
        <v>220</v>
      </c>
      <c r="AJ3200" s="2">
        <f t="shared" si="369"/>
        <v>0</v>
      </c>
      <c r="AK3200" s="2">
        <f t="shared" si="381"/>
        <v>94.483999999999995</v>
      </c>
      <c r="AL3200" s="5">
        <f t="shared" si="380"/>
        <v>0.42947272727272723</v>
      </c>
    </row>
    <row r="3201" spans="1:38" x14ac:dyDescent="0.2">
      <c r="A3201" s="2">
        <v>2026</v>
      </c>
      <c r="B3201" s="2">
        <v>2</v>
      </c>
      <c r="D3201" s="2" t="s">
        <v>2002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9"/>
        <v>0.42947272727272723</v>
      </c>
      <c r="Z3201" s="2" t="s">
        <v>3237</v>
      </c>
      <c r="AA3201" s="2" t="s">
        <v>76</v>
      </c>
      <c r="AB3201" s="2" t="s">
        <v>77</v>
      </c>
      <c r="AC3201" s="2" t="s">
        <v>78</v>
      </c>
      <c r="AF3201" s="2">
        <f t="shared" si="368"/>
        <v>0</v>
      </c>
      <c r="AG3201" s="2">
        <v>125.51600000000001</v>
      </c>
      <c r="AH3201" s="2">
        <v>220</v>
      </c>
      <c r="AJ3201" s="2">
        <f t="shared" si="369"/>
        <v>0</v>
      </c>
      <c r="AK3201" s="2">
        <f t="shared" si="381"/>
        <v>94.483999999999995</v>
      </c>
      <c r="AL3201" s="5">
        <f t="shared" si="380"/>
        <v>0.42947272727272723</v>
      </c>
    </row>
    <row r="3202" spans="1:38" x14ac:dyDescent="0.2">
      <c r="A3202" s="2">
        <v>2026</v>
      </c>
      <c r="B3202" s="2">
        <v>2</v>
      </c>
      <c r="D3202" s="2" t="s">
        <v>1560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1561</v>
      </c>
      <c r="J3202" s="2" t="s">
        <v>1562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9"/>
        <v>0.42947272727272723</v>
      </c>
      <c r="Z3202" s="2" t="s">
        <v>3237</v>
      </c>
      <c r="AA3202" s="2" t="s">
        <v>76</v>
      </c>
      <c r="AB3202" s="2" t="s">
        <v>77</v>
      </c>
      <c r="AC3202" s="2" t="s">
        <v>78</v>
      </c>
      <c r="AF3202" s="2">
        <f t="shared" si="368"/>
        <v>0</v>
      </c>
      <c r="AG3202" s="2">
        <v>125.51600000000001</v>
      </c>
      <c r="AH3202" s="2">
        <v>220</v>
      </c>
      <c r="AJ3202" s="2">
        <f t="shared" si="369"/>
        <v>0</v>
      </c>
      <c r="AK3202" s="2">
        <f t="shared" si="381"/>
        <v>94.483999999999995</v>
      </c>
      <c r="AL3202" s="5">
        <f t="shared" si="380"/>
        <v>0.42947272727272723</v>
      </c>
    </row>
    <row r="3203" spans="1:38" x14ac:dyDescent="0.2">
      <c r="A3203" s="2">
        <v>2026</v>
      </c>
      <c r="B3203" s="2">
        <v>2</v>
      </c>
      <c r="D3203" s="2" t="s">
        <v>1380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9"/>
        <v>0.42947272727272723</v>
      </c>
      <c r="Z3203" s="2" t="s">
        <v>3237</v>
      </c>
      <c r="AA3203" s="2" t="s">
        <v>76</v>
      </c>
      <c r="AB3203" s="2" t="s">
        <v>77</v>
      </c>
      <c r="AC3203" s="2" t="s">
        <v>78</v>
      </c>
      <c r="AF3203" s="2">
        <f t="shared" ref="AF3203:AF3266" si="382">AJ3203</f>
        <v>0</v>
      </c>
      <c r="AG3203" s="2">
        <v>125.51600000000001</v>
      </c>
      <c r="AH3203" s="2">
        <v>220</v>
      </c>
      <c r="AJ3203" s="2">
        <f t="shared" ref="AJ3203:AJ3266" si="383">AI3203*T3203</f>
        <v>0</v>
      </c>
      <c r="AK3203" s="2">
        <f t="shared" si="381"/>
        <v>94.483999999999995</v>
      </c>
      <c r="AL3203" s="5">
        <f t="shared" si="380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2566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9"/>
        <v>0.42947272727272723</v>
      </c>
      <c r="Z3204" s="2" t="s">
        <v>3237</v>
      </c>
      <c r="AA3204" s="2" t="s">
        <v>76</v>
      </c>
      <c r="AB3204" s="2" t="s">
        <v>77</v>
      </c>
      <c r="AC3204" s="2" t="s">
        <v>78</v>
      </c>
      <c r="AF3204" s="2">
        <f t="shared" si="382"/>
        <v>0</v>
      </c>
      <c r="AG3204" s="2">
        <v>125.51600000000001</v>
      </c>
      <c r="AH3204" s="2">
        <v>220</v>
      </c>
      <c r="AJ3204" s="2">
        <f t="shared" si="383"/>
        <v>0</v>
      </c>
      <c r="AK3204" s="2">
        <f t="shared" si="381"/>
        <v>94.483999999999995</v>
      </c>
      <c r="AL3204" s="5">
        <f t="shared" si="380"/>
        <v>0.42947272727272723</v>
      </c>
    </row>
    <row r="3205" spans="1:38" x14ac:dyDescent="0.2">
      <c r="A3205" s="2">
        <v>2026</v>
      </c>
      <c r="B3205" s="2">
        <v>2</v>
      </c>
      <c r="D3205" s="2" t="s">
        <v>2567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9"/>
        <v>0.42947272727272728</v>
      </c>
      <c r="Z3205" s="2" t="s">
        <v>3237</v>
      </c>
      <c r="AA3205" s="2" t="s">
        <v>76</v>
      </c>
      <c r="AB3205" s="2" t="s">
        <v>77</v>
      </c>
      <c r="AC3205" s="2" t="s">
        <v>78</v>
      </c>
      <c r="AF3205" s="2">
        <f t="shared" si="382"/>
        <v>0</v>
      </c>
      <c r="AG3205" s="2">
        <v>125.51600000000001</v>
      </c>
      <c r="AH3205" s="2">
        <v>220</v>
      </c>
      <c r="AJ3205" s="2">
        <f t="shared" si="383"/>
        <v>0</v>
      </c>
      <c r="AK3205" s="2">
        <f t="shared" si="381"/>
        <v>283.452</v>
      </c>
      <c r="AL3205" s="5">
        <f t="shared" si="380"/>
        <v>0.42947272727272728</v>
      </c>
    </row>
    <row r="3206" spans="1:38" x14ac:dyDescent="0.2">
      <c r="A3206" s="2">
        <v>2026</v>
      </c>
      <c r="B3206" s="2">
        <v>2</v>
      </c>
      <c r="D3206" s="2" t="s">
        <v>1600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1601</v>
      </c>
      <c r="J3206" s="2" t="s">
        <v>1602</v>
      </c>
      <c r="L3206" s="2" t="s">
        <v>202</v>
      </c>
      <c r="M3206" s="2" t="s">
        <v>81</v>
      </c>
      <c r="O3206" s="2" t="s">
        <v>2568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9"/>
        <v>0.52504545454545459</v>
      </c>
      <c r="Z3206" s="2" t="s">
        <v>3237</v>
      </c>
      <c r="AA3206" s="2" t="s">
        <v>76</v>
      </c>
      <c r="AB3206" s="2" t="s">
        <v>77</v>
      </c>
      <c r="AC3206" s="2" t="s">
        <v>78</v>
      </c>
      <c r="AF3206" s="2">
        <f t="shared" si="382"/>
        <v>0</v>
      </c>
      <c r="AG3206" s="2">
        <v>104.49</v>
      </c>
      <c r="AH3206" s="2">
        <v>220</v>
      </c>
      <c r="AJ3206" s="2">
        <f t="shared" si="383"/>
        <v>0</v>
      </c>
      <c r="AK3206" s="2">
        <f t="shared" si="381"/>
        <v>115.51</v>
      </c>
      <c r="AL3206" s="5">
        <f t="shared" si="380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2569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9"/>
        <v>0.5822058141332922</v>
      </c>
      <c r="Z3207" s="2" t="s">
        <v>3237</v>
      </c>
      <c r="AA3207" s="2" t="s">
        <v>76</v>
      </c>
      <c r="AB3207" s="2" t="s">
        <v>77</v>
      </c>
      <c r="AC3207" s="2" t="s">
        <v>78</v>
      </c>
      <c r="AF3207" s="2">
        <f t="shared" si="382"/>
        <v>0</v>
      </c>
      <c r="AG3207" s="2">
        <f>101.305+6.77</f>
        <v>108.075</v>
      </c>
      <c r="AH3207" s="2">
        <v>210</v>
      </c>
      <c r="AJ3207" s="2">
        <f t="shared" si="383"/>
        <v>0</v>
      </c>
      <c r="AK3207" s="2">
        <f t="shared" si="381"/>
        <v>150.60500000000002</v>
      </c>
      <c r="AL3207" s="5">
        <f t="shared" si="380"/>
        <v>0.5822058141332922</v>
      </c>
    </row>
    <row r="3208" spans="1:38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2570</v>
      </c>
      <c r="J3208" s="2" t="s">
        <v>2571</v>
      </c>
      <c r="K3208" s="2">
        <v>912897776</v>
      </c>
      <c r="L3208" s="2" t="s">
        <v>340</v>
      </c>
      <c r="M3208" s="2" t="s">
        <v>81</v>
      </c>
      <c r="O3208" s="2" t="s">
        <v>2572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9"/>
        <v>0.50795652173913042</v>
      </c>
      <c r="Z3208" s="2" t="s">
        <v>3237</v>
      </c>
      <c r="AA3208" s="2" t="s">
        <v>76</v>
      </c>
      <c r="AB3208" s="2" t="s">
        <v>77</v>
      </c>
      <c r="AC3208" s="2" t="s">
        <v>78</v>
      </c>
      <c r="AF3208" s="2">
        <f t="shared" si="382"/>
        <v>0</v>
      </c>
      <c r="AG3208" s="2">
        <v>113.17</v>
      </c>
      <c r="AJ3208" s="2">
        <f t="shared" si="383"/>
        <v>0</v>
      </c>
      <c r="AK3208" s="2">
        <f t="shared" si="381"/>
        <v>116.83</v>
      </c>
      <c r="AL3208" s="5">
        <f t="shared" si="380"/>
        <v>0.50795652173913042</v>
      </c>
    </row>
    <row r="3209" spans="1:38" x14ac:dyDescent="0.2">
      <c r="A3209" s="2">
        <v>2026</v>
      </c>
      <c r="B3209" s="2">
        <v>2</v>
      </c>
      <c r="D3209" s="2" t="s">
        <v>1260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2573</v>
      </c>
      <c r="L3209" s="2" t="s">
        <v>202</v>
      </c>
      <c r="M3209" s="2" t="s">
        <v>81</v>
      </c>
      <c r="O3209" s="2" t="s">
        <v>2574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9"/>
        <v>0.44790909090909092</v>
      </c>
      <c r="Z3209" s="2" t="s">
        <v>3237</v>
      </c>
      <c r="AA3209" s="2" t="s">
        <v>76</v>
      </c>
      <c r="AB3209" s="2" t="s">
        <v>77</v>
      </c>
      <c r="AC3209" s="2" t="s">
        <v>78</v>
      </c>
      <c r="AF3209" s="2">
        <f t="shared" si="382"/>
        <v>0</v>
      </c>
      <c r="AG3209" s="2">
        <v>121.46</v>
      </c>
      <c r="AH3209" s="2">
        <v>210</v>
      </c>
      <c r="AJ3209" s="2">
        <f t="shared" si="383"/>
        <v>0</v>
      </c>
      <c r="AK3209" s="2">
        <f t="shared" si="381"/>
        <v>197.08</v>
      </c>
      <c r="AL3209" s="5">
        <f t="shared" si="380"/>
        <v>0.44790909090909092</v>
      </c>
    </row>
    <row r="3210" spans="1:38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1452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9"/>
        <v>0.41775652173913047</v>
      </c>
      <c r="Z3210" s="2" t="s">
        <v>3237</v>
      </c>
      <c r="AA3210" s="2" t="s">
        <v>76</v>
      </c>
      <c r="AB3210" s="2" t="s">
        <v>77</v>
      </c>
      <c r="AC3210" s="2" t="s">
        <v>78</v>
      </c>
      <c r="AF3210" s="2">
        <f t="shared" si="382"/>
        <v>0</v>
      </c>
      <c r="AJ3210" s="2">
        <f t="shared" si="383"/>
        <v>0</v>
      </c>
      <c r="AK3210" s="2">
        <f t="shared" si="381"/>
        <v>96.084000000000003</v>
      </c>
      <c r="AL3210" s="5">
        <f t="shared" si="380"/>
        <v>0.41775652173913047</v>
      </c>
    </row>
    <row r="3211" spans="1:38" x14ac:dyDescent="0.2">
      <c r="A3211" s="2">
        <v>2026</v>
      </c>
      <c r="B3211" s="2">
        <v>2</v>
      </c>
      <c r="D3211" s="2" t="s">
        <v>2575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2576</v>
      </c>
      <c r="J3211" s="2" t="s">
        <v>2577</v>
      </c>
      <c r="L3211" s="2" t="s">
        <v>134</v>
      </c>
      <c r="M3211" s="2" t="s">
        <v>81</v>
      </c>
      <c r="O3211" s="2" t="s">
        <v>2578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9"/>
        <v>0.42639130434782607</v>
      </c>
      <c r="Z3211" s="2" t="s">
        <v>3237</v>
      </c>
      <c r="AA3211" s="2" t="s">
        <v>76</v>
      </c>
      <c r="AB3211" s="2" t="s">
        <v>77</v>
      </c>
      <c r="AC3211" s="2" t="s">
        <v>78</v>
      </c>
      <c r="AF3211" s="2">
        <f t="shared" si="382"/>
        <v>0</v>
      </c>
      <c r="AG3211" s="2">
        <v>131.93</v>
      </c>
      <c r="AH3211" s="2">
        <v>220</v>
      </c>
      <c r="AJ3211" s="2">
        <f t="shared" si="383"/>
        <v>0</v>
      </c>
      <c r="AK3211" s="2">
        <f t="shared" si="381"/>
        <v>98.07</v>
      </c>
      <c r="AL3211" s="5">
        <f t="shared" si="380"/>
        <v>0.42639130434782607</v>
      </c>
    </row>
    <row r="3212" spans="1:38" x14ac:dyDescent="0.2">
      <c r="A3212" s="2">
        <v>2026</v>
      </c>
      <c r="B3212" s="2">
        <v>2</v>
      </c>
      <c r="D3212" s="2" t="s">
        <v>2575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9"/>
        <v>0.46965217391304348</v>
      </c>
      <c r="Z3212" s="2" t="s">
        <v>3237</v>
      </c>
      <c r="AA3212" s="2" t="s">
        <v>76</v>
      </c>
      <c r="AB3212" s="2" t="s">
        <v>77</v>
      </c>
      <c r="AC3212" s="2" t="s">
        <v>78</v>
      </c>
      <c r="AF3212" s="2">
        <f t="shared" si="382"/>
        <v>0</v>
      </c>
      <c r="AJ3212" s="2">
        <f t="shared" si="383"/>
        <v>0</v>
      </c>
      <c r="AK3212" s="2">
        <f t="shared" si="381"/>
        <v>108.02</v>
      </c>
      <c r="AL3212" s="5">
        <f t="shared" si="380"/>
        <v>0.46965217391304348</v>
      </c>
    </row>
    <row r="3213" spans="1:38" x14ac:dyDescent="0.2">
      <c r="A3213" s="2">
        <v>2026</v>
      </c>
      <c r="B3213" s="2">
        <v>2</v>
      </c>
      <c r="D3213" s="2" t="s">
        <v>984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985</v>
      </c>
      <c r="J3213" s="2" t="s">
        <v>986</v>
      </c>
      <c r="L3213" s="2" t="s">
        <v>294</v>
      </c>
      <c r="M3213" s="2" t="s">
        <v>81</v>
      </c>
      <c r="O3213" s="2" t="s">
        <v>2579</v>
      </c>
      <c r="P3213" s="2" t="s">
        <v>73</v>
      </c>
      <c r="Q3213" s="2" t="s">
        <v>1038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9"/>
        <v>0.48486363636363639</v>
      </c>
      <c r="Z3213" s="2" t="s">
        <v>3237</v>
      </c>
      <c r="AA3213" s="2" t="s">
        <v>76</v>
      </c>
      <c r="AB3213" s="2" t="s">
        <v>77</v>
      </c>
      <c r="AC3213" s="2" t="s">
        <v>78</v>
      </c>
      <c r="AF3213" s="2">
        <f t="shared" si="382"/>
        <v>0</v>
      </c>
      <c r="AG3213" s="2">
        <v>113.33</v>
      </c>
      <c r="AH3213" s="2">
        <v>220</v>
      </c>
      <c r="AJ3213" s="2">
        <f t="shared" si="383"/>
        <v>0</v>
      </c>
      <c r="AK3213" s="2">
        <f t="shared" si="381"/>
        <v>106.67</v>
      </c>
      <c r="AL3213" s="5">
        <f t="shared" si="380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2580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9"/>
        <v>0.11271014492753624</v>
      </c>
      <c r="Z3214" s="2" t="s">
        <v>3237</v>
      </c>
      <c r="AA3214" s="2" t="s">
        <v>76</v>
      </c>
      <c r="AB3214" s="2" t="s">
        <v>77</v>
      </c>
      <c r="AC3214" s="2" t="s">
        <v>78</v>
      </c>
      <c r="AF3214" s="2">
        <f t="shared" si="382"/>
        <v>0</v>
      </c>
      <c r="AG3214" s="2">
        <v>122.446</v>
      </c>
      <c r="AH3214" s="2">
        <v>230</v>
      </c>
      <c r="AJ3214" s="2">
        <f t="shared" si="383"/>
        <v>0</v>
      </c>
      <c r="AK3214" s="2">
        <f t="shared" si="381"/>
        <v>15.554000000000002</v>
      </c>
      <c r="AL3214" s="5">
        <f t="shared" si="380"/>
        <v>0.11271014492753624</v>
      </c>
    </row>
    <row r="3215" spans="1:38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2449</v>
      </c>
      <c r="P3215" s="2" t="s">
        <v>115</v>
      </c>
      <c r="Q3215" s="2" t="s">
        <v>1428</v>
      </c>
      <c r="R3215" s="2" t="s">
        <v>1429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960</v>
      </c>
      <c r="AC3215" s="2" t="s">
        <v>115</v>
      </c>
      <c r="AF3215" s="2">
        <f t="shared" si="382"/>
        <v>0</v>
      </c>
      <c r="AG3215" s="2">
        <f>868.26+3.61</f>
        <v>871.87</v>
      </c>
      <c r="AJ3215" s="2">
        <f t="shared" si="383"/>
        <v>0</v>
      </c>
    </row>
    <row r="3216" spans="1:38" x14ac:dyDescent="0.2">
      <c r="A3216" s="2">
        <v>2026</v>
      </c>
      <c r="B3216" s="2">
        <v>2</v>
      </c>
      <c r="D3216" s="2" t="s">
        <v>1260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4">(T3216-W3216)/T3216</f>
        <v>0.4729523809523809</v>
      </c>
      <c r="Z3216" s="2" t="s">
        <v>3237</v>
      </c>
      <c r="AA3216" s="2" t="s">
        <v>76</v>
      </c>
      <c r="AB3216" s="2" t="s">
        <v>77</v>
      </c>
      <c r="AC3216" s="2" t="s">
        <v>78</v>
      </c>
      <c r="AF3216" s="2">
        <f t="shared" si="382"/>
        <v>0</v>
      </c>
      <c r="AG3216" s="2">
        <v>110.68</v>
      </c>
      <c r="AH3216" s="2">
        <v>210</v>
      </c>
      <c r="AJ3216" s="2">
        <f t="shared" si="383"/>
        <v>0</v>
      </c>
      <c r="AK3216" s="2">
        <f t="shared" si="381"/>
        <v>99.32</v>
      </c>
      <c r="AL3216" s="5">
        <f t="shared" ref="AL3216:AL3246" si="385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1056</v>
      </c>
      <c r="E3217" s="2" t="s">
        <v>184</v>
      </c>
      <c r="F3217" s="2" t="s">
        <v>1057</v>
      </c>
      <c r="G3217" s="2">
        <v>500199523</v>
      </c>
      <c r="H3217" s="2" t="s">
        <v>291</v>
      </c>
      <c r="I3217" s="2" t="s">
        <v>294</v>
      </c>
      <c r="J3217" s="2" t="s">
        <v>1058</v>
      </c>
      <c r="L3217" s="2" t="s">
        <v>294</v>
      </c>
      <c r="M3217" s="2" t="s">
        <v>81</v>
      </c>
      <c r="O3217" s="2" t="s">
        <v>2581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4"/>
        <v>0.4729523809523809</v>
      </c>
      <c r="Z3217" s="2" t="s">
        <v>3237</v>
      </c>
      <c r="AA3217" s="2" t="s">
        <v>76</v>
      </c>
      <c r="AB3217" s="2" t="s">
        <v>77</v>
      </c>
      <c r="AC3217" s="2" t="s">
        <v>78</v>
      </c>
      <c r="AF3217" s="2">
        <f t="shared" si="382"/>
        <v>0</v>
      </c>
      <c r="AG3217" s="2">
        <v>110.68</v>
      </c>
      <c r="AH3217" s="2">
        <v>210</v>
      </c>
      <c r="AJ3217" s="2">
        <f t="shared" si="383"/>
        <v>0</v>
      </c>
      <c r="AK3217" s="2">
        <f t="shared" si="381"/>
        <v>99.32</v>
      </c>
      <c r="AL3217" s="5">
        <f t="shared" si="385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2582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4"/>
        <v>0.37409499358151477</v>
      </c>
      <c r="Z3218" s="2" t="s">
        <v>3237</v>
      </c>
      <c r="AA3218" s="2" t="s">
        <v>76</v>
      </c>
      <c r="AB3218" s="2" t="s">
        <v>77</v>
      </c>
      <c r="AC3218" s="2" t="s">
        <v>78</v>
      </c>
      <c r="AF3218" s="2">
        <f t="shared" si="382"/>
        <v>0</v>
      </c>
      <c r="AG3218" s="2">
        <f>110.125+11.77</f>
        <v>121.895</v>
      </c>
      <c r="AJ3218" s="2">
        <f t="shared" si="383"/>
        <v>0</v>
      </c>
      <c r="AK3218" s="2">
        <f t="shared" si="381"/>
        <v>72.855000000000004</v>
      </c>
      <c r="AL3218" s="5">
        <f t="shared" si="385"/>
        <v>0.37409499358151477</v>
      </c>
    </row>
    <row r="3219" spans="1:38" x14ac:dyDescent="0.2">
      <c r="A3219" s="2">
        <v>2026</v>
      </c>
      <c r="B3219" s="2">
        <v>2</v>
      </c>
      <c r="D3219" s="2" t="s">
        <v>2002</v>
      </c>
      <c r="M3219" s="2" t="s">
        <v>81</v>
      </c>
      <c r="P3219" s="2" t="s">
        <v>73</v>
      </c>
      <c r="Q3219" s="2" t="s">
        <v>1137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4"/>
        <v>0.44431818181818183</v>
      </c>
      <c r="Z3219" s="2" t="s">
        <v>3237</v>
      </c>
      <c r="AA3219" s="2" t="s">
        <v>76</v>
      </c>
      <c r="AB3219" s="2" t="s">
        <v>77</v>
      </c>
      <c r="AC3219" s="2" t="s">
        <v>78</v>
      </c>
      <c r="AF3219" s="2">
        <f t="shared" si="382"/>
        <v>0</v>
      </c>
      <c r="AJ3219" s="2">
        <f t="shared" si="383"/>
        <v>0</v>
      </c>
      <c r="AK3219" s="2">
        <f t="shared" si="381"/>
        <v>97.75</v>
      </c>
      <c r="AL3219" s="5">
        <f t="shared" si="385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1028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4"/>
        <v>0.40663819875776402</v>
      </c>
      <c r="Z3220" s="2" t="s">
        <v>3237</v>
      </c>
      <c r="AA3220" s="2" t="s">
        <v>76</v>
      </c>
      <c r="AB3220" s="2" t="s">
        <v>77</v>
      </c>
      <c r="AC3220" s="2" t="s">
        <v>78</v>
      </c>
      <c r="AF3220" s="2">
        <f t="shared" si="382"/>
        <v>0</v>
      </c>
      <c r="AJ3220" s="2">
        <f t="shared" si="383"/>
        <v>0</v>
      </c>
      <c r="AK3220" s="2">
        <f t="shared" si="381"/>
        <v>104.75000000000003</v>
      </c>
      <c r="AL3220" s="5">
        <f t="shared" si="385"/>
        <v>0.40663819875776402</v>
      </c>
    </row>
    <row r="3221" spans="1:38" x14ac:dyDescent="0.2">
      <c r="A3221" s="2">
        <v>2026</v>
      </c>
      <c r="B3221" s="2">
        <v>2</v>
      </c>
      <c r="D3221" s="2" t="s">
        <v>2583</v>
      </c>
      <c r="P3221" s="2" t="s">
        <v>73</v>
      </c>
      <c r="Q3221" s="2" t="s">
        <v>2584</v>
      </c>
      <c r="R3221" s="2" t="s">
        <v>2585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4"/>
        <v>0.46964</v>
      </c>
      <c r="Z3221" s="2" t="s">
        <v>3237</v>
      </c>
      <c r="AA3221" s="2" t="s">
        <v>76</v>
      </c>
      <c r="AB3221" s="2" t="s">
        <v>77</v>
      </c>
      <c r="AC3221" s="2" t="s">
        <v>78</v>
      </c>
      <c r="AF3221" s="2">
        <f t="shared" si="382"/>
        <v>0</v>
      </c>
      <c r="AJ3221" s="2">
        <f t="shared" si="383"/>
        <v>0</v>
      </c>
      <c r="AK3221" s="2">
        <f t="shared" si="381"/>
        <v>117.41</v>
      </c>
      <c r="AL3221" s="5">
        <f t="shared" si="385"/>
        <v>0.46964</v>
      </c>
    </row>
    <row r="3222" spans="1:38" x14ac:dyDescent="0.2">
      <c r="A3222" s="2">
        <v>2026</v>
      </c>
      <c r="B3222" s="2">
        <v>2</v>
      </c>
      <c r="D3222" s="2" t="s">
        <v>2586</v>
      </c>
      <c r="E3222" s="2" t="s">
        <v>184</v>
      </c>
      <c r="F3222" s="2" t="s">
        <v>2587</v>
      </c>
      <c r="G3222" s="2">
        <v>515259144</v>
      </c>
      <c r="H3222" s="2" t="s">
        <v>81</v>
      </c>
      <c r="I3222" s="2" t="s">
        <v>157</v>
      </c>
      <c r="J3222" s="2" t="s">
        <v>2588</v>
      </c>
      <c r="K3222" s="2">
        <v>968626165</v>
      </c>
      <c r="L3222" s="2" t="s">
        <v>100</v>
      </c>
      <c r="M3222" s="2" t="s">
        <v>81</v>
      </c>
      <c r="O3222" s="2" t="s">
        <v>2589</v>
      </c>
      <c r="P3222" s="2" t="s">
        <v>1041</v>
      </c>
      <c r="Q3222" s="2" t="s">
        <v>1961</v>
      </c>
      <c r="R3222" s="2" t="s">
        <v>1962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4"/>
        <v>0.45475543478260871</v>
      </c>
      <c r="Z3222" s="2" t="s">
        <v>3237</v>
      </c>
      <c r="AA3222" s="2" t="s">
        <v>76</v>
      </c>
      <c r="AB3222" s="2" t="s">
        <v>77</v>
      </c>
      <c r="AC3222" s="2" t="s">
        <v>1041</v>
      </c>
      <c r="AF3222" s="2">
        <f t="shared" si="382"/>
        <v>0</v>
      </c>
      <c r="AJ3222" s="2">
        <f t="shared" si="383"/>
        <v>0</v>
      </c>
      <c r="AK3222" s="2">
        <f t="shared" si="381"/>
        <v>803.28000000000009</v>
      </c>
      <c r="AL3222" s="5">
        <f t="shared" si="385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1041</v>
      </c>
      <c r="Q3223" s="2" t="s">
        <v>2590</v>
      </c>
      <c r="R3223" s="2" t="s">
        <v>2591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4"/>
        <v>0.48408421052631578</v>
      </c>
      <c r="Z3223" s="2" t="s">
        <v>3237</v>
      </c>
      <c r="AA3223" s="2" t="s">
        <v>76</v>
      </c>
      <c r="AB3223" s="2" t="s">
        <v>77</v>
      </c>
      <c r="AC3223" s="2" t="s">
        <v>1041</v>
      </c>
      <c r="AF3223" s="2">
        <f t="shared" si="382"/>
        <v>0</v>
      </c>
      <c r="AJ3223" s="2">
        <f t="shared" si="383"/>
        <v>0</v>
      </c>
      <c r="AK3223" s="2">
        <f t="shared" ref="AK3223:AK3254" si="386">T3223-W3223</f>
        <v>229.94</v>
      </c>
      <c r="AL3223" s="5">
        <f t="shared" si="385"/>
        <v>0.48408421052631578</v>
      </c>
    </row>
    <row r="3224" spans="1:38" x14ac:dyDescent="0.2">
      <c r="A3224" s="2">
        <v>2026</v>
      </c>
      <c r="B3224" s="2">
        <v>2</v>
      </c>
      <c r="C3224" s="2" t="s">
        <v>3332</v>
      </c>
      <c r="D3224" s="2" t="s">
        <v>1165</v>
      </c>
      <c r="E3224" s="2" t="s">
        <v>754</v>
      </c>
      <c r="G3224" s="2">
        <v>508199280</v>
      </c>
      <c r="H3224" s="2" t="s">
        <v>40</v>
      </c>
      <c r="I3224" s="2" t="s">
        <v>1166</v>
      </c>
      <c r="L3224" s="2" t="s">
        <v>294</v>
      </c>
      <c r="M3224" s="2" t="s">
        <v>81</v>
      </c>
      <c r="P3224" s="2" t="s">
        <v>1041</v>
      </c>
      <c r="Q3224" s="2" t="s">
        <v>2592</v>
      </c>
      <c r="R3224" s="2" t="s">
        <v>2593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4"/>
        <v>0.57005263157894737</v>
      </c>
      <c r="Z3224" s="2" t="s">
        <v>3237</v>
      </c>
      <c r="AA3224" s="2" t="s">
        <v>76</v>
      </c>
      <c r="AB3224" s="2" t="s">
        <v>77</v>
      </c>
      <c r="AC3224" s="2" t="s">
        <v>1041</v>
      </c>
      <c r="AF3224" s="2">
        <f t="shared" si="382"/>
        <v>0</v>
      </c>
      <c r="AJ3224" s="2">
        <f t="shared" si="383"/>
        <v>0</v>
      </c>
      <c r="AK3224" s="2">
        <f t="shared" si="386"/>
        <v>162.465</v>
      </c>
      <c r="AL3224" s="5">
        <f t="shared" si="385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4"/>
        <v>0.59743333333333337</v>
      </c>
      <c r="Z3225" s="2" t="s">
        <v>3237</v>
      </c>
      <c r="AA3225" s="2" t="s">
        <v>88</v>
      </c>
      <c r="AB3225" s="2" t="s">
        <v>91</v>
      </c>
      <c r="AC3225" s="2" t="s">
        <v>85</v>
      </c>
      <c r="AF3225" s="2">
        <f t="shared" si="382"/>
        <v>0</v>
      </c>
      <c r="AJ3225" s="2">
        <f t="shared" si="383"/>
        <v>0</v>
      </c>
      <c r="AK3225" s="2">
        <f t="shared" si="386"/>
        <v>3.5846</v>
      </c>
      <c r="AL3225" s="5">
        <f t="shared" si="385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4"/>
        <v>0.59743333333333337</v>
      </c>
      <c r="Z3226" s="2" t="s">
        <v>3237</v>
      </c>
      <c r="AA3226" s="2" t="s">
        <v>88</v>
      </c>
      <c r="AB3226" s="2" t="s">
        <v>91</v>
      </c>
      <c r="AC3226" s="2" t="s">
        <v>85</v>
      </c>
      <c r="AF3226" s="2">
        <f t="shared" si="382"/>
        <v>0</v>
      </c>
      <c r="AJ3226" s="2">
        <f t="shared" si="383"/>
        <v>0</v>
      </c>
      <c r="AK3226" s="2">
        <f t="shared" si="386"/>
        <v>3.5846</v>
      </c>
      <c r="AL3226" s="5">
        <f t="shared" si="385"/>
        <v>0.59743333333333337</v>
      </c>
    </row>
    <row r="3227" spans="1:38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2594</v>
      </c>
      <c r="P3227" s="2" t="s">
        <v>85</v>
      </c>
      <c r="Q3227" s="2" t="s">
        <v>2595</v>
      </c>
      <c r="R3227" s="2" t="s">
        <v>2596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4"/>
        <v>1</v>
      </c>
      <c r="Z3227" s="2" t="s">
        <v>3237</v>
      </c>
      <c r="AA3227" s="2" t="s">
        <v>88</v>
      </c>
      <c r="AB3227" s="2" t="s">
        <v>61</v>
      </c>
      <c r="AC3227" s="2" t="s">
        <v>85</v>
      </c>
      <c r="AF3227" s="2">
        <f t="shared" si="382"/>
        <v>0</v>
      </c>
      <c r="AJ3227" s="2">
        <f t="shared" si="383"/>
        <v>0</v>
      </c>
      <c r="AK3227" s="2">
        <f t="shared" si="386"/>
        <v>77</v>
      </c>
      <c r="AL3227" s="5">
        <f t="shared" si="385"/>
        <v>1</v>
      </c>
    </row>
    <row r="3228" spans="1:38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2597</v>
      </c>
      <c r="P3228" s="2" t="s">
        <v>1197</v>
      </c>
      <c r="Q3228" s="2" t="s">
        <v>2598</v>
      </c>
      <c r="R3228" s="2" t="s">
        <v>2599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4"/>
        <v>1</v>
      </c>
      <c r="Z3228" s="2" t="s">
        <v>105</v>
      </c>
      <c r="AA3228" s="2" t="s">
        <v>1202</v>
      </c>
      <c r="AB3228" s="2" t="s">
        <v>120</v>
      </c>
      <c r="AC3228" s="2" t="s">
        <v>1197</v>
      </c>
      <c r="AF3228" s="2">
        <f t="shared" si="382"/>
        <v>0</v>
      </c>
      <c r="AJ3228" s="2">
        <f t="shared" si="383"/>
        <v>0</v>
      </c>
      <c r="AK3228" s="2">
        <f t="shared" si="386"/>
        <v>1020</v>
      </c>
      <c r="AL3228" s="5">
        <f t="shared" si="385"/>
        <v>1</v>
      </c>
    </row>
    <row r="3229" spans="1:38" x14ac:dyDescent="0.2">
      <c r="A3229" s="2">
        <v>2026</v>
      </c>
      <c r="B3229" s="2">
        <v>2</v>
      </c>
      <c r="D3229" s="2" t="s">
        <v>1793</v>
      </c>
      <c r="O3229" s="2" t="s">
        <v>2600</v>
      </c>
      <c r="P3229" s="2" t="s">
        <v>3407</v>
      </c>
      <c r="Q3229" s="2" t="s">
        <v>2601</v>
      </c>
      <c r="R3229" s="2" t="s">
        <v>2602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4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3407</v>
      </c>
      <c r="AF3229" s="2">
        <f t="shared" si="382"/>
        <v>0</v>
      </c>
      <c r="AG3229" s="2">
        <f>527.7299+435.61</f>
        <v>963.33990000000006</v>
      </c>
      <c r="AJ3229" s="2">
        <f t="shared" si="383"/>
        <v>0</v>
      </c>
      <c r="AK3229" s="2">
        <f t="shared" si="386"/>
        <v>1544.1601000000001</v>
      </c>
      <c r="AL3229" s="5">
        <f t="shared" si="385"/>
        <v>0.61581659022931212</v>
      </c>
    </row>
    <row r="3230" spans="1:38" x14ac:dyDescent="0.2">
      <c r="A3230" s="2">
        <v>2026</v>
      </c>
      <c r="B3230" s="2">
        <v>2</v>
      </c>
      <c r="D3230" s="2" t="s">
        <v>2524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2525</v>
      </c>
      <c r="J3230" s="2" t="s">
        <v>2526</v>
      </c>
      <c r="K3230" s="2">
        <v>967032538</v>
      </c>
      <c r="L3230" s="2" t="s">
        <v>399</v>
      </c>
      <c r="M3230" s="2" t="s">
        <v>110</v>
      </c>
      <c r="O3230" s="2" t="s">
        <v>2560</v>
      </c>
      <c r="P3230" s="2" t="s">
        <v>3407</v>
      </c>
      <c r="Q3230" s="2" t="s">
        <v>2603</v>
      </c>
      <c r="R3230" s="2" t="s">
        <v>2604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4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3407</v>
      </c>
      <c r="AF3230" s="2">
        <f t="shared" si="382"/>
        <v>0</v>
      </c>
      <c r="AG3230" s="2">
        <f>729.1005+601.82</f>
        <v>1330.9205000000002</v>
      </c>
      <c r="AJ3230" s="2">
        <f t="shared" si="383"/>
        <v>0</v>
      </c>
      <c r="AK3230" s="2">
        <f t="shared" si="386"/>
        <v>1262.1295000000002</v>
      </c>
      <c r="AL3230" s="5">
        <f t="shared" si="385"/>
        <v>0.48673550452170228</v>
      </c>
    </row>
    <row r="3231" spans="1:38" x14ac:dyDescent="0.2">
      <c r="A3231" s="2">
        <v>2026</v>
      </c>
      <c r="B3231" s="2">
        <v>2</v>
      </c>
      <c r="D3231" s="2" t="s">
        <v>2605</v>
      </c>
      <c r="M3231" s="2" t="s">
        <v>81</v>
      </c>
      <c r="P3231" s="2" t="s">
        <v>1041</v>
      </c>
      <c r="Q3231" s="2" t="s">
        <v>1932</v>
      </c>
      <c r="R3231" s="2" t="s">
        <v>1933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4"/>
        <v>0.37759118341642617</v>
      </c>
      <c r="Z3231" s="2" t="s">
        <v>3237</v>
      </c>
      <c r="AA3231" s="2" t="s">
        <v>1044</v>
      </c>
      <c r="AB3231" s="2" t="s">
        <v>1274</v>
      </c>
      <c r="AC3231" s="2" t="s">
        <v>1041</v>
      </c>
      <c r="AF3231" s="2">
        <f t="shared" si="382"/>
        <v>0</v>
      </c>
      <c r="AJ3231" s="2">
        <f t="shared" si="383"/>
        <v>0</v>
      </c>
      <c r="AK3231" s="2">
        <f t="shared" si="386"/>
        <v>230.24</v>
      </c>
      <c r="AL3231" s="5">
        <f t="shared" si="385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1041</v>
      </c>
      <c r="Q3232" s="2" t="s">
        <v>2606</v>
      </c>
      <c r="R3232" s="2" t="s">
        <v>2607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4"/>
        <v>0.37574055472417545</v>
      </c>
      <c r="Z3232" s="2" t="s">
        <v>3237</v>
      </c>
      <c r="AA3232" s="2" t="s">
        <v>1044</v>
      </c>
      <c r="AB3232" s="2" t="s">
        <v>1274</v>
      </c>
      <c r="AC3232" s="2" t="s">
        <v>1041</v>
      </c>
      <c r="AF3232" s="2">
        <f t="shared" si="382"/>
        <v>0</v>
      </c>
      <c r="AJ3232" s="2">
        <f t="shared" si="383"/>
        <v>0</v>
      </c>
      <c r="AK3232" s="2">
        <f t="shared" si="386"/>
        <v>183.29000000000002</v>
      </c>
      <c r="AL3232" s="5">
        <f t="shared" si="385"/>
        <v>0.37574055472417545</v>
      </c>
    </row>
    <row r="3233" spans="1:38" x14ac:dyDescent="0.2">
      <c r="A3233" s="2">
        <v>2026</v>
      </c>
      <c r="B3233" s="2">
        <v>2</v>
      </c>
      <c r="D3233" s="2" t="s">
        <v>2518</v>
      </c>
      <c r="M3233" s="2" t="s">
        <v>81</v>
      </c>
      <c r="P3233" s="2" t="s">
        <v>1041</v>
      </c>
      <c r="Q3233" s="2" t="s">
        <v>2608</v>
      </c>
      <c r="R3233" s="2" t="s">
        <v>2609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4"/>
        <v>0.28744631950350374</v>
      </c>
      <c r="Z3233" s="2" t="s">
        <v>3237</v>
      </c>
      <c r="AA3233" s="2" t="s">
        <v>1044</v>
      </c>
      <c r="AB3233" s="2" t="s">
        <v>2176</v>
      </c>
      <c r="AC3233" s="2" t="s">
        <v>1041</v>
      </c>
      <c r="AF3233" s="2">
        <f t="shared" si="382"/>
        <v>0</v>
      </c>
      <c r="AJ3233" s="2">
        <f t="shared" si="383"/>
        <v>0</v>
      </c>
      <c r="AK3233" s="2">
        <f t="shared" si="386"/>
        <v>408.97</v>
      </c>
      <c r="AL3233" s="5">
        <f t="shared" si="385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2610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4"/>
        <v>1</v>
      </c>
      <c r="Z3234" s="2" t="s">
        <v>120</v>
      </c>
      <c r="AA3234" s="2" t="s">
        <v>493</v>
      </c>
      <c r="AF3234" s="2">
        <f t="shared" si="382"/>
        <v>0</v>
      </c>
      <c r="AJ3234" s="2">
        <f t="shared" si="383"/>
        <v>0</v>
      </c>
      <c r="AK3234" s="2">
        <f t="shared" si="386"/>
        <v>664.04</v>
      </c>
      <c r="AL3234" s="5">
        <f t="shared" si="385"/>
        <v>1</v>
      </c>
    </row>
    <row r="3235" spans="1:38" x14ac:dyDescent="0.2">
      <c r="A3235" s="2">
        <v>2026</v>
      </c>
      <c r="B3235" s="2">
        <v>2</v>
      </c>
      <c r="D3235" s="2" t="s">
        <v>2534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4"/>
        <v>1</v>
      </c>
      <c r="Z3235" s="2" t="s">
        <v>118</v>
      </c>
      <c r="AA3235" s="2" t="s">
        <v>318</v>
      </c>
      <c r="AF3235" s="2">
        <f t="shared" si="382"/>
        <v>0</v>
      </c>
      <c r="AJ3235" s="2">
        <f t="shared" si="383"/>
        <v>0</v>
      </c>
      <c r="AK3235" s="2">
        <f t="shared" si="386"/>
        <v>696.5</v>
      </c>
      <c r="AL3235" s="5">
        <f t="shared" si="385"/>
        <v>1</v>
      </c>
    </row>
    <row r="3236" spans="1:38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4"/>
        <v>0.5</v>
      </c>
      <c r="Z3236" s="2" t="s">
        <v>118</v>
      </c>
      <c r="AA3236" s="2" t="s">
        <v>191</v>
      </c>
      <c r="AF3236" s="2">
        <f t="shared" si="382"/>
        <v>0</v>
      </c>
      <c r="AG3236" s="2">
        <f t="shared" ref="AG3236:AG3267" si="387">W3236</f>
        <v>27.5</v>
      </c>
      <c r="AJ3236" s="2">
        <f t="shared" si="383"/>
        <v>0</v>
      </c>
      <c r="AK3236" s="2">
        <f t="shared" si="386"/>
        <v>27.5</v>
      </c>
      <c r="AL3236" s="5">
        <f t="shared" si="385"/>
        <v>0.5</v>
      </c>
    </row>
    <row r="3237" spans="1:38" x14ac:dyDescent="0.2">
      <c r="A3237" s="2">
        <v>2026</v>
      </c>
      <c r="B3237" s="2">
        <v>2</v>
      </c>
      <c r="D3237" s="2" t="s">
        <v>1358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2508</v>
      </c>
      <c r="J3237" s="2" t="s">
        <v>2509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4"/>
        <v>0.6</v>
      </c>
      <c r="Z3237" s="2" t="s">
        <v>118</v>
      </c>
      <c r="AA3237" s="2" t="s">
        <v>191</v>
      </c>
      <c r="AF3237" s="2">
        <f t="shared" si="382"/>
        <v>0</v>
      </c>
      <c r="AG3237" s="2">
        <f t="shared" si="387"/>
        <v>40</v>
      </c>
      <c r="AJ3237" s="2">
        <f t="shared" si="383"/>
        <v>0</v>
      </c>
      <c r="AK3237" s="2">
        <f t="shared" si="386"/>
        <v>60</v>
      </c>
      <c r="AL3237" s="5">
        <f t="shared" si="385"/>
        <v>0.6</v>
      </c>
    </row>
    <row r="3238" spans="1:38" x14ac:dyDescent="0.2">
      <c r="A3238" s="2">
        <v>2026</v>
      </c>
      <c r="B3238" s="2">
        <v>2</v>
      </c>
      <c r="D3238" s="2" t="s">
        <v>1358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2508</v>
      </c>
      <c r="J3238" s="2" t="s">
        <v>2509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4"/>
        <v>0.5</v>
      </c>
      <c r="Z3238" s="2" t="s">
        <v>118</v>
      </c>
      <c r="AA3238" s="2" t="s">
        <v>191</v>
      </c>
      <c r="AF3238" s="2">
        <f t="shared" si="382"/>
        <v>0</v>
      </c>
      <c r="AG3238" s="2">
        <f t="shared" si="387"/>
        <v>110</v>
      </c>
      <c r="AJ3238" s="2">
        <f t="shared" si="383"/>
        <v>0</v>
      </c>
      <c r="AK3238" s="2">
        <f t="shared" si="386"/>
        <v>110</v>
      </c>
      <c r="AL3238" s="5">
        <f t="shared" si="385"/>
        <v>0.5</v>
      </c>
    </row>
    <row r="3239" spans="1:38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4"/>
        <v>0.59999999999999987</v>
      </c>
      <c r="Z3239" s="2" t="s">
        <v>118</v>
      </c>
      <c r="AA3239" s="2" t="s">
        <v>191</v>
      </c>
      <c r="AF3239" s="2">
        <f t="shared" si="382"/>
        <v>0</v>
      </c>
      <c r="AG3239" s="2">
        <f t="shared" si="387"/>
        <v>87.600000000000009</v>
      </c>
      <c r="AJ3239" s="2">
        <f t="shared" si="383"/>
        <v>0</v>
      </c>
      <c r="AK3239" s="2">
        <f t="shared" si="386"/>
        <v>131.39999999999998</v>
      </c>
      <c r="AL3239" s="5">
        <f t="shared" si="385"/>
        <v>0.59999999999999987</v>
      </c>
    </row>
    <row r="3240" spans="1:38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4"/>
        <v>0.5</v>
      </c>
      <c r="Z3240" s="2" t="s">
        <v>118</v>
      </c>
      <c r="AA3240" s="2" t="s">
        <v>191</v>
      </c>
      <c r="AF3240" s="2">
        <f t="shared" si="382"/>
        <v>0</v>
      </c>
      <c r="AG3240" s="2">
        <f t="shared" si="387"/>
        <v>82.5</v>
      </c>
      <c r="AJ3240" s="2">
        <f t="shared" si="383"/>
        <v>0</v>
      </c>
      <c r="AK3240" s="2">
        <f t="shared" si="386"/>
        <v>82.5</v>
      </c>
      <c r="AL3240" s="5">
        <f t="shared" si="385"/>
        <v>0.5</v>
      </c>
    </row>
    <row r="3241" spans="1:38" x14ac:dyDescent="0.2">
      <c r="A3241" s="2">
        <v>2026</v>
      </c>
      <c r="B3241" s="2">
        <v>1</v>
      </c>
      <c r="D3241" s="2" t="s">
        <v>2239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4"/>
        <v>0.6</v>
      </c>
      <c r="Z3241" s="2" t="s">
        <v>118</v>
      </c>
      <c r="AA3241" s="2" t="s">
        <v>191</v>
      </c>
      <c r="AF3241" s="2">
        <f t="shared" si="382"/>
        <v>0</v>
      </c>
      <c r="AG3241" s="2">
        <f t="shared" si="387"/>
        <v>55.2</v>
      </c>
      <c r="AJ3241" s="2">
        <f t="shared" si="383"/>
        <v>0</v>
      </c>
      <c r="AK3241" s="2">
        <f t="shared" si="386"/>
        <v>82.8</v>
      </c>
      <c r="AL3241" s="5">
        <f t="shared" si="385"/>
        <v>0.6</v>
      </c>
    </row>
    <row r="3242" spans="1:38" x14ac:dyDescent="0.2">
      <c r="A3242" s="2">
        <v>2026</v>
      </c>
      <c r="B3242" s="2">
        <v>1</v>
      </c>
      <c r="D3242" s="2" t="s">
        <v>2239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4"/>
        <v>0.5</v>
      </c>
      <c r="Z3242" s="2" t="s">
        <v>118</v>
      </c>
      <c r="AA3242" s="2" t="s">
        <v>191</v>
      </c>
      <c r="AF3242" s="2">
        <f t="shared" si="382"/>
        <v>0</v>
      </c>
      <c r="AG3242" s="2">
        <f t="shared" si="387"/>
        <v>18.75</v>
      </c>
      <c r="AJ3242" s="2">
        <f t="shared" si="383"/>
        <v>0</v>
      </c>
      <c r="AK3242" s="2">
        <f t="shared" si="386"/>
        <v>18.75</v>
      </c>
      <c r="AL3242" s="5">
        <f t="shared" si="385"/>
        <v>0.5</v>
      </c>
    </row>
    <row r="3243" spans="1:38" x14ac:dyDescent="0.2">
      <c r="A3243" s="2">
        <v>2026</v>
      </c>
      <c r="B3243" s="2">
        <v>4</v>
      </c>
      <c r="D3243" s="2" t="s">
        <v>1003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1004</v>
      </c>
      <c r="J3243" s="2" t="s">
        <v>1005</v>
      </c>
      <c r="K3243" s="2">
        <v>917233128</v>
      </c>
      <c r="L3243" s="2" t="s">
        <v>100</v>
      </c>
      <c r="M3243" s="2" t="s">
        <v>40</v>
      </c>
      <c r="O3243" s="2" t="s">
        <v>2611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4"/>
        <v>0.6</v>
      </c>
      <c r="Z3243" s="2" t="s">
        <v>118</v>
      </c>
      <c r="AA3243" s="2" t="s">
        <v>191</v>
      </c>
      <c r="AF3243" s="2">
        <f t="shared" si="382"/>
        <v>0</v>
      </c>
      <c r="AG3243" s="2">
        <f t="shared" si="387"/>
        <v>22</v>
      </c>
      <c r="AJ3243" s="2">
        <f t="shared" si="383"/>
        <v>0</v>
      </c>
      <c r="AK3243" s="2">
        <f t="shared" si="386"/>
        <v>33</v>
      </c>
      <c r="AL3243" s="5">
        <f t="shared" si="385"/>
        <v>0.6</v>
      </c>
    </row>
    <row r="3244" spans="1:38" x14ac:dyDescent="0.2">
      <c r="A3244" s="2">
        <v>2026</v>
      </c>
      <c r="B3244" s="2">
        <v>4</v>
      </c>
      <c r="D3244" s="2" t="s">
        <v>1003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1004</v>
      </c>
      <c r="J3244" s="2" t="s">
        <v>1005</v>
      </c>
      <c r="K3244" s="2">
        <v>917233128</v>
      </c>
      <c r="L3244" s="2" t="s">
        <v>100</v>
      </c>
      <c r="M3244" s="2" t="s">
        <v>40</v>
      </c>
      <c r="O3244" s="2" t="s">
        <v>2611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4"/>
        <v>0.5</v>
      </c>
      <c r="Z3244" s="2" t="s">
        <v>118</v>
      </c>
      <c r="AA3244" s="2" t="s">
        <v>191</v>
      </c>
      <c r="AF3244" s="2">
        <f t="shared" si="382"/>
        <v>0</v>
      </c>
      <c r="AG3244" s="2">
        <f t="shared" si="387"/>
        <v>55</v>
      </c>
      <c r="AJ3244" s="2">
        <f t="shared" si="383"/>
        <v>0</v>
      </c>
      <c r="AK3244" s="2">
        <f t="shared" si="386"/>
        <v>55</v>
      </c>
      <c r="AL3244" s="5">
        <f t="shared" si="385"/>
        <v>0.5</v>
      </c>
    </row>
    <row r="3245" spans="1:38" x14ac:dyDescent="0.2">
      <c r="A3245" s="2">
        <v>2026</v>
      </c>
      <c r="B3245" s="2">
        <v>1</v>
      </c>
      <c r="D3245" s="2" t="s">
        <v>2341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4"/>
        <v>0.60000000000000009</v>
      </c>
      <c r="Z3245" s="2" t="s">
        <v>118</v>
      </c>
      <c r="AA3245" s="2" t="s">
        <v>191</v>
      </c>
      <c r="AF3245" s="2">
        <f t="shared" si="382"/>
        <v>0</v>
      </c>
      <c r="AG3245" s="2">
        <f t="shared" si="387"/>
        <v>117.2</v>
      </c>
      <c r="AJ3245" s="2">
        <f t="shared" si="383"/>
        <v>0</v>
      </c>
      <c r="AK3245" s="2">
        <f t="shared" si="386"/>
        <v>175.8</v>
      </c>
      <c r="AL3245" s="5">
        <f t="shared" si="385"/>
        <v>0.60000000000000009</v>
      </c>
    </row>
    <row r="3246" spans="1:38" x14ac:dyDescent="0.2">
      <c r="A3246" s="2">
        <v>2026</v>
      </c>
      <c r="B3246" s="2">
        <v>1</v>
      </c>
      <c r="D3246" s="2" t="s">
        <v>2341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4"/>
        <v>0.5</v>
      </c>
      <c r="Z3246" s="2" t="s">
        <v>118</v>
      </c>
      <c r="AA3246" s="2" t="s">
        <v>191</v>
      </c>
      <c r="AF3246" s="2">
        <f t="shared" si="382"/>
        <v>0</v>
      </c>
      <c r="AG3246" s="2">
        <f t="shared" si="387"/>
        <v>43.75</v>
      </c>
      <c r="AJ3246" s="2">
        <f t="shared" si="383"/>
        <v>0</v>
      </c>
      <c r="AK3246" s="2">
        <f t="shared" si="386"/>
        <v>43.75</v>
      </c>
      <c r="AL3246" s="5">
        <f t="shared" si="385"/>
        <v>0.5</v>
      </c>
    </row>
    <row r="3247" spans="1:38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2312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4"/>
        <v>0.6</v>
      </c>
      <c r="Z3247" s="2" t="s">
        <v>118</v>
      </c>
      <c r="AA3247" s="2" t="s">
        <v>191</v>
      </c>
      <c r="AF3247" s="2">
        <f t="shared" si="382"/>
        <v>0</v>
      </c>
      <c r="AG3247" s="2">
        <f t="shared" si="387"/>
        <v>20</v>
      </c>
      <c r="AJ3247" s="2">
        <f t="shared" si="383"/>
        <v>0</v>
      </c>
      <c r="AK3247" s="2">
        <f t="shared" si="386"/>
        <v>30</v>
      </c>
      <c r="AL3247" s="5">
        <f t="shared" ref="AL3247:AL3261" si="388">(T3247-W3247)/T3247</f>
        <v>0.6</v>
      </c>
    </row>
    <row r="3248" spans="1:38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2312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4"/>
        <v>0.5</v>
      </c>
      <c r="Z3248" s="2" t="s">
        <v>118</v>
      </c>
      <c r="AA3248" s="2" t="s">
        <v>191</v>
      </c>
      <c r="AF3248" s="2">
        <f t="shared" si="382"/>
        <v>0</v>
      </c>
      <c r="AG3248" s="2">
        <f t="shared" si="387"/>
        <v>31.25</v>
      </c>
      <c r="AJ3248" s="2">
        <f t="shared" si="383"/>
        <v>0</v>
      </c>
      <c r="AK3248" s="2">
        <f t="shared" si="386"/>
        <v>31.25</v>
      </c>
      <c r="AL3248" s="5">
        <f t="shared" si="388"/>
        <v>0.5</v>
      </c>
    </row>
    <row r="3249" spans="1:38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2482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4"/>
        <v>0.6</v>
      </c>
      <c r="Z3249" s="2" t="s">
        <v>118</v>
      </c>
      <c r="AA3249" s="2" t="s">
        <v>191</v>
      </c>
      <c r="AF3249" s="2">
        <f t="shared" si="382"/>
        <v>0</v>
      </c>
      <c r="AG3249" s="2">
        <f t="shared" si="387"/>
        <v>22</v>
      </c>
      <c r="AJ3249" s="2">
        <f t="shared" si="383"/>
        <v>0</v>
      </c>
      <c r="AK3249" s="2">
        <f t="shared" si="386"/>
        <v>33</v>
      </c>
      <c r="AL3249" s="5">
        <f t="shared" si="388"/>
        <v>0.6</v>
      </c>
    </row>
    <row r="3250" spans="1:38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2482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4"/>
        <v>0.5</v>
      </c>
      <c r="Z3250" s="2" t="s">
        <v>118</v>
      </c>
      <c r="AA3250" s="2" t="s">
        <v>191</v>
      </c>
      <c r="AF3250" s="2">
        <f t="shared" si="382"/>
        <v>0</v>
      </c>
      <c r="AG3250" s="2">
        <f t="shared" si="387"/>
        <v>27.5</v>
      </c>
      <c r="AJ3250" s="2">
        <f t="shared" si="383"/>
        <v>0</v>
      </c>
      <c r="AK3250" s="2">
        <f t="shared" si="386"/>
        <v>27.5</v>
      </c>
      <c r="AL3250" s="5">
        <f t="shared" si="388"/>
        <v>0.5</v>
      </c>
    </row>
    <row r="3251" spans="1:38" x14ac:dyDescent="0.2">
      <c r="A3251" s="2">
        <v>2026</v>
      </c>
      <c r="B3251" s="2">
        <v>1</v>
      </c>
      <c r="D3251" s="2" t="s">
        <v>1011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4"/>
        <v>0.6</v>
      </c>
      <c r="Z3251" s="2" t="s">
        <v>118</v>
      </c>
      <c r="AA3251" s="2" t="s">
        <v>191</v>
      </c>
      <c r="AF3251" s="2">
        <f t="shared" si="382"/>
        <v>0</v>
      </c>
      <c r="AG3251" s="2">
        <f t="shared" si="387"/>
        <v>35.200000000000003</v>
      </c>
      <c r="AJ3251" s="2">
        <f t="shared" si="383"/>
        <v>0</v>
      </c>
      <c r="AK3251" s="2">
        <f t="shared" si="386"/>
        <v>52.8</v>
      </c>
      <c r="AL3251" s="5">
        <f t="shared" si="388"/>
        <v>0.6</v>
      </c>
    </row>
    <row r="3252" spans="1:38" x14ac:dyDescent="0.2">
      <c r="A3252" s="2">
        <v>2026</v>
      </c>
      <c r="B3252" s="2">
        <v>1</v>
      </c>
      <c r="D3252" s="2" t="s">
        <v>1011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4"/>
        <v>0.5</v>
      </c>
      <c r="Z3252" s="2" t="s">
        <v>118</v>
      </c>
      <c r="AA3252" s="2" t="s">
        <v>191</v>
      </c>
      <c r="AF3252" s="2">
        <f t="shared" si="382"/>
        <v>0</v>
      </c>
      <c r="AG3252" s="2">
        <f t="shared" si="387"/>
        <v>25</v>
      </c>
      <c r="AJ3252" s="2">
        <f t="shared" si="383"/>
        <v>0</v>
      </c>
      <c r="AK3252" s="2">
        <f t="shared" si="386"/>
        <v>25</v>
      </c>
      <c r="AL3252" s="5">
        <f t="shared" si="388"/>
        <v>0.5</v>
      </c>
    </row>
    <row r="3253" spans="1:38" x14ac:dyDescent="0.2">
      <c r="A3253" s="2">
        <v>2026</v>
      </c>
      <c r="B3253" s="2">
        <v>4</v>
      </c>
      <c r="D3253" s="2" t="s">
        <v>1012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1013</v>
      </c>
      <c r="J3253" s="2" t="s">
        <v>1014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4"/>
        <v>0.6</v>
      </c>
      <c r="Z3253" s="2" t="s">
        <v>118</v>
      </c>
      <c r="AA3253" s="2" t="s">
        <v>191</v>
      </c>
      <c r="AF3253" s="2">
        <f t="shared" si="382"/>
        <v>0</v>
      </c>
      <c r="AG3253" s="2">
        <f t="shared" si="387"/>
        <v>24</v>
      </c>
      <c r="AJ3253" s="2">
        <f t="shared" si="383"/>
        <v>0</v>
      </c>
      <c r="AK3253" s="2">
        <f t="shared" si="386"/>
        <v>36</v>
      </c>
      <c r="AL3253" s="5">
        <f t="shared" si="388"/>
        <v>0.6</v>
      </c>
    </row>
    <row r="3254" spans="1:38" x14ac:dyDescent="0.2">
      <c r="A3254" s="2">
        <v>2026</v>
      </c>
      <c r="B3254" s="2">
        <v>4</v>
      </c>
      <c r="D3254" s="2" t="s">
        <v>1012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1013</v>
      </c>
      <c r="J3254" s="2" t="s">
        <v>1014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4"/>
        <v>0.5</v>
      </c>
      <c r="Z3254" s="2" t="s">
        <v>118</v>
      </c>
      <c r="AA3254" s="2" t="s">
        <v>191</v>
      </c>
      <c r="AF3254" s="2">
        <f t="shared" si="382"/>
        <v>0</v>
      </c>
      <c r="AG3254" s="2">
        <f t="shared" si="387"/>
        <v>27.5</v>
      </c>
      <c r="AJ3254" s="2">
        <f t="shared" si="383"/>
        <v>0</v>
      </c>
      <c r="AK3254" s="2">
        <f t="shared" si="386"/>
        <v>27.5</v>
      </c>
      <c r="AL3254" s="5">
        <f t="shared" si="388"/>
        <v>0.5</v>
      </c>
    </row>
    <row r="3255" spans="1:38" x14ac:dyDescent="0.2">
      <c r="A3255" s="2">
        <v>2026</v>
      </c>
      <c r="B3255" s="2">
        <v>4</v>
      </c>
      <c r="D3255" s="2" t="s">
        <v>1244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4"/>
        <v>0.6</v>
      </c>
      <c r="Z3255" s="2" t="s">
        <v>118</v>
      </c>
      <c r="AA3255" s="2" t="s">
        <v>191</v>
      </c>
      <c r="AF3255" s="2">
        <f t="shared" si="382"/>
        <v>0</v>
      </c>
      <c r="AG3255" s="2">
        <f t="shared" si="387"/>
        <v>44</v>
      </c>
      <c r="AJ3255" s="2">
        <f t="shared" si="383"/>
        <v>0</v>
      </c>
      <c r="AK3255" s="2">
        <f t="shared" ref="AK3255:AK3261" si="389">T3255-W3255</f>
        <v>66</v>
      </c>
      <c r="AL3255" s="5">
        <f t="shared" si="388"/>
        <v>0.6</v>
      </c>
    </row>
    <row r="3256" spans="1:38" x14ac:dyDescent="0.2">
      <c r="A3256" s="2">
        <v>2026</v>
      </c>
      <c r="B3256" s="2">
        <v>4</v>
      </c>
      <c r="D3256" s="2" t="s">
        <v>1244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4"/>
        <v>0.5</v>
      </c>
      <c r="Z3256" s="2" t="s">
        <v>118</v>
      </c>
      <c r="AA3256" s="2" t="s">
        <v>191</v>
      </c>
      <c r="AF3256" s="2">
        <f t="shared" si="382"/>
        <v>0</v>
      </c>
      <c r="AG3256" s="2">
        <f t="shared" si="387"/>
        <v>103.125</v>
      </c>
      <c r="AJ3256" s="2">
        <f t="shared" si="383"/>
        <v>0</v>
      </c>
      <c r="AK3256" s="2">
        <f t="shared" si="389"/>
        <v>103.125</v>
      </c>
      <c r="AL3256" s="5">
        <f t="shared" si="388"/>
        <v>0.5</v>
      </c>
    </row>
    <row r="3257" spans="1:38" x14ac:dyDescent="0.2">
      <c r="A3257" s="2">
        <v>2026</v>
      </c>
      <c r="B3257" s="2">
        <v>2</v>
      </c>
      <c r="D3257" s="2" t="s">
        <v>2517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4"/>
        <v>0.6</v>
      </c>
      <c r="Z3257" s="2" t="s">
        <v>118</v>
      </c>
      <c r="AA3257" s="2" t="s">
        <v>191</v>
      </c>
      <c r="AF3257" s="2">
        <f t="shared" si="382"/>
        <v>0</v>
      </c>
      <c r="AG3257" s="2">
        <f t="shared" si="387"/>
        <v>84</v>
      </c>
      <c r="AJ3257" s="2">
        <f t="shared" si="383"/>
        <v>0</v>
      </c>
      <c r="AK3257" s="2">
        <f t="shared" si="389"/>
        <v>126</v>
      </c>
      <c r="AL3257" s="5">
        <f t="shared" si="388"/>
        <v>0.6</v>
      </c>
    </row>
    <row r="3258" spans="1:38" x14ac:dyDescent="0.2">
      <c r="A3258" s="2">
        <v>2026</v>
      </c>
      <c r="B3258" s="2">
        <v>2</v>
      </c>
      <c r="D3258" s="2" t="s">
        <v>2517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4"/>
        <v>0.5</v>
      </c>
      <c r="Z3258" s="2" t="s">
        <v>118</v>
      </c>
      <c r="AA3258" s="2" t="s">
        <v>191</v>
      </c>
      <c r="AF3258" s="2">
        <f t="shared" si="382"/>
        <v>0</v>
      </c>
      <c r="AG3258" s="2">
        <f t="shared" si="387"/>
        <v>37.5</v>
      </c>
      <c r="AJ3258" s="2">
        <f t="shared" si="383"/>
        <v>0</v>
      </c>
      <c r="AK3258" s="2">
        <f t="shared" si="389"/>
        <v>37.5</v>
      </c>
      <c r="AL3258" s="5">
        <f t="shared" si="388"/>
        <v>0.5</v>
      </c>
    </row>
    <row r="3259" spans="1:38" x14ac:dyDescent="0.2">
      <c r="A3259" s="2">
        <v>2026</v>
      </c>
      <c r="B3259" s="2">
        <v>4</v>
      </c>
      <c r="D3259" s="2" t="s">
        <v>2612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2613</v>
      </c>
      <c r="K3259" s="2">
        <v>935402550</v>
      </c>
      <c r="L3259" s="2" t="s">
        <v>113</v>
      </c>
      <c r="M3259" s="2" t="s">
        <v>40</v>
      </c>
      <c r="O3259" s="2" t="s">
        <v>2614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4"/>
        <v>0.6</v>
      </c>
      <c r="Z3259" s="2" t="s">
        <v>118</v>
      </c>
      <c r="AA3259" s="2" t="s">
        <v>191</v>
      </c>
      <c r="AF3259" s="2">
        <f t="shared" si="382"/>
        <v>0</v>
      </c>
      <c r="AG3259" s="2">
        <f t="shared" si="387"/>
        <v>65.600000000000009</v>
      </c>
      <c r="AJ3259" s="2">
        <f t="shared" si="383"/>
        <v>0</v>
      </c>
      <c r="AK3259" s="2">
        <f t="shared" si="389"/>
        <v>98.399999999999991</v>
      </c>
      <c r="AL3259" s="5">
        <f t="shared" si="388"/>
        <v>0.6</v>
      </c>
    </row>
    <row r="3260" spans="1:38" x14ac:dyDescent="0.2">
      <c r="A3260" s="2">
        <v>2026</v>
      </c>
      <c r="B3260" s="2">
        <v>4</v>
      </c>
      <c r="D3260" s="2" t="s">
        <v>2612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2613</v>
      </c>
      <c r="K3260" s="2">
        <v>935402550</v>
      </c>
      <c r="L3260" s="2" t="s">
        <v>113</v>
      </c>
      <c r="M3260" s="2" t="s">
        <v>40</v>
      </c>
      <c r="O3260" s="2" t="s">
        <v>2614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4"/>
        <v>0.5</v>
      </c>
      <c r="Z3260" s="2" t="s">
        <v>118</v>
      </c>
      <c r="AA3260" s="2" t="s">
        <v>191</v>
      </c>
      <c r="AF3260" s="2">
        <f t="shared" si="382"/>
        <v>0</v>
      </c>
      <c r="AG3260" s="2">
        <f t="shared" si="387"/>
        <v>68.75</v>
      </c>
      <c r="AJ3260" s="2">
        <f t="shared" si="383"/>
        <v>0</v>
      </c>
      <c r="AK3260" s="2">
        <f t="shared" si="389"/>
        <v>68.75</v>
      </c>
      <c r="AL3260" s="5">
        <f t="shared" si="388"/>
        <v>0.5</v>
      </c>
    </row>
    <row r="3261" spans="1:38" x14ac:dyDescent="0.2">
      <c r="A3261" s="2">
        <v>2026</v>
      </c>
      <c r="B3261" s="2">
        <v>4</v>
      </c>
      <c r="D3261" s="2" t="s">
        <v>2615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2616</v>
      </c>
      <c r="J3261" s="2" t="s">
        <v>2617</v>
      </c>
      <c r="K3261" s="2">
        <v>912183782</v>
      </c>
      <c r="L3261" s="2" t="s">
        <v>202</v>
      </c>
      <c r="M3261" s="2" t="s">
        <v>40</v>
      </c>
      <c r="O3261" s="2" t="s">
        <v>2618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4"/>
        <v>0.6</v>
      </c>
      <c r="Z3261" s="2" t="s">
        <v>118</v>
      </c>
      <c r="AA3261" s="2" t="s">
        <v>191</v>
      </c>
      <c r="AF3261" s="2">
        <f t="shared" si="382"/>
        <v>0</v>
      </c>
      <c r="AG3261" s="2">
        <f t="shared" si="387"/>
        <v>23.200000000000003</v>
      </c>
      <c r="AJ3261" s="2">
        <f t="shared" si="383"/>
        <v>0</v>
      </c>
      <c r="AK3261" s="2">
        <f t="shared" si="389"/>
        <v>34.799999999999997</v>
      </c>
      <c r="AL3261" s="5">
        <f t="shared" si="388"/>
        <v>0.6</v>
      </c>
    </row>
    <row r="3262" spans="1:38" x14ac:dyDescent="0.2">
      <c r="A3262" s="2">
        <v>2026</v>
      </c>
      <c r="B3262" s="2">
        <v>4</v>
      </c>
      <c r="D3262" s="2" t="s">
        <v>2615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2616</v>
      </c>
      <c r="J3262" s="2" t="s">
        <v>2617</v>
      </c>
      <c r="K3262" s="2">
        <v>912183782</v>
      </c>
      <c r="L3262" s="2" t="s">
        <v>202</v>
      </c>
      <c r="M3262" s="2" t="s">
        <v>40</v>
      </c>
      <c r="O3262" s="2" t="s">
        <v>2618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82"/>
        <v>0</v>
      </c>
      <c r="AG3262" s="2">
        <f t="shared" si="387"/>
        <v>0</v>
      </c>
      <c r="AJ3262" s="2">
        <f t="shared" si="383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0">(T3263-W3263)/T3263</f>
        <v>0.6</v>
      </c>
      <c r="Z3263" s="2" t="s">
        <v>118</v>
      </c>
      <c r="AA3263" s="2" t="s">
        <v>191</v>
      </c>
      <c r="AF3263" s="2">
        <f t="shared" si="382"/>
        <v>0</v>
      </c>
      <c r="AG3263" s="2">
        <f t="shared" si="387"/>
        <v>174</v>
      </c>
      <c r="AJ3263" s="2">
        <f t="shared" si="383"/>
        <v>0</v>
      </c>
      <c r="AK3263" s="2">
        <f t="shared" ref="AK3263:AK3294" si="391">T3263-W3263</f>
        <v>261</v>
      </c>
      <c r="AL3263" s="5">
        <f t="shared" ref="AL3263:AL3294" si="392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0"/>
        <v>0.5</v>
      </c>
      <c r="Z3264" s="2" t="s">
        <v>118</v>
      </c>
      <c r="AA3264" s="2" t="s">
        <v>191</v>
      </c>
      <c r="AF3264" s="2">
        <f t="shared" si="382"/>
        <v>0</v>
      </c>
      <c r="AG3264" s="2">
        <f t="shared" si="387"/>
        <v>261.25</v>
      </c>
      <c r="AJ3264" s="2">
        <f t="shared" si="383"/>
        <v>0</v>
      </c>
      <c r="AK3264" s="2">
        <f t="shared" si="391"/>
        <v>261.25</v>
      </c>
      <c r="AL3264" s="5">
        <f t="shared" si="392"/>
        <v>0.5</v>
      </c>
    </row>
    <row r="3265" spans="1:38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0"/>
        <v>0.6</v>
      </c>
      <c r="Z3265" s="2" t="s">
        <v>118</v>
      </c>
      <c r="AA3265" s="2" t="s">
        <v>191</v>
      </c>
      <c r="AF3265" s="2">
        <f t="shared" si="382"/>
        <v>0</v>
      </c>
      <c r="AG3265" s="2">
        <f t="shared" si="387"/>
        <v>41.2</v>
      </c>
      <c r="AJ3265" s="2">
        <f t="shared" si="383"/>
        <v>0</v>
      </c>
      <c r="AK3265" s="2">
        <f t="shared" si="391"/>
        <v>61.8</v>
      </c>
      <c r="AL3265" s="5">
        <f t="shared" si="392"/>
        <v>0.6</v>
      </c>
    </row>
    <row r="3266" spans="1:38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0"/>
        <v>0.5</v>
      </c>
      <c r="Z3266" s="2" t="s">
        <v>118</v>
      </c>
      <c r="AA3266" s="2" t="s">
        <v>191</v>
      </c>
      <c r="AF3266" s="2">
        <f t="shared" si="382"/>
        <v>0</v>
      </c>
      <c r="AG3266" s="2">
        <f t="shared" si="387"/>
        <v>20.625</v>
      </c>
      <c r="AJ3266" s="2">
        <f t="shared" si="383"/>
        <v>0</v>
      </c>
      <c r="AK3266" s="2">
        <f t="shared" si="391"/>
        <v>20.625</v>
      </c>
      <c r="AL3266" s="5">
        <f t="shared" si="392"/>
        <v>0.5</v>
      </c>
    </row>
    <row r="3267" spans="1:38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0"/>
        <v>0.60000000000000009</v>
      </c>
      <c r="Z3267" s="2" t="s">
        <v>118</v>
      </c>
      <c r="AA3267" s="2" t="s">
        <v>191</v>
      </c>
      <c r="AF3267" s="2">
        <f t="shared" ref="AF3267:AF3330" si="393">AJ3267</f>
        <v>0</v>
      </c>
      <c r="AG3267" s="2">
        <f t="shared" si="387"/>
        <v>49.6</v>
      </c>
      <c r="AJ3267" s="2">
        <f t="shared" ref="AJ3267:AJ3330" si="394">AI3267*T3267</f>
        <v>0</v>
      </c>
      <c r="AK3267" s="2">
        <f t="shared" si="391"/>
        <v>74.400000000000006</v>
      </c>
      <c r="AL3267" s="5">
        <f t="shared" si="392"/>
        <v>0.60000000000000009</v>
      </c>
    </row>
    <row r="3268" spans="1:38" x14ac:dyDescent="0.2">
      <c r="A3268" s="2">
        <v>2026</v>
      </c>
      <c r="B3268" s="2">
        <v>2</v>
      </c>
      <c r="C3268" s="2" t="s">
        <v>3332</v>
      </c>
      <c r="D3268" s="2" t="s">
        <v>1165</v>
      </c>
      <c r="E3268" s="2" t="s">
        <v>754</v>
      </c>
      <c r="G3268" s="2">
        <v>508199280</v>
      </c>
      <c r="H3268" s="2" t="s">
        <v>40</v>
      </c>
      <c r="I3268" s="2" t="s">
        <v>1166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0"/>
        <v>-0.53333333333333333</v>
      </c>
      <c r="Z3268" s="2" t="s">
        <v>170</v>
      </c>
      <c r="AA3268" s="2" t="s">
        <v>170</v>
      </c>
      <c r="AF3268" s="2">
        <f t="shared" si="393"/>
        <v>0</v>
      </c>
      <c r="AJ3268" s="2">
        <f t="shared" si="394"/>
        <v>0</v>
      </c>
    </row>
    <row r="3269" spans="1:38" x14ac:dyDescent="0.2">
      <c r="A3269" s="2">
        <v>2026</v>
      </c>
      <c r="B3269" s="2">
        <v>2</v>
      </c>
      <c r="D3269" s="2" t="s">
        <v>2518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0"/>
        <v>0.08</v>
      </c>
      <c r="Z3269" s="2" t="s">
        <v>170</v>
      </c>
      <c r="AA3269" s="2" t="s">
        <v>170</v>
      </c>
      <c r="AF3269" s="2">
        <f t="shared" si="393"/>
        <v>0</v>
      </c>
      <c r="AJ3269" s="2">
        <f t="shared" si="394"/>
        <v>0</v>
      </c>
      <c r="AK3269" s="2">
        <f t="shared" si="391"/>
        <v>4</v>
      </c>
      <c r="AL3269" s="5">
        <f t="shared" si="392"/>
        <v>0.08</v>
      </c>
    </row>
    <row r="3270" spans="1:38" x14ac:dyDescent="0.2">
      <c r="A3270" s="2">
        <v>2026</v>
      </c>
      <c r="B3270" s="2">
        <v>2</v>
      </c>
      <c r="D3270" s="2" t="s">
        <v>2586</v>
      </c>
      <c r="E3270" s="2" t="s">
        <v>184</v>
      </c>
      <c r="F3270" s="2" t="s">
        <v>2587</v>
      </c>
      <c r="G3270" s="2">
        <v>515259144</v>
      </c>
      <c r="H3270" s="2" t="s">
        <v>81</v>
      </c>
      <c r="I3270" s="2" t="s">
        <v>157</v>
      </c>
      <c r="J3270" s="2" t="s">
        <v>2588</v>
      </c>
      <c r="K3270" s="2">
        <v>968626165</v>
      </c>
      <c r="L3270" s="2" t="s">
        <v>100</v>
      </c>
      <c r="M3270" s="2" t="s">
        <v>81</v>
      </c>
      <c r="O3270" s="2" t="s">
        <v>2619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0"/>
        <v>1</v>
      </c>
      <c r="Z3270" s="2" t="s">
        <v>170</v>
      </c>
      <c r="AA3270" s="2" t="s">
        <v>170</v>
      </c>
      <c r="AF3270" s="2">
        <f t="shared" si="393"/>
        <v>0</v>
      </c>
      <c r="AJ3270" s="2">
        <f t="shared" si="394"/>
        <v>0</v>
      </c>
      <c r="AK3270" s="2">
        <f t="shared" si="391"/>
        <v>100</v>
      </c>
      <c r="AL3270" s="5">
        <f t="shared" si="392"/>
        <v>1</v>
      </c>
    </row>
    <row r="3271" spans="1:38" x14ac:dyDescent="0.2">
      <c r="A3271" s="2">
        <v>2026</v>
      </c>
      <c r="B3271" s="2">
        <v>2</v>
      </c>
      <c r="D3271" s="2" t="s">
        <v>1024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1561</v>
      </c>
      <c r="J3271" s="2" t="s">
        <v>2533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0"/>
        <v>1</v>
      </c>
      <c r="Z3271" s="2" t="s">
        <v>170</v>
      </c>
      <c r="AA3271" s="2" t="s">
        <v>170</v>
      </c>
      <c r="AF3271" s="2">
        <f t="shared" si="393"/>
        <v>0</v>
      </c>
      <c r="AJ3271" s="2">
        <f t="shared" si="394"/>
        <v>0</v>
      </c>
      <c r="AK3271" s="2">
        <f t="shared" si="391"/>
        <v>8</v>
      </c>
      <c r="AL3271" s="5">
        <f t="shared" si="392"/>
        <v>1</v>
      </c>
    </row>
    <row r="3272" spans="1:38" x14ac:dyDescent="0.2">
      <c r="A3272" s="2">
        <v>2026</v>
      </c>
      <c r="B3272" s="2">
        <v>2</v>
      </c>
      <c r="D3272" s="2" t="s">
        <v>2544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0"/>
        <v>1</v>
      </c>
      <c r="Z3272" s="2" t="s">
        <v>170</v>
      </c>
      <c r="AA3272" s="2" t="s">
        <v>170</v>
      </c>
      <c r="AF3272" s="2">
        <f t="shared" si="393"/>
        <v>0</v>
      </c>
      <c r="AJ3272" s="2">
        <f t="shared" si="394"/>
        <v>0</v>
      </c>
      <c r="AK3272" s="2">
        <f t="shared" si="391"/>
        <v>8</v>
      </c>
      <c r="AL3272" s="5">
        <f t="shared" si="392"/>
        <v>1</v>
      </c>
    </row>
    <row r="3273" spans="1:38" x14ac:dyDescent="0.2">
      <c r="A3273" s="2">
        <v>2026</v>
      </c>
      <c r="B3273" s="2">
        <v>2</v>
      </c>
      <c r="D3273" s="2" t="s">
        <v>1401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3227</v>
      </c>
      <c r="J3273" s="2" t="s">
        <v>3226</v>
      </c>
      <c r="K3273" s="2">
        <v>913814877</v>
      </c>
      <c r="L3273" s="2" t="s">
        <v>202</v>
      </c>
      <c r="M3273" s="2" t="s">
        <v>81</v>
      </c>
      <c r="O3273" s="2" t="s">
        <v>3223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0"/>
        <v>1</v>
      </c>
      <c r="Z3273" s="2" t="s">
        <v>170</v>
      </c>
      <c r="AA3273" s="2" t="s">
        <v>170</v>
      </c>
      <c r="AF3273" s="2">
        <f t="shared" si="393"/>
        <v>0</v>
      </c>
      <c r="AJ3273" s="2">
        <f t="shared" si="394"/>
        <v>0</v>
      </c>
      <c r="AK3273" s="2">
        <f t="shared" si="391"/>
        <v>8</v>
      </c>
      <c r="AL3273" s="5">
        <f t="shared" si="392"/>
        <v>1</v>
      </c>
    </row>
    <row r="3274" spans="1:38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0"/>
        <v>1</v>
      </c>
      <c r="Z3274" s="2" t="s">
        <v>170</v>
      </c>
      <c r="AA3274" s="2" t="s">
        <v>170</v>
      </c>
      <c r="AF3274" s="2">
        <f t="shared" si="393"/>
        <v>0</v>
      </c>
      <c r="AJ3274" s="2">
        <f t="shared" si="394"/>
        <v>0</v>
      </c>
      <c r="AK3274" s="2">
        <f t="shared" si="391"/>
        <v>5</v>
      </c>
      <c r="AL3274" s="5">
        <f t="shared" si="392"/>
        <v>1</v>
      </c>
    </row>
    <row r="3275" spans="1:38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2594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0"/>
        <v>1</v>
      </c>
      <c r="Z3275" s="2" t="s">
        <v>170</v>
      </c>
      <c r="AA3275" s="2" t="s">
        <v>170</v>
      </c>
      <c r="AF3275" s="2">
        <f t="shared" si="393"/>
        <v>0</v>
      </c>
      <c r="AJ3275" s="2">
        <f t="shared" si="394"/>
        <v>0</v>
      </c>
      <c r="AK3275" s="2">
        <f t="shared" si="391"/>
        <v>5</v>
      </c>
      <c r="AL3275" s="5">
        <f t="shared" si="392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3"/>
        <v>0</v>
      </c>
      <c r="AJ3276" s="2">
        <f t="shared" si="394"/>
        <v>0</v>
      </c>
    </row>
    <row r="3277" spans="1:38" x14ac:dyDescent="0.2">
      <c r="A3277" s="2">
        <v>2026</v>
      </c>
      <c r="B3277" s="2">
        <v>2</v>
      </c>
      <c r="D3277" s="2" t="s">
        <v>2161</v>
      </c>
      <c r="M3277" s="2" t="s">
        <v>40</v>
      </c>
      <c r="P3277" s="2" t="s">
        <v>188</v>
      </c>
      <c r="Q3277" s="2" t="s">
        <v>1312</v>
      </c>
      <c r="R3277" s="2" t="s">
        <v>1313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5">(T3277-W3277)/T3277</f>
        <v>1</v>
      </c>
      <c r="Z3277" s="2" t="s">
        <v>118</v>
      </c>
      <c r="AA3277" s="2" t="s">
        <v>1314</v>
      </c>
      <c r="AF3277" s="2">
        <f t="shared" si="393"/>
        <v>0</v>
      </c>
      <c r="AJ3277" s="2">
        <f t="shared" si="394"/>
        <v>0</v>
      </c>
      <c r="AK3277" s="2">
        <f t="shared" si="391"/>
        <v>477.28</v>
      </c>
      <c r="AL3277" s="5">
        <f t="shared" si="392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2620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5"/>
        <v>2.000401846171453E-16</v>
      </c>
      <c r="Z3278" s="2" t="s">
        <v>3237</v>
      </c>
      <c r="AA3278" s="2" t="s">
        <v>97</v>
      </c>
      <c r="AB3278" s="2" t="s">
        <v>77</v>
      </c>
      <c r="AC3278" s="2" t="s">
        <v>94</v>
      </c>
      <c r="AF3278" s="2">
        <f t="shared" si="393"/>
        <v>0</v>
      </c>
      <c r="AJ3278" s="2">
        <f t="shared" si="394"/>
        <v>0</v>
      </c>
      <c r="AK3278" s="2">
        <f t="shared" si="391"/>
        <v>0</v>
      </c>
      <c r="AL3278" s="5">
        <f t="shared" si="392"/>
        <v>2.000401846171453E-16</v>
      </c>
    </row>
    <row r="3279" spans="1:38" x14ac:dyDescent="0.2">
      <c r="A3279" s="2">
        <v>2026</v>
      </c>
      <c r="B3279" s="2">
        <v>2</v>
      </c>
      <c r="D3279" s="2" t="s">
        <v>2545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5"/>
        <v>0</v>
      </c>
      <c r="Z3279" s="2" t="s">
        <v>3237</v>
      </c>
      <c r="AA3279" s="2" t="s">
        <v>97</v>
      </c>
      <c r="AB3279" s="2" t="s">
        <v>77</v>
      </c>
      <c r="AC3279" s="2" t="s">
        <v>94</v>
      </c>
      <c r="AF3279" s="2">
        <f t="shared" si="393"/>
        <v>0</v>
      </c>
      <c r="AJ3279" s="2">
        <f t="shared" si="394"/>
        <v>0</v>
      </c>
      <c r="AK3279" s="2">
        <f t="shared" si="391"/>
        <v>0</v>
      </c>
      <c r="AL3279" s="5">
        <f t="shared" si="392"/>
        <v>0</v>
      </c>
    </row>
    <row r="3280" spans="1:38" x14ac:dyDescent="0.2">
      <c r="A3280" s="2">
        <v>2026</v>
      </c>
      <c r="B3280" s="2">
        <v>2</v>
      </c>
      <c r="C3280" s="2" t="s">
        <v>3332</v>
      </c>
      <c r="D3280" s="2" t="s">
        <v>1165</v>
      </c>
      <c r="E3280" s="2" t="s">
        <v>754</v>
      </c>
      <c r="G3280" s="2">
        <v>508199280</v>
      </c>
      <c r="H3280" s="2" t="s">
        <v>40</v>
      </c>
      <c r="I3280" s="2" t="s">
        <v>1166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5"/>
        <v>0</v>
      </c>
      <c r="Z3280" s="2" t="s">
        <v>3237</v>
      </c>
      <c r="AA3280" s="2" t="s">
        <v>97</v>
      </c>
      <c r="AB3280" s="2" t="s">
        <v>77</v>
      </c>
      <c r="AC3280" s="2" t="s">
        <v>94</v>
      </c>
      <c r="AF3280" s="2">
        <f t="shared" si="393"/>
        <v>0</v>
      </c>
      <c r="AJ3280" s="2">
        <f t="shared" si="394"/>
        <v>0</v>
      </c>
      <c r="AK3280" s="2">
        <f t="shared" si="391"/>
        <v>0</v>
      </c>
      <c r="AL3280" s="5">
        <f t="shared" si="392"/>
        <v>0</v>
      </c>
    </row>
    <row r="3281" spans="1:38" x14ac:dyDescent="0.2">
      <c r="A3281" s="2">
        <v>2026</v>
      </c>
      <c r="B3281" s="2">
        <v>2</v>
      </c>
      <c r="D3281" s="2" t="s">
        <v>2583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5"/>
        <v>0</v>
      </c>
      <c r="Z3281" s="2" t="s">
        <v>3237</v>
      </c>
      <c r="AA3281" s="2" t="s">
        <v>97</v>
      </c>
      <c r="AB3281" s="2" t="s">
        <v>77</v>
      </c>
      <c r="AC3281" s="2" t="s">
        <v>94</v>
      </c>
      <c r="AF3281" s="2">
        <f t="shared" si="393"/>
        <v>0</v>
      </c>
      <c r="AJ3281" s="2">
        <f t="shared" si="394"/>
        <v>0</v>
      </c>
      <c r="AK3281" s="2">
        <f t="shared" si="391"/>
        <v>0</v>
      </c>
      <c r="AL3281" s="5">
        <f t="shared" si="392"/>
        <v>0</v>
      </c>
    </row>
    <row r="3282" spans="1:38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2621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5"/>
        <v>0.55714285714285716</v>
      </c>
      <c r="Z3282" s="2" t="s">
        <v>3237</v>
      </c>
      <c r="AA3282" s="2" t="s">
        <v>46</v>
      </c>
      <c r="AB3282" s="2" t="s">
        <v>47</v>
      </c>
      <c r="AC3282" s="2" t="s">
        <v>48</v>
      </c>
      <c r="AF3282" s="2">
        <f t="shared" si="393"/>
        <v>0</v>
      </c>
      <c r="AG3282" s="2">
        <v>9.3000000000000007</v>
      </c>
      <c r="AH3282" s="2">
        <v>21</v>
      </c>
      <c r="AJ3282" s="2">
        <f t="shared" si="394"/>
        <v>0</v>
      </c>
      <c r="AK3282" s="2">
        <f t="shared" si="391"/>
        <v>23.4</v>
      </c>
      <c r="AL3282" s="5">
        <f t="shared" si="392"/>
        <v>0.55714285714285716</v>
      </c>
    </row>
    <row r="3283" spans="1:38" x14ac:dyDescent="0.2">
      <c r="A3283" s="2">
        <v>2026</v>
      </c>
      <c r="B3283" s="2">
        <v>2</v>
      </c>
      <c r="D3283" s="2" t="s">
        <v>984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985</v>
      </c>
      <c r="J3283" s="2" t="s">
        <v>986</v>
      </c>
      <c r="L3283" s="2" t="s">
        <v>294</v>
      </c>
      <c r="M3283" s="2" t="s">
        <v>81</v>
      </c>
      <c r="O3283" s="2" t="s">
        <v>2579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5"/>
        <v>0</v>
      </c>
      <c r="Z3283" s="2" t="s">
        <v>3237</v>
      </c>
      <c r="AA3283" s="2" t="s">
        <v>97</v>
      </c>
      <c r="AB3283" s="2" t="s">
        <v>77</v>
      </c>
      <c r="AC3283" s="2" t="s">
        <v>94</v>
      </c>
      <c r="AF3283" s="2">
        <f t="shared" si="393"/>
        <v>0</v>
      </c>
      <c r="AG3283" s="2">
        <v>1.48</v>
      </c>
      <c r="AH3283" s="2">
        <v>1.48</v>
      </c>
      <c r="AJ3283" s="2">
        <f t="shared" si="394"/>
        <v>0</v>
      </c>
      <c r="AK3283" s="2">
        <f t="shared" si="391"/>
        <v>0</v>
      </c>
      <c r="AL3283" s="5">
        <f t="shared" si="392"/>
        <v>0</v>
      </c>
    </row>
    <row r="3284" spans="1:38" x14ac:dyDescent="0.2">
      <c r="A3284" s="2">
        <v>2026</v>
      </c>
      <c r="B3284" s="2">
        <v>2</v>
      </c>
      <c r="D3284" s="2" t="s">
        <v>2565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5"/>
        <v>0</v>
      </c>
      <c r="Z3284" s="2" t="s">
        <v>3237</v>
      </c>
      <c r="AA3284" s="2" t="s">
        <v>97</v>
      </c>
      <c r="AB3284" s="2" t="s">
        <v>77</v>
      </c>
      <c r="AC3284" s="2" t="s">
        <v>94</v>
      </c>
      <c r="AF3284" s="2">
        <f t="shared" si="393"/>
        <v>0</v>
      </c>
      <c r="AJ3284" s="2">
        <f t="shared" si="394"/>
        <v>0</v>
      </c>
      <c r="AK3284" s="2">
        <f t="shared" si="391"/>
        <v>0</v>
      </c>
      <c r="AL3284" s="5">
        <f t="shared" si="392"/>
        <v>0</v>
      </c>
    </row>
    <row r="3285" spans="1:38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5"/>
        <v>0</v>
      </c>
      <c r="Z3285" s="2" t="s">
        <v>3237</v>
      </c>
      <c r="AA3285" s="2" t="s">
        <v>97</v>
      </c>
      <c r="AB3285" s="2" t="s">
        <v>77</v>
      </c>
      <c r="AC3285" s="2" t="s">
        <v>94</v>
      </c>
      <c r="AF3285" s="2">
        <f t="shared" si="393"/>
        <v>0</v>
      </c>
      <c r="AJ3285" s="2">
        <f t="shared" si="394"/>
        <v>0</v>
      </c>
      <c r="AK3285" s="2">
        <f t="shared" si="391"/>
        <v>0</v>
      </c>
      <c r="AL3285" s="5">
        <f t="shared" si="392"/>
        <v>0</v>
      </c>
    </row>
    <row r="3286" spans="1:38" x14ac:dyDescent="0.2">
      <c r="A3286" s="2">
        <v>2026</v>
      </c>
      <c r="B3286" s="2">
        <v>2</v>
      </c>
      <c r="D3286" s="2" t="s">
        <v>2002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5"/>
        <v>0</v>
      </c>
      <c r="Z3286" s="2" t="s">
        <v>3237</v>
      </c>
      <c r="AA3286" s="2" t="s">
        <v>97</v>
      </c>
      <c r="AB3286" s="2" t="s">
        <v>77</v>
      </c>
      <c r="AC3286" s="2" t="s">
        <v>94</v>
      </c>
      <c r="AF3286" s="2">
        <f t="shared" si="393"/>
        <v>0</v>
      </c>
      <c r="AJ3286" s="2">
        <f t="shared" si="394"/>
        <v>0</v>
      </c>
      <c r="AK3286" s="2">
        <f t="shared" si="391"/>
        <v>0</v>
      </c>
      <c r="AL3286" s="5">
        <f t="shared" si="392"/>
        <v>0</v>
      </c>
    </row>
    <row r="3287" spans="1:38" x14ac:dyDescent="0.2">
      <c r="A3287" s="2">
        <v>2026</v>
      </c>
      <c r="B3287" s="2">
        <v>2</v>
      </c>
      <c r="D3287" s="2" t="s">
        <v>2586</v>
      </c>
      <c r="E3287" s="2" t="s">
        <v>184</v>
      </c>
      <c r="F3287" s="2" t="s">
        <v>2587</v>
      </c>
      <c r="G3287" s="2">
        <v>515259144</v>
      </c>
      <c r="H3287" s="2" t="s">
        <v>81</v>
      </c>
      <c r="I3287" s="2" t="s">
        <v>157</v>
      </c>
      <c r="J3287" s="2" t="s">
        <v>2588</v>
      </c>
      <c r="K3287" s="2">
        <v>968626165</v>
      </c>
      <c r="L3287" s="2" t="s">
        <v>100</v>
      </c>
      <c r="M3287" s="2" t="s">
        <v>81</v>
      </c>
      <c r="O3287" s="2" t="s">
        <v>2589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5"/>
        <v>0</v>
      </c>
      <c r="Z3287" s="2" t="s">
        <v>3237</v>
      </c>
      <c r="AA3287" s="2" t="s">
        <v>97</v>
      </c>
      <c r="AB3287" s="2" t="s">
        <v>77</v>
      </c>
      <c r="AC3287" s="2" t="s">
        <v>94</v>
      </c>
      <c r="AF3287" s="2">
        <f t="shared" si="393"/>
        <v>0</v>
      </c>
      <c r="AJ3287" s="2">
        <f t="shared" si="394"/>
        <v>0</v>
      </c>
      <c r="AK3287" s="2">
        <f t="shared" si="391"/>
        <v>0</v>
      </c>
      <c r="AL3287" s="5">
        <f t="shared" si="392"/>
        <v>0</v>
      </c>
    </row>
    <row r="3288" spans="1:38" x14ac:dyDescent="0.2">
      <c r="A3288" s="2">
        <v>2026</v>
      </c>
      <c r="B3288" s="2">
        <v>2</v>
      </c>
      <c r="D3288" s="2" t="s">
        <v>1560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1561</v>
      </c>
      <c r="J3288" s="2" t="s">
        <v>1562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5"/>
        <v>0</v>
      </c>
      <c r="Z3288" s="2" t="s">
        <v>3237</v>
      </c>
      <c r="AA3288" s="2" t="s">
        <v>97</v>
      </c>
      <c r="AB3288" s="2" t="s">
        <v>77</v>
      </c>
      <c r="AC3288" s="2" t="s">
        <v>94</v>
      </c>
      <c r="AF3288" s="2">
        <f t="shared" si="393"/>
        <v>0</v>
      </c>
      <c r="AJ3288" s="2">
        <f t="shared" si="394"/>
        <v>0</v>
      </c>
      <c r="AK3288" s="2">
        <f t="shared" si="391"/>
        <v>0</v>
      </c>
      <c r="AL3288" s="5">
        <f t="shared" si="392"/>
        <v>0</v>
      </c>
    </row>
    <row r="3289" spans="1:38" x14ac:dyDescent="0.2">
      <c r="A3289" s="2">
        <v>2026</v>
      </c>
      <c r="B3289" s="2">
        <v>2</v>
      </c>
      <c r="D3289" s="2" t="s">
        <v>1380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5"/>
        <v>0</v>
      </c>
      <c r="Z3289" s="2" t="s">
        <v>3237</v>
      </c>
      <c r="AA3289" s="2" t="s">
        <v>97</v>
      </c>
      <c r="AB3289" s="2" t="s">
        <v>77</v>
      </c>
      <c r="AC3289" s="2" t="s">
        <v>94</v>
      </c>
      <c r="AF3289" s="2">
        <f t="shared" si="393"/>
        <v>0</v>
      </c>
      <c r="AJ3289" s="2">
        <f t="shared" si="394"/>
        <v>0</v>
      </c>
      <c r="AK3289" s="2">
        <f t="shared" si="391"/>
        <v>0</v>
      </c>
      <c r="AL3289" s="5">
        <f t="shared" si="392"/>
        <v>0</v>
      </c>
    </row>
    <row r="3290" spans="1:38" x14ac:dyDescent="0.2">
      <c r="A3290" s="2">
        <v>2026</v>
      </c>
      <c r="B3290" s="2">
        <v>2</v>
      </c>
      <c r="D3290" s="2" t="s">
        <v>2575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5"/>
        <v>0</v>
      </c>
      <c r="Z3290" s="2" t="s">
        <v>3237</v>
      </c>
      <c r="AA3290" s="2" t="s">
        <v>97</v>
      </c>
      <c r="AB3290" s="2" t="s">
        <v>77</v>
      </c>
      <c r="AC3290" s="2" t="s">
        <v>94</v>
      </c>
      <c r="AF3290" s="2">
        <f t="shared" si="393"/>
        <v>0</v>
      </c>
      <c r="AJ3290" s="2">
        <f t="shared" si="394"/>
        <v>0</v>
      </c>
      <c r="AK3290" s="2">
        <f t="shared" si="391"/>
        <v>0</v>
      </c>
      <c r="AL3290" s="5">
        <f t="shared" si="392"/>
        <v>0</v>
      </c>
    </row>
    <row r="3291" spans="1:38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5"/>
        <v>0</v>
      </c>
      <c r="Z3291" s="2" t="s">
        <v>3237</v>
      </c>
      <c r="AA3291" s="2" t="s">
        <v>97</v>
      </c>
      <c r="AB3291" s="2" t="s">
        <v>77</v>
      </c>
      <c r="AC3291" s="2" t="s">
        <v>94</v>
      </c>
      <c r="AF3291" s="2">
        <f t="shared" si="393"/>
        <v>0</v>
      </c>
      <c r="AJ3291" s="2">
        <f t="shared" si="394"/>
        <v>0</v>
      </c>
      <c r="AK3291" s="2">
        <f t="shared" si="391"/>
        <v>0</v>
      </c>
      <c r="AL3291" s="5">
        <f t="shared" si="392"/>
        <v>0</v>
      </c>
    </row>
    <row r="3292" spans="1:38" x14ac:dyDescent="0.2">
      <c r="A3292" s="2">
        <v>2026</v>
      </c>
      <c r="B3292" s="2">
        <v>2</v>
      </c>
      <c r="D3292" s="2" t="s">
        <v>1260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5"/>
        <v>0</v>
      </c>
      <c r="Z3292" s="2" t="s">
        <v>3237</v>
      </c>
      <c r="AA3292" s="2" t="s">
        <v>97</v>
      </c>
      <c r="AB3292" s="2" t="s">
        <v>77</v>
      </c>
      <c r="AC3292" s="2" t="s">
        <v>94</v>
      </c>
      <c r="AF3292" s="2">
        <f t="shared" si="393"/>
        <v>0</v>
      </c>
      <c r="AJ3292" s="2">
        <f t="shared" si="394"/>
        <v>0</v>
      </c>
      <c r="AK3292" s="2">
        <f t="shared" si="391"/>
        <v>0</v>
      </c>
      <c r="AL3292" s="5">
        <f t="shared" si="392"/>
        <v>0</v>
      </c>
    </row>
    <row r="3293" spans="1:38" x14ac:dyDescent="0.2">
      <c r="A3293" s="2">
        <v>2026</v>
      </c>
      <c r="B3293" s="2">
        <v>2</v>
      </c>
      <c r="D3293" s="2" t="s">
        <v>1056</v>
      </c>
      <c r="E3293" s="2" t="s">
        <v>184</v>
      </c>
      <c r="F3293" s="2" t="s">
        <v>1057</v>
      </c>
      <c r="G3293" s="2">
        <v>500199523</v>
      </c>
      <c r="H3293" s="2" t="s">
        <v>291</v>
      </c>
      <c r="I3293" s="2" t="s">
        <v>294</v>
      </c>
      <c r="J3293" s="2" t="s">
        <v>1058</v>
      </c>
      <c r="L3293" s="2" t="s">
        <v>294</v>
      </c>
      <c r="M3293" s="2" t="s">
        <v>81</v>
      </c>
      <c r="O3293" s="2" t="s">
        <v>2581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5"/>
        <v>0</v>
      </c>
      <c r="Z3293" s="2" t="s">
        <v>3237</v>
      </c>
      <c r="AA3293" s="2" t="s">
        <v>97</v>
      </c>
      <c r="AB3293" s="2" t="s">
        <v>77</v>
      </c>
      <c r="AC3293" s="2" t="s">
        <v>94</v>
      </c>
      <c r="AF3293" s="2">
        <f t="shared" si="393"/>
        <v>0</v>
      </c>
      <c r="AJ3293" s="2">
        <f t="shared" si="394"/>
        <v>0</v>
      </c>
      <c r="AK3293" s="2">
        <f t="shared" si="391"/>
        <v>0</v>
      </c>
      <c r="AL3293" s="5">
        <f t="shared" si="392"/>
        <v>0</v>
      </c>
    </row>
    <row r="3294" spans="1:38" x14ac:dyDescent="0.2">
      <c r="A3294" s="2">
        <v>2026</v>
      </c>
      <c r="B3294" s="2">
        <v>2</v>
      </c>
      <c r="D3294" s="2" t="s">
        <v>1600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1601</v>
      </c>
      <c r="J3294" s="2" t="s">
        <v>1602</v>
      </c>
      <c r="L3294" s="2" t="s">
        <v>202</v>
      </c>
      <c r="M3294" s="2" t="s">
        <v>81</v>
      </c>
      <c r="O3294" s="2" t="s">
        <v>2568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5"/>
        <v>0</v>
      </c>
      <c r="Z3294" s="2" t="s">
        <v>3237</v>
      </c>
      <c r="AA3294" s="2" t="s">
        <v>97</v>
      </c>
      <c r="AB3294" s="2" t="s">
        <v>77</v>
      </c>
      <c r="AC3294" s="2" t="s">
        <v>94</v>
      </c>
      <c r="AF3294" s="2">
        <f t="shared" si="393"/>
        <v>0</v>
      </c>
      <c r="AG3294" s="2">
        <v>1.48</v>
      </c>
      <c r="AH3294" s="2">
        <v>1.48</v>
      </c>
      <c r="AJ3294" s="2">
        <f t="shared" si="394"/>
        <v>0</v>
      </c>
      <c r="AK3294" s="2">
        <f t="shared" si="391"/>
        <v>0</v>
      </c>
      <c r="AL3294" s="5">
        <f t="shared" si="392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5"/>
        <v>0</v>
      </c>
      <c r="Z3295" s="2" t="s">
        <v>3237</v>
      </c>
      <c r="AA3295" s="2" t="s">
        <v>97</v>
      </c>
      <c r="AB3295" s="2" t="s">
        <v>77</v>
      </c>
      <c r="AC3295" s="2" t="s">
        <v>94</v>
      </c>
      <c r="AF3295" s="2">
        <f t="shared" si="393"/>
        <v>0</v>
      </c>
      <c r="AJ3295" s="2">
        <f t="shared" si="394"/>
        <v>0</v>
      </c>
      <c r="AK3295" s="2">
        <f t="shared" ref="AK3295:AK3316" si="396">T3295-W3295</f>
        <v>0</v>
      </c>
      <c r="AL3295" s="5">
        <f t="shared" ref="AL3295:AL3316" si="397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2566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5"/>
        <v>0</v>
      </c>
      <c r="Z3296" s="2" t="s">
        <v>3237</v>
      </c>
      <c r="AA3296" s="2" t="s">
        <v>97</v>
      </c>
      <c r="AB3296" s="2" t="s">
        <v>77</v>
      </c>
      <c r="AC3296" s="2" t="s">
        <v>94</v>
      </c>
      <c r="AF3296" s="2">
        <f t="shared" si="393"/>
        <v>0</v>
      </c>
      <c r="AG3296" s="2">
        <v>1.48</v>
      </c>
      <c r="AH3296" s="2">
        <v>1.48</v>
      </c>
      <c r="AJ3296" s="2">
        <f t="shared" si="394"/>
        <v>0</v>
      </c>
      <c r="AK3296" s="2">
        <f t="shared" si="396"/>
        <v>0</v>
      </c>
      <c r="AL3296" s="5">
        <f t="shared" si="397"/>
        <v>0</v>
      </c>
    </row>
    <row r="3297" spans="1:38" x14ac:dyDescent="0.2">
      <c r="A3297" s="2">
        <v>2026</v>
      </c>
      <c r="B3297" s="2">
        <v>2</v>
      </c>
      <c r="D3297" s="2" t="s">
        <v>2567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5"/>
        <v>0</v>
      </c>
      <c r="Z3297" s="2" t="s">
        <v>3237</v>
      </c>
      <c r="AA3297" s="2" t="s">
        <v>97</v>
      </c>
      <c r="AB3297" s="2" t="s">
        <v>77</v>
      </c>
      <c r="AC3297" s="2" t="s">
        <v>94</v>
      </c>
      <c r="AF3297" s="2">
        <f t="shared" si="393"/>
        <v>0</v>
      </c>
      <c r="AJ3297" s="2">
        <f t="shared" si="394"/>
        <v>0</v>
      </c>
      <c r="AK3297" s="2">
        <f t="shared" si="396"/>
        <v>0</v>
      </c>
      <c r="AL3297" s="5">
        <f t="shared" si="397"/>
        <v>0</v>
      </c>
    </row>
    <row r="3298" spans="1:38" x14ac:dyDescent="0.2">
      <c r="A3298" s="2">
        <v>2026</v>
      </c>
      <c r="B3298" s="2">
        <v>2</v>
      </c>
      <c r="D3298" s="2" t="s">
        <v>2534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5"/>
        <v>#DIV/0!</v>
      </c>
      <c r="Z3298" s="2" t="s">
        <v>118</v>
      </c>
      <c r="AA3298" s="2" t="s">
        <v>318</v>
      </c>
      <c r="AF3298" s="2">
        <f t="shared" si="393"/>
        <v>0</v>
      </c>
      <c r="AJ3298" s="2">
        <f t="shared" si="394"/>
        <v>0</v>
      </c>
      <c r="AK3298" s="2">
        <f t="shared" si="396"/>
        <v>0</v>
      </c>
      <c r="AL3298" s="5" t="e">
        <f t="shared" si="397"/>
        <v>#DIV/0!</v>
      </c>
    </row>
    <row r="3299" spans="1:38" x14ac:dyDescent="0.2">
      <c r="A3299" s="2">
        <v>2026</v>
      </c>
      <c r="B3299" s="2">
        <v>2</v>
      </c>
      <c r="D3299" s="2" t="s">
        <v>2622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5"/>
        <v>1</v>
      </c>
      <c r="Z3299" s="2" t="s">
        <v>120</v>
      </c>
      <c r="AA3299" s="2" t="s">
        <v>3392</v>
      </c>
      <c r="AF3299" s="2">
        <f t="shared" si="393"/>
        <v>0</v>
      </c>
      <c r="AJ3299" s="2">
        <f t="shared" si="394"/>
        <v>0</v>
      </c>
      <c r="AK3299" s="2">
        <f t="shared" si="396"/>
        <v>200.03</v>
      </c>
      <c r="AL3299" s="5">
        <f t="shared" si="397"/>
        <v>1</v>
      </c>
    </row>
    <row r="3300" spans="1:38" x14ac:dyDescent="0.2">
      <c r="A3300" s="2">
        <v>2026</v>
      </c>
      <c r="B3300" s="2">
        <v>2</v>
      </c>
      <c r="D3300" s="2" t="s">
        <v>1091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1092</v>
      </c>
      <c r="J3300" s="2" t="s">
        <v>1093</v>
      </c>
      <c r="K3300" s="2">
        <v>917523997</v>
      </c>
      <c r="L3300" s="2" t="s">
        <v>113</v>
      </c>
      <c r="M3300" s="2" t="s">
        <v>40</v>
      </c>
      <c r="O3300" s="2" t="s">
        <v>2623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5"/>
        <v>1</v>
      </c>
      <c r="Z3300" s="2" t="s">
        <v>118</v>
      </c>
      <c r="AA3300" s="2" t="s">
        <v>119</v>
      </c>
      <c r="AB3300" s="2" t="s">
        <v>120</v>
      </c>
      <c r="AF3300" s="2">
        <f t="shared" si="393"/>
        <v>0</v>
      </c>
      <c r="AJ3300" s="2">
        <f t="shared" si="394"/>
        <v>0</v>
      </c>
      <c r="AK3300" s="2">
        <f t="shared" si="396"/>
        <v>352.08</v>
      </c>
      <c r="AL3300" s="5">
        <f t="shared" si="397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2624</v>
      </c>
      <c r="P3301" s="2" t="s">
        <v>115</v>
      </c>
      <c r="Q3301" s="2" t="s">
        <v>2233</v>
      </c>
      <c r="R3301" s="2" t="s">
        <v>2234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3"/>
        <v>0</v>
      </c>
      <c r="AG3301" s="2">
        <v>5.35</v>
      </c>
      <c r="AJ3301" s="2">
        <f t="shared" si="394"/>
        <v>0</v>
      </c>
      <c r="AK3301" s="2">
        <f t="shared" si="396"/>
        <v>5.9</v>
      </c>
      <c r="AL3301" s="5">
        <f t="shared" si="397"/>
        <v>0.52444444444444449</v>
      </c>
    </row>
    <row r="3302" spans="1:38" x14ac:dyDescent="0.2">
      <c r="A3302" s="2">
        <v>2026</v>
      </c>
      <c r="B3302" s="2">
        <v>2</v>
      </c>
      <c r="D3302" s="2" t="s">
        <v>2266</v>
      </c>
      <c r="G3302" s="2">
        <v>503636002</v>
      </c>
      <c r="I3302" s="2" t="s">
        <v>2625</v>
      </c>
      <c r="M3302" s="2" t="s">
        <v>40</v>
      </c>
      <c r="O3302" s="2" t="s">
        <v>2626</v>
      </c>
      <c r="P3302" s="2" t="s">
        <v>115</v>
      </c>
      <c r="Q3302" s="2" t="s">
        <v>2235</v>
      </c>
      <c r="R3302" s="2" t="s">
        <v>2236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3"/>
        <v>0</v>
      </c>
      <c r="AG3302" s="2">
        <v>28.372499999999999</v>
      </c>
      <c r="AJ3302" s="2">
        <f t="shared" si="394"/>
        <v>0</v>
      </c>
      <c r="AK3302" s="2">
        <f t="shared" si="396"/>
        <v>97.149999999999991</v>
      </c>
      <c r="AL3302" s="5">
        <f t="shared" si="397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2627</v>
      </c>
      <c r="P3303" s="2" t="s">
        <v>115</v>
      </c>
      <c r="Q3303" s="2" t="s">
        <v>2628</v>
      </c>
      <c r="R3303" s="2" t="s">
        <v>2629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3"/>
        <v>0</v>
      </c>
      <c r="AG3303" s="2">
        <v>3.5</v>
      </c>
      <c r="AJ3303" s="2">
        <f t="shared" si="394"/>
        <v>0</v>
      </c>
      <c r="AK3303" s="2">
        <f t="shared" si="396"/>
        <v>26.560000000000002</v>
      </c>
      <c r="AL3303" s="5">
        <f t="shared" si="397"/>
        <v>0.65483234714003946</v>
      </c>
    </row>
    <row r="3304" spans="1:38" x14ac:dyDescent="0.2">
      <c r="A3304" s="2">
        <v>2026</v>
      </c>
      <c r="B3304" s="2">
        <v>3</v>
      </c>
      <c r="D3304" s="2" t="s">
        <v>2057</v>
      </c>
      <c r="M3304" s="2" t="s">
        <v>40</v>
      </c>
      <c r="O3304" s="2" t="s">
        <v>2630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3"/>
        <v>0</v>
      </c>
      <c r="AG3304" s="2">
        <v>35.931699999999999</v>
      </c>
      <c r="AJ3304" s="2">
        <f t="shared" si="394"/>
        <v>0</v>
      </c>
      <c r="AK3304" s="2">
        <f t="shared" si="396"/>
        <v>85.316600000000008</v>
      </c>
      <c r="AL3304" s="5">
        <f t="shared" si="397"/>
        <v>0.54279552105865891</v>
      </c>
    </row>
    <row r="3305" spans="1:38" x14ac:dyDescent="0.2">
      <c r="A3305" s="2">
        <v>2026</v>
      </c>
      <c r="B3305" s="2">
        <v>2</v>
      </c>
      <c r="D3305" s="2" t="s">
        <v>2266</v>
      </c>
      <c r="M3305" s="2" t="s">
        <v>40</v>
      </c>
      <c r="O3305" s="2" t="s">
        <v>2626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3"/>
        <v>0</v>
      </c>
      <c r="AG3305" s="2">
        <f>14.4+0.27</f>
        <v>14.67</v>
      </c>
      <c r="AJ3305" s="2">
        <f t="shared" si="394"/>
        <v>0</v>
      </c>
      <c r="AK3305" s="2">
        <f t="shared" si="396"/>
        <v>16.649999999999999</v>
      </c>
      <c r="AL3305" s="5">
        <f t="shared" si="397"/>
        <v>0.53160919540229878</v>
      </c>
    </row>
    <row r="3306" spans="1:38" x14ac:dyDescent="0.2">
      <c r="A3306" s="2">
        <v>2026</v>
      </c>
      <c r="B3306" s="2">
        <v>3</v>
      </c>
      <c r="D3306" s="2" t="s">
        <v>1171</v>
      </c>
      <c r="E3306" s="2" t="s">
        <v>754</v>
      </c>
      <c r="F3306" s="2" t="s">
        <v>1172</v>
      </c>
      <c r="G3306" s="2">
        <v>505760088</v>
      </c>
      <c r="H3306" s="2" t="s">
        <v>291</v>
      </c>
      <c r="I3306" s="2" t="s">
        <v>1173</v>
      </c>
      <c r="J3306" s="2" t="s">
        <v>1174</v>
      </c>
      <c r="L3306" s="2" t="s">
        <v>340</v>
      </c>
      <c r="M3306" s="2" t="s">
        <v>40</v>
      </c>
      <c r="O3306" s="2" t="s">
        <v>2453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3"/>
        <v>0</v>
      </c>
      <c r="AG3306" s="2">
        <v>342.22</v>
      </c>
      <c r="AJ3306" s="2">
        <f t="shared" si="394"/>
        <v>0</v>
      </c>
      <c r="AK3306" s="2">
        <f t="shared" si="396"/>
        <v>354.09659999999997</v>
      </c>
      <c r="AL3306" s="5">
        <f t="shared" si="397"/>
        <v>0.50635864435864431</v>
      </c>
    </row>
    <row r="3307" spans="1:38" x14ac:dyDescent="0.2">
      <c r="A3307" s="2">
        <v>2026</v>
      </c>
      <c r="B3307" s="2">
        <v>3</v>
      </c>
      <c r="C3307" s="2" t="s">
        <v>3331</v>
      </c>
      <c r="D3307" s="2" t="s">
        <v>2158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2631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3"/>
        <v>0</v>
      </c>
      <c r="AG3307" s="2">
        <f>597.47+8.18</f>
        <v>605.65</v>
      </c>
      <c r="AJ3307" s="2">
        <f t="shared" si="394"/>
        <v>0</v>
      </c>
      <c r="AK3307" s="2">
        <f t="shared" si="396"/>
        <v>637.11659999999983</v>
      </c>
      <c r="AL3307" s="5">
        <f t="shared" si="397"/>
        <v>0.52132081955945397</v>
      </c>
    </row>
    <row r="3308" spans="1:38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2621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395"/>
        <v>0.6267094017094017</v>
      </c>
      <c r="Z3308" s="2" t="s">
        <v>3237</v>
      </c>
      <c r="AA3308" s="2" t="s">
        <v>46</v>
      </c>
      <c r="AB3308" s="2" t="s">
        <v>47</v>
      </c>
      <c r="AC3308" s="2" t="s">
        <v>48</v>
      </c>
      <c r="AF3308" s="2">
        <f t="shared" si="393"/>
        <v>0</v>
      </c>
      <c r="AJ3308" s="2">
        <f t="shared" si="394"/>
        <v>0</v>
      </c>
      <c r="AK3308" s="2">
        <f t="shared" si="396"/>
        <v>29.33</v>
      </c>
      <c r="AL3308" s="5">
        <f t="shared" si="397"/>
        <v>0.6267094017094017</v>
      </c>
    </row>
    <row r="3309" spans="1:38" x14ac:dyDescent="0.2">
      <c r="A3309" s="2">
        <v>2026</v>
      </c>
      <c r="B3309" s="2">
        <v>3</v>
      </c>
      <c r="D3309" s="2" t="s">
        <v>2632</v>
      </c>
      <c r="M3309" s="2" t="s">
        <v>40</v>
      </c>
      <c r="O3309" s="2" t="s">
        <v>2633</v>
      </c>
      <c r="P3309" s="2" t="s">
        <v>115</v>
      </c>
      <c r="Q3309" s="2" t="s">
        <v>2634</v>
      </c>
      <c r="R3309" s="2" t="s">
        <v>2635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3"/>
        <v>0</v>
      </c>
      <c r="AG3309" s="2">
        <v>8.77</v>
      </c>
      <c r="AJ3309" s="2">
        <f t="shared" si="394"/>
        <v>0</v>
      </c>
      <c r="AK3309" s="2">
        <f t="shared" si="396"/>
        <v>9.64</v>
      </c>
      <c r="AL3309" s="5">
        <f t="shared" si="397"/>
        <v>0.52362846279196096</v>
      </c>
    </row>
    <row r="3310" spans="1:38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981</v>
      </c>
      <c r="R3310" s="2" t="s">
        <v>982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5"/>
        <v>1</v>
      </c>
      <c r="Z3310" s="2" t="s">
        <v>118</v>
      </c>
      <c r="AF3310" s="2">
        <f t="shared" si="393"/>
        <v>0</v>
      </c>
      <c r="AJ3310" s="2">
        <f t="shared" si="394"/>
        <v>0</v>
      </c>
      <c r="AK3310" s="2">
        <f t="shared" si="396"/>
        <v>79.819999999999993</v>
      </c>
      <c r="AL3310" s="5">
        <f t="shared" si="397"/>
        <v>1</v>
      </c>
    </row>
    <row r="3311" spans="1:38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981</v>
      </c>
      <c r="R3311" s="2" t="s">
        <v>982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5"/>
        <v>1</v>
      </c>
      <c r="Z3311" s="2" t="s">
        <v>118</v>
      </c>
      <c r="AF3311" s="2">
        <f t="shared" si="393"/>
        <v>0</v>
      </c>
      <c r="AJ3311" s="2">
        <f t="shared" si="394"/>
        <v>0</v>
      </c>
      <c r="AK3311" s="2">
        <f t="shared" si="396"/>
        <v>83.46</v>
      </c>
      <c r="AL3311" s="5">
        <f t="shared" si="397"/>
        <v>1</v>
      </c>
    </row>
    <row r="3312" spans="1:38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2636</v>
      </c>
      <c r="P3312" s="2" t="s">
        <v>115</v>
      </c>
      <c r="Q3312" s="2" t="s">
        <v>981</v>
      </c>
      <c r="R3312" s="2" t="s">
        <v>982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3"/>
        <v>0</v>
      </c>
      <c r="AJ3312" s="2">
        <f t="shared" si="394"/>
        <v>0</v>
      </c>
      <c r="AK3312" s="2">
        <f t="shared" si="396"/>
        <v>83.46</v>
      </c>
      <c r="AL3312" s="5">
        <f t="shared" si="397"/>
        <v>1</v>
      </c>
    </row>
    <row r="3313" spans="1:38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1475</v>
      </c>
      <c r="R3313" s="2" t="s">
        <v>1476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5"/>
        <v>1</v>
      </c>
      <c r="Z3313" s="2" t="s">
        <v>118</v>
      </c>
      <c r="AF3313" s="2">
        <f t="shared" si="393"/>
        <v>0</v>
      </c>
      <c r="AJ3313" s="2">
        <f t="shared" si="394"/>
        <v>0</v>
      </c>
      <c r="AK3313" s="2">
        <f t="shared" si="396"/>
        <v>689.22</v>
      </c>
      <c r="AL3313" s="5">
        <f t="shared" si="397"/>
        <v>1</v>
      </c>
    </row>
    <row r="3314" spans="1:38" x14ac:dyDescent="0.2">
      <c r="A3314" s="2">
        <v>2026</v>
      </c>
      <c r="B3314" s="2">
        <v>2</v>
      </c>
      <c r="D3314" s="2" t="s">
        <v>2632</v>
      </c>
      <c r="P3314" s="2" t="s">
        <v>115</v>
      </c>
      <c r="Q3314" s="2" t="s">
        <v>1475</v>
      </c>
      <c r="R3314" s="2" t="s">
        <v>1476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5"/>
        <v>1</v>
      </c>
      <c r="Z3314" s="2" t="s">
        <v>118</v>
      </c>
      <c r="AF3314" s="2">
        <f t="shared" si="393"/>
        <v>0</v>
      </c>
      <c r="AJ3314" s="2">
        <f t="shared" si="394"/>
        <v>0</v>
      </c>
      <c r="AK3314" s="2">
        <f t="shared" si="396"/>
        <v>699.3</v>
      </c>
      <c r="AL3314" s="5">
        <f t="shared" si="397"/>
        <v>1</v>
      </c>
    </row>
    <row r="3315" spans="1:38" x14ac:dyDescent="0.2">
      <c r="A3315" s="2">
        <v>2026</v>
      </c>
      <c r="B3315" s="2">
        <v>2</v>
      </c>
      <c r="D3315" s="2" t="s">
        <v>2637</v>
      </c>
      <c r="P3315" s="2" t="s">
        <v>115</v>
      </c>
      <c r="Q3315" s="2" t="s">
        <v>2122</v>
      </c>
      <c r="R3315" s="2" t="s">
        <v>2123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5"/>
        <v>1</v>
      </c>
      <c r="Z3315" s="2" t="s">
        <v>118</v>
      </c>
      <c r="AF3315" s="2">
        <f t="shared" si="393"/>
        <v>0</v>
      </c>
      <c r="AJ3315" s="2">
        <f t="shared" si="394"/>
        <v>0</v>
      </c>
      <c r="AK3315" s="2">
        <f t="shared" si="396"/>
        <v>698.4</v>
      </c>
      <c r="AL3315" s="5">
        <f t="shared" si="397"/>
        <v>1</v>
      </c>
    </row>
    <row r="3316" spans="1:38" x14ac:dyDescent="0.2">
      <c r="A3316" s="2">
        <v>2026</v>
      </c>
      <c r="B3316" s="2">
        <v>2</v>
      </c>
      <c r="D3316" s="2" t="s">
        <v>1597</v>
      </c>
      <c r="M3316" s="2" t="s">
        <v>41</v>
      </c>
      <c r="P3316" s="2" t="s">
        <v>115</v>
      </c>
      <c r="Q3316" s="2" t="s">
        <v>2638</v>
      </c>
      <c r="R3316" s="2" t="s">
        <v>2639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5"/>
        <v>1</v>
      </c>
      <c r="Z3316" s="2" t="s">
        <v>118</v>
      </c>
      <c r="AF3316" s="2">
        <f t="shared" si="393"/>
        <v>0</v>
      </c>
      <c r="AJ3316" s="2">
        <f t="shared" si="394"/>
        <v>0</v>
      </c>
      <c r="AK3316" s="2">
        <f t="shared" si="396"/>
        <v>136.22999999999999</v>
      </c>
      <c r="AL3316" s="5">
        <f t="shared" si="397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1186</v>
      </c>
      <c r="R3317" s="2" t="s">
        <v>1187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3"/>
        <v>0</v>
      </c>
      <c r="AG3317" s="2">
        <v>7437.5950000000003</v>
      </c>
      <c r="AJ3317" s="2">
        <f t="shared" si="39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2637</v>
      </c>
      <c r="P3318" s="2" t="s">
        <v>115</v>
      </c>
      <c r="Q3318" s="2" t="s">
        <v>1186</v>
      </c>
      <c r="R3318" s="2" t="s">
        <v>1187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8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3"/>
        <v>0</v>
      </c>
      <c r="AG3318" s="2">
        <v>7437.5950000000003</v>
      </c>
      <c r="AJ3318" s="2">
        <f t="shared" si="394"/>
        <v>0</v>
      </c>
      <c r="AK3318" s="2">
        <f t="shared" ref="AK3318:AK3381" si="399">T3318-W3318</f>
        <v>4862.0050000000001</v>
      </c>
      <c r="AL3318" s="5">
        <f t="shared" ref="AL3318:AL3328" si="400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2640</v>
      </c>
      <c r="E3319" s="2" t="s">
        <v>38</v>
      </c>
      <c r="G3319" s="2">
        <v>508857562</v>
      </c>
      <c r="H3319" s="2" t="s">
        <v>110</v>
      </c>
      <c r="I3319" s="2" t="s">
        <v>2641</v>
      </c>
      <c r="J3319" s="2" t="s">
        <v>2642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8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3"/>
        <v>0</v>
      </c>
      <c r="AJ3319" s="2">
        <f t="shared" si="394"/>
        <v>0</v>
      </c>
      <c r="AK3319" s="2">
        <f t="shared" si="399"/>
        <v>4320.6000000000004</v>
      </c>
      <c r="AL3319" s="5">
        <f t="shared" si="400"/>
        <v>0.28823215476984659</v>
      </c>
    </row>
    <row r="3320" spans="1:38" x14ac:dyDescent="0.2">
      <c r="A3320" s="2">
        <v>2026</v>
      </c>
      <c r="B3320" s="2">
        <v>3</v>
      </c>
      <c r="D3320" s="2" t="s">
        <v>1892</v>
      </c>
      <c r="M3320" s="2" t="s">
        <v>291</v>
      </c>
      <c r="O3320" s="2" t="s">
        <v>2643</v>
      </c>
      <c r="P3320" s="2" t="s">
        <v>2644</v>
      </c>
      <c r="Q3320" s="2" t="s">
        <v>2645</v>
      </c>
      <c r="R3320" s="2" t="s">
        <v>2646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8"/>
        <v>0.18970189701897019</v>
      </c>
      <c r="Z3320" s="2" t="s">
        <v>3237</v>
      </c>
      <c r="AA3320" s="2" t="s">
        <v>72</v>
      </c>
      <c r="AB3320" s="2" t="s">
        <v>120</v>
      </c>
      <c r="AC3320" s="2" t="s">
        <v>2644</v>
      </c>
      <c r="AF3320" s="2">
        <f t="shared" si="393"/>
        <v>0</v>
      </c>
      <c r="AG3320" s="2">
        <v>299</v>
      </c>
      <c r="AJ3320" s="2">
        <f t="shared" si="394"/>
        <v>0</v>
      </c>
      <c r="AK3320" s="2">
        <f t="shared" si="399"/>
        <v>70</v>
      </c>
      <c r="AL3320" s="5">
        <f t="shared" si="400"/>
        <v>0.18970189701897019</v>
      </c>
    </row>
    <row r="3321" spans="1:38" x14ac:dyDescent="0.2">
      <c r="A3321" s="2">
        <v>2026</v>
      </c>
      <c r="B3321" s="2">
        <v>3</v>
      </c>
      <c r="D3321" s="2" t="s">
        <v>2524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2525</v>
      </c>
      <c r="J3321" s="2" t="s">
        <v>2526</v>
      </c>
      <c r="K3321" s="2">
        <v>967032538</v>
      </c>
      <c r="L3321" s="2" t="s">
        <v>399</v>
      </c>
      <c r="M3321" s="2" t="s">
        <v>110</v>
      </c>
      <c r="O3321" s="2" t="s">
        <v>2647</v>
      </c>
      <c r="P3321" s="2" t="s">
        <v>283</v>
      </c>
      <c r="Q3321" s="2" t="s">
        <v>1208</v>
      </c>
      <c r="R3321" s="2" t="s">
        <v>1209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8"/>
        <v>0.39999999999999997</v>
      </c>
      <c r="Z3321" s="2" t="s">
        <v>3237</v>
      </c>
      <c r="AA3321" s="2" t="s">
        <v>72</v>
      </c>
      <c r="AB3321" s="2" t="s">
        <v>120</v>
      </c>
      <c r="AC3321" s="2" t="s">
        <v>120</v>
      </c>
      <c r="AF3321" s="2">
        <f t="shared" si="393"/>
        <v>0</v>
      </c>
      <c r="AG3321" s="2">
        <v>14.34</v>
      </c>
      <c r="AJ3321" s="2">
        <f t="shared" si="394"/>
        <v>0</v>
      </c>
      <c r="AK3321" s="2">
        <f t="shared" si="399"/>
        <v>9.5599999999999987</v>
      </c>
      <c r="AL3321" s="5">
        <f t="shared" si="400"/>
        <v>0.39999999999999997</v>
      </c>
    </row>
    <row r="3322" spans="1:38" x14ac:dyDescent="0.2">
      <c r="A3322" s="2">
        <v>2026</v>
      </c>
      <c r="B3322" s="2">
        <v>3</v>
      </c>
      <c r="D3322" s="2" t="s">
        <v>2648</v>
      </c>
      <c r="P3322" s="2" t="s">
        <v>283</v>
      </c>
      <c r="Q3322" s="2" t="s">
        <v>1669</v>
      </c>
      <c r="R3322" s="2" t="s">
        <v>1670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8"/>
        <v>0.32857142857142857</v>
      </c>
      <c r="Z3322" s="2" t="s">
        <v>105</v>
      </c>
      <c r="AA3322" s="2" t="s">
        <v>388</v>
      </c>
      <c r="AB3322" s="2" t="s">
        <v>2649</v>
      </c>
      <c r="AC3322" s="2" t="s">
        <v>1331</v>
      </c>
      <c r="AF3322" s="2">
        <f t="shared" si="393"/>
        <v>0</v>
      </c>
      <c r="AJ3322" s="2">
        <f t="shared" si="394"/>
        <v>0</v>
      </c>
      <c r="AK3322" s="2">
        <f t="shared" si="399"/>
        <v>1610</v>
      </c>
      <c r="AL3322" s="5">
        <f t="shared" si="400"/>
        <v>0.32857142857142857</v>
      </c>
    </row>
    <row r="3323" spans="1:38" x14ac:dyDescent="0.2">
      <c r="A3323" s="2">
        <v>2026</v>
      </c>
      <c r="B3323" s="2">
        <v>3</v>
      </c>
      <c r="D3323" s="2" t="s">
        <v>2648</v>
      </c>
      <c r="P3323" s="2" t="s">
        <v>283</v>
      </c>
      <c r="Q3323" s="2" t="s">
        <v>1671</v>
      </c>
      <c r="R3323" s="2" t="s">
        <v>1672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2649</v>
      </c>
      <c r="AC3323" s="2" t="s">
        <v>1331</v>
      </c>
      <c r="AF3323" s="2">
        <f t="shared" si="393"/>
        <v>0</v>
      </c>
      <c r="AJ3323" s="2">
        <f t="shared" si="394"/>
        <v>0</v>
      </c>
      <c r="AK3323" s="2">
        <f t="shared" si="399"/>
        <v>0</v>
      </c>
      <c r="AL3323" s="5" t="e">
        <f t="shared" si="400"/>
        <v>#DIV/0!</v>
      </c>
    </row>
    <row r="3324" spans="1:38" x14ac:dyDescent="0.2">
      <c r="A3324" s="2">
        <v>2026</v>
      </c>
      <c r="B3324" s="2">
        <v>3</v>
      </c>
      <c r="D3324" s="2" t="s">
        <v>2650</v>
      </c>
      <c r="E3324" s="2" t="s">
        <v>38</v>
      </c>
      <c r="G3324" s="2">
        <v>506820378</v>
      </c>
      <c r="H3324" s="2" t="s">
        <v>41</v>
      </c>
      <c r="I3324" s="2" t="s">
        <v>2651</v>
      </c>
      <c r="J3324" s="2" t="s">
        <v>2652</v>
      </c>
      <c r="L3324" s="2" t="s">
        <v>419</v>
      </c>
      <c r="M3324" s="2" t="s">
        <v>41</v>
      </c>
      <c r="O3324" s="2" t="s">
        <v>2653</v>
      </c>
      <c r="P3324" s="2" t="s">
        <v>283</v>
      </c>
      <c r="Q3324" s="2" t="s">
        <v>1787</v>
      </c>
      <c r="R3324" s="2" t="s">
        <v>1788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8"/>
        <v>0.26733668341708544</v>
      </c>
      <c r="Z3324" s="2" t="s">
        <v>105</v>
      </c>
      <c r="AA3324" s="2" t="s">
        <v>388</v>
      </c>
      <c r="AB3324" s="2" t="s">
        <v>1334</v>
      </c>
      <c r="AC3324" s="2" t="s">
        <v>1331</v>
      </c>
      <c r="AF3324" s="2">
        <f t="shared" si="393"/>
        <v>0</v>
      </c>
      <c r="AG3324" s="2">
        <v>1458</v>
      </c>
      <c r="AJ3324" s="2">
        <f t="shared" si="394"/>
        <v>0</v>
      </c>
      <c r="AK3324" s="2">
        <f t="shared" si="399"/>
        <v>532</v>
      </c>
      <c r="AL3324" s="5">
        <f t="shared" si="400"/>
        <v>0.26733668341708544</v>
      </c>
    </row>
    <row r="3325" spans="1:38" x14ac:dyDescent="0.2">
      <c r="A3325" s="2">
        <v>2026</v>
      </c>
      <c r="B3325" s="2">
        <v>3</v>
      </c>
      <c r="D3325" s="2" t="s">
        <v>3269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2654</v>
      </c>
      <c r="L3325" s="2" t="s">
        <v>419</v>
      </c>
      <c r="M3325" s="2" t="s">
        <v>41</v>
      </c>
      <c r="O3325" s="2" t="s">
        <v>3268</v>
      </c>
      <c r="P3325" s="2" t="s">
        <v>283</v>
      </c>
      <c r="Q3325" s="2" t="s">
        <v>2655</v>
      </c>
      <c r="R3325" s="2" t="s">
        <v>2656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1581</v>
      </c>
      <c r="AB3325" s="2" t="s">
        <v>389</v>
      </c>
      <c r="AC3325" s="2" t="s">
        <v>1331</v>
      </c>
      <c r="AF3325" s="2">
        <f t="shared" si="393"/>
        <v>0</v>
      </c>
      <c r="AJ3325" s="2">
        <f t="shared" si="394"/>
        <v>0</v>
      </c>
      <c r="AK3325" s="2">
        <f t="shared" si="399"/>
        <v>0</v>
      </c>
      <c r="AL3325" s="5" t="e">
        <f t="shared" si="400"/>
        <v>#DIV/0!</v>
      </c>
    </row>
    <row r="3326" spans="1:38" x14ac:dyDescent="0.2">
      <c r="A3326" s="2">
        <v>2026</v>
      </c>
      <c r="B3326" s="2">
        <v>3</v>
      </c>
      <c r="D3326" s="2" t="s">
        <v>3269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2654</v>
      </c>
      <c r="L3326" s="2" t="s">
        <v>419</v>
      </c>
      <c r="M3326" s="2" t="s">
        <v>41</v>
      </c>
      <c r="O3326" s="2" t="s">
        <v>3268</v>
      </c>
      <c r="P3326" s="2" t="s">
        <v>283</v>
      </c>
      <c r="Q3326" s="2" t="s">
        <v>2657</v>
      </c>
      <c r="R3326" s="2" t="s">
        <v>2658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1581</v>
      </c>
      <c r="AB3326" s="2" t="s">
        <v>389</v>
      </c>
      <c r="AC3326" s="2" t="s">
        <v>1331</v>
      </c>
      <c r="AF3326" s="2">
        <f t="shared" si="393"/>
        <v>0</v>
      </c>
      <c r="AG3326" s="2">
        <v>10257</v>
      </c>
      <c r="AJ3326" s="2">
        <f t="shared" si="394"/>
        <v>0</v>
      </c>
      <c r="AK3326" s="2">
        <f t="shared" si="399"/>
        <v>2243</v>
      </c>
      <c r="AL3326" s="5">
        <f t="shared" si="400"/>
        <v>0.17943999999999999</v>
      </c>
    </row>
    <row r="3327" spans="1:38" x14ac:dyDescent="0.2">
      <c r="A3327" s="2">
        <v>2026</v>
      </c>
      <c r="B3327" s="2">
        <v>3</v>
      </c>
      <c r="D3327" s="2" t="s">
        <v>3269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2654</v>
      </c>
      <c r="L3327" s="2" t="s">
        <v>419</v>
      </c>
      <c r="M3327" s="2" t="s">
        <v>41</v>
      </c>
      <c r="O3327" s="2" t="s">
        <v>3268</v>
      </c>
      <c r="P3327" s="2" t="s">
        <v>283</v>
      </c>
      <c r="Q3327" s="2" t="s">
        <v>2659</v>
      </c>
      <c r="R3327" s="2" t="s">
        <v>2660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1581</v>
      </c>
      <c r="AB3327" s="2" t="s">
        <v>389</v>
      </c>
      <c r="AC3327" s="2" t="s">
        <v>1331</v>
      </c>
      <c r="AF3327" s="2">
        <f t="shared" si="393"/>
        <v>0</v>
      </c>
      <c r="AJ3327" s="2">
        <f t="shared" si="394"/>
        <v>0</v>
      </c>
      <c r="AK3327" s="2">
        <f t="shared" si="399"/>
        <v>0</v>
      </c>
      <c r="AL3327" s="5" t="e">
        <f t="shared" si="400"/>
        <v>#DIV/0!</v>
      </c>
    </row>
    <row r="3328" spans="1:38" x14ac:dyDescent="0.2">
      <c r="A3328" s="2">
        <v>2026</v>
      </c>
      <c r="B3328" s="2">
        <v>3</v>
      </c>
      <c r="C3328" s="2" t="s">
        <v>3438</v>
      </c>
      <c r="D3328" s="2" t="s">
        <v>3435</v>
      </c>
      <c r="E3328" s="2" t="s">
        <v>3436</v>
      </c>
      <c r="F3328" s="2" t="s">
        <v>3437</v>
      </c>
      <c r="L3328" s="2" t="s">
        <v>294</v>
      </c>
      <c r="M3328" s="2" t="s">
        <v>291</v>
      </c>
      <c r="O3328" s="2" t="s">
        <v>2661</v>
      </c>
      <c r="P3328" s="2" t="s">
        <v>283</v>
      </c>
      <c r="Q3328" s="2" t="s">
        <v>1286</v>
      </c>
      <c r="R3328" s="2" t="s">
        <v>1287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1581</v>
      </c>
      <c r="AB3328" s="2" t="s">
        <v>389</v>
      </c>
      <c r="AC3328" s="2" t="s">
        <v>1331</v>
      </c>
      <c r="AF3328" s="2">
        <f t="shared" si="393"/>
        <v>0</v>
      </c>
      <c r="AG3328" s="2">
        <v>1389</v>
      </c>
      <c r="AJ3328" s="2">
        <f t="shared" si="394"/>
        <v>0</v>
      </c>
      <c r="AK3328" s="2">
        <f t="shared" si="399"/>
        <v>111</v>
      </c>
      <c r="AL3328" s="5">
        <f t="shared" si="400"/>
        <v>7.3999999999999996E-2</v>
      </c>
    </row>
    <row r="3329" spans="1:38" x14ac:dyDescent="0.2">
      <c r="A3329" s="2">
        <v>2026</v>
      </c>
      <c r="B3329" s="2">
        <v>3</v>
      </c>
      <c r="C3329" s="2" t="s">
        <v>3438</v>
      </c>
      <c r="D3329" s="2" t="s">
        <v>3435</v>
      </c>
      <c r="E3329" s="2" t="s">
        <v>3436</v>
      </c>
      <c r="F3329" s="2" t="s">
        <v>3437</v>
      </c>
      <c r="L3329" s="2" t="s">
        <v>294</v>
      </c>
      <c r="M3329" s="2" t="s">
        <v>291</v>
      </c>
      <c r="O3329" s="2" t="s">
        <v>2661</v>
      </c>
      <c r="P3329" s="2" t="s">
        <v>283</v>
      </c>
      <c r="Q3329" s="2" t="s">
        <v>1288</v>
      </c>
      <c r="R3329" s="2" t="s">
        <v>1289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3393</v>
      </c>
      <c r="AC3329" s="2" t="s">
        <v>1331</v>
      </c>
      <c r="AF3329" s="2">
        <f t="shared" si="393"/>
        <v>0</v>
      </c>
      <c r="AJ3329" s="2">
        <f t="shared" si="394"/>
        <v>0</v>
      </c>
      <c r="AK3329" s="2">
        <f t="shared" si="399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3438</v>
      </c>
      <c r="D3330" s="2" t="s">
        <v>3435</v>
      </c>
      <c r="E3330" s="2" t="s">
        <v>3436</v>
      </c>
      <c r="F3330" s="2" t="s">
        <v>3437</v>
      </c>
      <c r="L3330" s="2" t="s">
        <v>294</v>
      </c>
      <c r="M3330" s="2" t="s">
        <v>291</v>
      </c>
      <c r="O3330" s="2" t="s">
        <v>2661</v>
      </c>
      <c r="P3330" s="2" t="s">
        <v>283</v>
      </c>
      <c r="Q3330" s="2" t="s">
        <v>1157</v>
      </c>
      <c r="R3330" s="2" t="s">
        <v>1158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1581</v>
      </c>
      <c r="AB3330" s="2" t="s">
        <v>389</v>
      </c>
      <c r="AC3330" s="2" t="s">
        <v>1331</v>
      </c>
      <c r="AF3330" s="2">
        <f t="shared" si="393"/>
        <v>0</v>
      </c>
      <c r="AG3330" s="2">
        <v>2189</v>
      </c>
      <c r="AJ3330" s="2">
        <f t="shared" si="394"/>
        <v>0</v>
      </c>
      <c r="AK3330" s="2">
        <f t="shared" si="399"/>
        <v>800</v>
      </c>
      <c r="AL3330" s="5">
        <f t="shared" ref="AL3330:AL3336" si="401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2662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2663</v>
      </c>
      <c r="J3331" s="2" t="s">
        <v>2664</v>
      </c>
      <c r="K3331" s="2">
        <v>917531684</v>
      </c>
      <c r="L3331" s="2" t="s">
        <v>178</v>
      </c>
      <c r="M3331" s="2" t="s">
        <v>40</v>
      </c>
      <c r="O3331" s="2" t="s">
        <v>2665</v>
      </c>
      <c r="P3331" s="2" t="s">
        <v>283</v>
      </c>
      <c r="Q3331" s="2" t="s">
        <v>1290</v>
      </c>
      <c r="R3331" s="2" t="s">
        <v>1291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1581</v>
      </c>
      <c r="AB3331" s="2" t="s">
        <v>389</v>
      </c>
      <c r="AC3331" s="2" t="s">
        <v>1331</v>
      </c>
      <c r="AF3331" s="2">
        <f t="shared" ref="AF3331:AF3394" si="402">AJ3331</f>
        <v>0</v>
      </c>
      <c r="AG3331" s="2">
        <v>1195</v>
      </c>
      <c r="AJ3331" s="2">
        <f t="shared" ref="AJ3331:AJ3394" si="403">AI3331*T3331</f>
        <v>0</v>
      </c>
      <c r="AK3331" s="2">
        <f t="shared" si="399"/>
        <v>705</v>
      </c>
      <c r="AL3331" s="5">
        <f t="shared" si="401"/>
        <v>0.37105263157894736</v>
      </c>
    </row>
    <row r="3332" spans="1:38" x14ac:dyDescent="0.2">
      <c r="A3332" s="2">
        <v>2026</v>
      </c>
      <c r="B3332" s="2">
        <v>3</v>
      </c>
      <c r="D3332" s="2" t="s">
        <v>2648</v>
      </c>
      <c r="P3332" s="2" t="s">
        <v>283</v>
      </c>
      <c r="Q3332" s="2" t="s">
        <v>1290</v>
      </c>
      <c r="R3332" s="2" t="s">
        <v>1291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1581</v>
      </c>
      <c r="AB3332" s="2" t="s">
        <v>389</v>
      </c>
      <c r="AC3332" s="2" t="s">
        <v>1331</v>
      </c>
      <c r="AF3332" s="2">
        <f t="shared" si="402"/>
        <v>0</v>
      </c>
      <c r="AG3332" s="2">
        <v>1195</v>
      </c>
      <c r="AJ3332" s="2">
        <f t="shared" si="403"/>
        <v>0</v>
      </c>
      <c r="AK3332" s="2">
        <f t="shared" si="399"/>
        <v>695</v>
      </c>
      <c r="AL3332" s="5">
        <f t="shared" si="401"/>
        <v>0.36772486772486773</v>
      </c>
    </row>
    <row r="3333" spans="1:38" x14ac:dyDescent="0.2">
      <c r="A3333" s="2">
        <v>2026</v>
      </c>
      <c r="B3333" s="2">
        <v>3</v>
      </c>
      <c r="D3333" s="2" t="s">
        <v>2666</v>
      </c>
      <c r="P3333" s="2" t="s">
        <v>283</v>
      </c>
      <c r="Q3333" s="2" t="s">
        <v>1290</v>
      </c>
      <c r="R3333" s="2" t="s">
        <v>1291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1581</v>
      </c>
      <c r="AB3333" s="2" t="s">
        <v>389</v>
      </c>
      <c r="AC3333" s="2" t="s">
        <v>1331</v>
      </c>
      <c r="AF3333" s="2">
        <f t="shared" si="402"/>
        <v>0</v>
      </c>
      <c r="AG3333" s="2">
        <v>1195</v>
      </c>
      <c r="AJ3333" s="2">
        <f t="shared" si="403"/>
        <v>0</v>
      </c>
      <c r="AK3333" s="2">
        <f t="shared" si="399"/>
        <v>705</v>
      </c>
      <c r="AL3333" s="5">
        <f t="shared" si="401"/>
        <v>0.37105263157894736</v>
      </c>
    </row>
    <row r="3334" spans="1:38" x14ac:dyDescent="0.2">
      <c r="A3334" s="2">
        <v>2026</v>
      </c>
      <c r="B3334" s="2">
        <v>3</v>
      </c>
      <c r="D3334" s="2" t="s">
        <v>2667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2668</v>
      </c>
      <c r="J3334" s="2" t="s">
        <v>2669</v>
      </c>
      <c r="K3334" s="2">
        <v>934367883</v>
      </c>
      <c r="L3334" s="2" t="s">
        <v>419</v>
      </c>
      <c r="O3334" s="2" t="s">
        <v>2670</v>
      </c>
      <c r="P3334" s="2" t="s">
        <v>283</v>
      </c>
      <c r="Q3334" s="2" t="s">
        <v>1290</v>
      </c>
      <c r="R3334" s="2" t="s">
        <v>1291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1581</v>
      </c>
      <c r="AB3334" s="2" t="s">
        <v>389</v>
      </c>
      <c r="AC3334" s="2" t="s">
        <v>1331</v>
      </c>
      <c r="AF3334" s="2">
        <f t="shared" si="402"/>
        <v>0</v>
      </c>
      <c r="AG3334" s="2">
        <v>1195</v>
      </c>
      <c r="AJ3334" s="2">
        <f t="shared" si="403"/>
        <v>0</v>
      </c>
      <c r="AK3334" s="2">
        <f t="shared" si="399"/>
        <v>705</v>
      </c>
      <c r="AL3334" s="5">
        <f t="shared" si="401"/>
        <v>0.37105263157894736</v>
      </c>
    </row>
    <row r="3335" spans="1:38" x14ac:dyDescent="0.2">
      <c r="A3335" s="2">
        <v>2026</v>
      </c>
      <c r="B3335" s="2">
        <v>3</v>
      </c>
      <c r="D3335" s="2" t="s">
        <v>2662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2663</v>
      </c>
      <c r="J3335" s="2" t="s">
        <v>2664</v>
      </c>
      <c r="K3335" s="2">
        <v>917531684</v>
      </c>
      <c r="L3335" s="2" t="s">
        <v>178</v>
      </c>
      <c r="M3335" s="2" t="s">
        <v>40</v>
      </c>
      <c r="O3335" s="2" t="s">
        <v>2665</v>
      </c>
      <c r="P3335" s="2" t="s">
        <v>283</v>
      </c>
      <c r="Q3335" s="2" t="s">
        <v>1161</v>
      </c>
      <c r="R3335" s="2" t="s">
        <v>1162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1581</v>
      </c>
      <c r="AB3335" s="2" t="s">
        <v>389</v>
      </c>
      <c r="AC3335" s="2" t="s">
        <v>1331</v>
      </c>
      <c r="AF3335" s="2">
        <f t="shared" si="402"/>
        <v>0</v>
      </c>
      <c r="AG3335" s="2">
        <v>0</v>
      </c>
      <c r="AH3335" s="2">
        <v>0</v>
      </c>
      <c r="AJ3335" s="2">
        <f t="shared" si="403"/>
        <v>0</v>
      </c>
      <c r="AK3335" s="2">
        <f t="shared" si="399"/>
        <v>0</v>
      </c>
      <c r="AL3335" s="5" t="e">
        <f t="shared" si="401"/>
        <v>#DIV/0!</v>
      </c>
    </row>
    <row r="3336" spans="1:38" x14ac:dyDescent="0.2">
      <c r="A3336" s="2">
        <v>2026</v>
      </c>
      <c r="B3336" s="2">
        <v>3</v>
      </c>
      <c r="D3336" s="2" t="s">
        <v>2648</v>
      </c>
      <c r="P3336" s="2" t="s">
        <v>283</v>
      </c>
      <c r="Q3336" s="2" t="s">
        <v>1161</v>
      </c>
      <c r="R3336" s="2" t="s">
        <v>1162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1581</v>
      </c>
      <c r="AB3336" s="2" t="s">
        <v>389</v>
      </c>
      <c r="AC3336" s="2" t="s">
        <v>1331</v>
      </c>
      <c r="AF3336" s="2">
        <f t="shared" si="402"/>
        <v>0</v>
      </c>
      <c r="AG3336" s="2">
        <v>0</v>
      </c>
      <c r="AH3336" s="2">
        <v>0</v>
      </c>
      <c r="AJ3336" s="2">
        <f t="shared" si="403"/>
        <v>0</v>
      </c>
      <c r="AK3336" s="2">
        <f t="shared" si="399"/>
        <v>0</v>
      </c>
      <c r="AL3336" s="5" t="e">
        <f t="shared" si="401"/>
        <v>#DIV/0!</v>
      </c>
    </row>
    <row r="3337" spans="1:38" x14ac:dyDescent="0.2">
      <c r="A3337" s="2">
        <v>2026</v>
      </c>
      <c r="B3337" s="2">
        <v>3</v>
      </c>
      <c r="C3337" s="2" t="s">
        <v>3438</v>
      </c>
      <c r="D3337" s="2" t="s">
        <v>3435</v>
      </c>
      <c r="E3337" s="2" t="s">
        <v>3436</v>
      </c>
      <c r="F3337" s="2" t="s">
        <v>3437</v>
      </c>
      <c r="L3337" s="2" t="s">
        <v>294</v>
      </c>
      <c r="M3337" s="2" t="s">
        <v>291</v>
      </c>
      <c r="O3337" s="2" t="s">
        <v>2661</v>
      </c>
      <c r="P3337" s="2" t="s">
        <v>283</v>
      </c>
      <c r="Q3337" s="2" t="s">
        <v>1161</v>
      </c>
      <c r="R3337" s="2" t="s">
        <v>1162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1581</v>
      </c>
      <c r="AB3337" s="2" t="s">
        <v>389</v>
      </c>
      <c r="AC3337" s="2" t="s">
        <v>1331</v>
      </c>
      <c r="AF3337" s="2">
        <f t="shared" si="402"/>
        <v>0</v>
      </c>
      <c r="AG3337" s="2">
        <v>0</v>
      </c>
      <c r="AH3337" s="2">
        <v>0</v>
      </c>
      <c r="AJ3337" s="2">
        <f t="shared" si="403"/>
        <v>0</v>
      </c>
      <c r="AK3337" s="2">
        <f t="shared" si="399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2666</v>
      </c>
      <c r="P3338" s="2" t="s">
        <v>283</v>
      </c>
      <c r="Q3338" s="2" t="s">
        <v>1161</v>
      </c>
      <c r="R3338" s="2" t="s">
        <v>1162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1581</v>
      </c>
      <c r="AB3338" s="2" t="s">
        <v>389</v>
      </c>
      <c r="AC3338" s="2" t="s">
        <v>1331</v>
      </c>
      <c r="AF3338" s="2">
        <f t="shared" si="402"/>
        <v>0</v>
      </c>
      <c r="AG3338" s="2">
        <v>0</v>
      </c>
      <c r="AH3338" s="2">
        <v>0</v>
      </c>
      <c r="AJ3338" s="2">
        <f t="shared" si="403"/>
        <v>0</v>
      </c>
      <c r="AK3338" s="2">
        <f t="shared" si="399"/>
        <v>0</v>
      </c>
      <c r="AL3338" s="5" t="e">
        <f t="shared" ref="AL3338:AL3364" si="404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2667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2668</v>
      </c>
      <c r="J3339" s="2" t="s">
        <v>2669</v>
      </c>
      <c r="K3339" s="2">
        <v>934367883</v>
      </c>
      <c r="L3339" s="2" t="s">
        <v>419</v>
      </c>
      <c r="O3339" s="2" t="s">
        <v>2670</v>
      </c>
      <c r="P3339" s="2" t="s">
        <v>283</v>
      </c>
      <c r="Q3339" s="2" t="s">
        <v>1161</v>
      </c>
      <c r="R3339" s="2" t="s">
        <v>1162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1581</v>
      </c>
      <c r="AB3339" s="2" t="s">
        <v>389</v>
      </c>
      <c r="AC3339" s="2" t="s">
        <v>1331</v>
      </c>
      <c r="AF3339" s="2">
        <f t="shared" si="402"/>
        <v>0</v>
      </c>
      <c r="AG3339" s="2">
        <v>0</v>
      </c>
      <c r="AH3339" s="2">
        <v>0</v>
      </c>
      <c r="AJ3339" s="2">
        <f t="shared" si="403"/>
        <v>0</v>
      </c>
      <c r="AK3339" s="2">
        <f t="shared" si="399"/>
        <v>0</v>
      </c>
      <c r="AL3339" s="5" t="e">
        <f t="shared" si="404"/>
        <v>#DIV/0!</v>
      </c>
    </row>
    <row r="3340" spans="1:38" x14ac:dyDescent="0.2">
      <c r="A3340" s="2">
        <v>2026</v>
      </c>
      <c r="B3340" s="2">
        <v>3</v>
      </c>
      <c r="D3340" s="2" t="s">
        <v>2662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2663</v>
      </c>
      <c r="J3340" s="2" t="s">
        <v>2664</v>
      </c>
      <c r="K3340" s="2">
        <v>917531684</v>
      </c>
      <c r="L3340" s="2" t="s">
        <v>178</v>
      </c>
      <c r="M3340" s="2" t="s">
        <v>40</v>
      </c>
      <c r="O3340" s="2" t="s">
        <v>2665</v>
      </c>
      <c r="P3340" s="2" t="s">
        <v>283</v>
      </c>
      <c r="Q3340" s="2" t="s">
        <v>1292</v>
      </c>
      <c r="R3340" s="2" t="s">
        <v>1293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1581</v>
      </c>
      <c r="AB3340" s="2" t="s">
        <v>389</v>
      </c>
      <c r="AC3340" s="2" t="s">
        <v>1331</v>
      </c>
      <c r="AF3340" s="2">
        <f t="shared" si="402"/>
        <v>0</v>
      </c>
      <c r="AG3340" s="2">
        <v>0</v>
      </c>
      <c r="AH3340" s="2">
        <v>0</v>
      </c>
      <c r="AJ3340" s="2">
        <f t="shared" si="403"/>
        <v>0</v>
      </c>
      <c r="AK3340" s="2">
        <f t="shared" si="399"/>
        <v>0</v>
      </c>
      <c r="AL3340" s="5" t="e">
        <f t="shared" si="404"/>
        <v>#DIV/0!</v>
      </c>
    </row>
    <row r="3341" spans="1:38" x14ac:dyDescent="0.2">
      <c r="A3341" s="2">
        <v>2026</v>
      </c>
      <c r="B3341" s="2">
        <v>3</v>
      </c>
      <c r="D3341" s="2" t="s">
        <v>2648</v>
      </c>
      <c r="E3341" s="2" t="s">
        <v>754</v>
      </c>
      <c r="G3341" s="2">
        <v>504481991</v>
      </c>
      <c r="H3341" s="2" t="s">
        <v>40</v>
      </c>
      <c r="I3341" s="2" t="s">
        <v>2671</v>
      </c>
      <c r="J3341" s="2" t="s">
        <v>2672</v>
      </c>
      <c r="L3341" s="2" t="s">
        <v>202</v>
      </c>
      <c r="P3341" s="2" t="s">
        <v>283</v>
      </c>
      <c r="Q3341" s="2" t="s">
        <v>1292</v>
      </c>
      <c r="R3341" s="2" t="s">
        <v>1293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1581</v>
      </c>
      <c r="AB3341" s="2" t="s">
        <v>389</v>
      </c>
      <c r="AC3341" s="2" t="s">
        <v>1331</v>
      </c>
      <c r="AF3341" s="2">
        <f t="shared" si="402"/>
        <v>0</v>
      </c>
      <c r="AG3341" s="2">
        <v>0</v>
      </c>
      <c r="AH3341" s="2">
        <v>0</v>
      </c>
      <c r="AJ3341" s="2">
        <f t="shared" si="403"/>
        <v>0</v>
      </c>
      <c r="AK3341" s="2">
        <f t="shared" si="399"/>
        <v>0</v>
      </c>
      <c r="AL3341" s="5" t="e">
        <f t="shared" si="404"/>
        <v>#DIV/0!</v>
      </c>
    </row>
    <row r="3342" spans="1:38" x14ac:dyDescent="0.2">
      <c r="A3342" s="2">
        <v>2026</v>
      </c>
      <c r="B3342" s="2">
        <v>3</v>
      </c>
      <c r="D3342" s="2" t="s">
        <v>2666</v>
      </c>
      <c r="E3342" s="2" t="s">
        <v>754</v>
      </c>
      <c r="G3342" s="2">
        <v>509674658</v>
      </c>
      <c r="H3342" s="2" t="s">
        <v>40</v>
      </c>
      <c r="I3342" s="2" t="s">
        <v>2673</v>
      </c>
      <c r="J3342" s="2" t="s">
        <v>2674</v>
      </c>
      <c r="L3342" s="2" t="s">
        <v>178</v>
      </c>
      <c r="P3342" s="2" t="s">
        <v>283</v>
      </c>
      <c r="Q3342" s="2" t="s">
        <v>1292</v>
      </c>
      <c r="R3342" s="2" t="s">
        <v>1293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1581</v>
      </c>
      <c r="AB3342" s="2" t="s">
        <v>389</v>
      </c>
      <c r="AC3342" s="2" t="s">
        <v>1331</v>
      </c>
      <c r="AF3342" s="2">
        <f t="shared" si="402"/>
        <v>0</v>
      </c>
      <c r="AG3342" s="2">
        <v>0</v>
      </c>
      <c r="AH3342" s="2">
        <v>0</v>
      </c>
      <c r="AJ3342" s="2">
        <f t="shared" si="403"/>
        <v>0</v>
      </c>
      <c r="AK3342" s="2">
        <f t="shared" si="399"/>
        <v>0</v>
      </c>
      <c r="AL3342" s="5" t="e">
        <f t="shared" si="404"/>
        <v>#DIV/0!</v>
      </c>
    </row>
    <row r="3343" spans="1:38" x14ac:dyDescent="0.2">
      <c r="A3343" s="2">
        <v>2026</v>
      </c>
      <c r="B3343" s="2">
        <v>3</v>
      </c>
      <c r="D3343" s="2" t="s">
        <v>2667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2668</v>
      </c>
      <c r="J3343" s="2" t="s">
        <v>2669</v>
      </c>
      <c r="K3343" s="2">
        <v>934367883</v>
      </c>
      <c r="L3343" s="2" t="s">
        <v>419</v>
      </c>
      <c r="O3343" s="2" t="s">
        <v>2670</v>
      </c>
      <c r="P3343" s="2" t="s">
        <v>283</v>
      </c>
      <c r="Q3343" s="2" t="s">
        <v>1292</v>
      </c>
      <c r="R3343" s="2" t="s">
        <v>1293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1581</v>
      </c>
      <c r="AB3343" s="2" t="s">
        <v>389</v>
      </c>
      <c r="AC3343" s="2" t="s">
        <v>1331</v>
      </c>
      <c r="AF3343" s="2">
        <f t="shared" si="402"/>
        <v>0</v>
      </c>
      <c r="AG3343" s="2">
        <v>0</v>
      </c>
      <c r="AH3343" s="2">
        <v>0</v>
      </c>
      <c r="AJ3343" s="2">
        <f t="shared" si="403"/>
        <v>0</v>
      </c>
      <c r="AK3343" s="2">
        <f t="shared" si="399"/>
        <v>0</v>
      </c>
      <c r="AL3343" s="5" t="e">
        <f t="shared" si="404"/>
        <v>#DIV/0!</v>
      </c>
    </row>
    <row r="3344" spans="1:38" x14ac:dyDescent="0.2">
      <c r="A3344" s="2">
        <v>2026</v>
      </c>
      <c r="B3344" s="2">
        <v>3</v>
      </c>
      <c r="D3344" s="2" t="s">
        <v>1892</v>
      </c>
      <c r="P3344" s="2" t="s">
        <v>283</v>
      </c>
      <c r="Q3344" s="2" t="s">
        <v>1958</v>
      </c>
      <c r="R3344" s="2" t="s">
        <v>1959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5">(T3344-W3344)/T3344</f>
        <v>0.46364312267657992</v>
      </c>
      <c r="Z3344" s="2" t="s">
        <v>3237</v>
      </c>
      <c r="AA3344" s="2" t="s">
        <v>72</v>
      </c>
      <c r="AB3344" s="2" t="s">
        <v>120</v>
      </c>
      <c r="AC3344" s="2" t="s">
        <v>120</v>
      </c>
      <c r="AF3344" s="2">
        <f t="shared" si="402"/>
        <v>0</v>
      </c>
      <c r="AJ3344" s="2">
        <f t="shared" si="403"/>
        <v>0</v>
      </c>
      <c r="AK3344" s="2">
        <f t="shared" si="399"/>
        <v>124.72</v>
      </c>
      <c r="AL3344" s="5">
        <f t="shared" si="404"/>
        <v>0.46364312267657992</v>
      </c>
    </row>
    <row r="3345" spans="1:38" x14ac:dyDescent="0.2">
      <c r="A3345" s="2">
        <v>2026</v>
      </c>
      <c r="B3345" s="2">
        <v>3</v>
      </c>
      <c r="D3345" s="2" t="s">
        <v>2675</v>
      </c>
      <c r="P3345" s="2" t="s">
        <v>283</v>
      </c>
      <c r="Q3345" s="2" t="s">
        <v>1440</v>
      </c>
      <c r="R3345" s="2" t="s">
        <v>1441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6">5.135*S3345</f>
        <v>154.04999999999998</v>
      </c>
      <c r="X3345" s="5">
        <f t="shared" si="405"/>
        <v>0.25579710144927542</v>
      </c>
      <c r="Z3345" s="2" t="s">
        <v>3237</v>
      </c>
      <c r="AA3345" s="2" t="s">
        <v>72</v>
      </c>
      <c r="AB3345" s="2" t="s">
        <v>120</v>
      </c>
      <c r="AC3345" s="2" t="s">
        <v>120</v>
      </c>
      <c r="AF3345" s="2">
        <f t="shared" si="402"/>
        <v>0</v>
      </c>
      <c r="AG3345" s="2">
        <v>2.4323999999999999</v>
      </c>
      <c r="AH3345" s="2">
        <v>7.9</v>
      </c>
      <c r="AJ3345" s="2">
        <f t="shared" si="403"/>
        <v>0</v>
      </c>
      <c r="AK3345" s="2">
        <f t="shared" si="399"/>
        <v>52.950000000000017</v>
      </c>
      <c r="AL3345" s="5">
        <f t="shared" si="404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2676</v>
      </c>
      <c r="P3346" s="2" t="s">
        <v>283</v>
      </c>
      <c r="Q3346" s="2" t="s">
        <v>1440</v>
      </c>
      <c r="R3346" s="2" t="s">
        <v>1441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6"/>
        <v>10.27</v>
      </c>
      <c r="X3346" s="5">
        <f t="shared" si="405"/>
        <v>0.35000000000000003</v>
      </c>
      <c r="Z3346" s="2" t="s">
        <v>3237</v>
      </c>
      <c r="AA3346" s="2" t="s">
        <v>72</v>
      </c>
      <c r="AB3346" s="2" t="s">
        <v>120</v>
      </c>
      <c r="AC3346" s="2" t="s">
        <v>120</v>
      </c>
      <c r="AF3346" s="2">
        <f t="shared" si="402"/>
        <v>0</v>
      </c>
      <c r="AG3346" s="2">
        <v>2.4323999999999999</v>
      </c>
      <c r="AH3346" s="2">
        <v>7.9</v>
      </c>
      <c r="AJ3346" s="2">
        <f t="shared" si="403"/>
        <v>0</v>
      </c>
      <c r="AK3346" s="2">
        <f t="shared" si="399"/>
        <v>5.5300000000000011</v>
      </c>
      <c r="AL3346" s="5">
        <f t="shared" si="404"/>
        <v>0.35000000000000003</v>
      </c>
    </row>
    <row r="3347" spans="1:38" x14ac:dyDescent="0.2">
      <c r="A3347" s="2">
        <v>2026</v>
      </c>
      <c r="B3347" s="2">
        <v>3</v>
      </c>
      <c r="D3347" s="2" t="s">
        <v>2677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1561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1554</v>
      </c>
      <c r="R3347" s="2" t="s">
        <v>1555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2"/>
        <v>0</v>
      </c>
      <c r="AG3347" s="2">
        <v>297</v>
      </c>
      <c r="AH3347" s="2">
        <v>595</v>
      </c>
      <c r="AJ3347" s="2">
        <f t="shared" si="403"/>
        <v>0</v>
      </c>
      <c r="AK3347" s="2">
        <f t="shared" si="399"/>
        <v>198</v>
      </c>
      <c r="AL3347" s="5">
        <f t="shared" si="404"/>
        <v>0.4</v>
      </c>
    </row>
    <row r="3348" spans="1:38" x14ac:dyDescent="0.2">
      <c r="A3348" s="2">
        <v>2026</v>
      </c>
      <c r="B3348" s="2">
        <v>3</v>
      </c>
      <c r="D3348" s="2" t="s">
        <v>3269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2654</v>
      </c>
      <c r="L3348" s="2" t="s">
        <v>419</v>
      </c>
      <c r="M3348" s="2" t="s">
        <v>41</v>
      </c>
      <c r="O3348" s="2" t="s">
        <v>3268</v>
      </c>
      <c r="P3348" s="2" t="s">
        <v>283</v>
      </c>
      <c r="Q3348" s="2" t="s">
        <v>1256</v>
      </c>
      <c r="R3348" s="2" t="s">
        <v>1257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2"/>
        <v>0</v>
      </c>
      <c r="AG3348" s="2">
        <v>1239</v>
      </c>
      <c r="AH3348" s="2">
        <v>2950</v>
      </c>
      <c r="AJ3348" s="2">
        <f t="shared" si="403"/>
        <v>0</v>
      </c>
      <c r="AK3348" s="2">
        <f t="shared" si="399"/>
        <v>261</v>
      </c>
      <c r="AL3348" s="5">
        <f t="shared" si="404"/>
        <v>0.17399999999999999</v>
      </c>
    </row>
    <row r="3349" spans="1:38" x14ac:dyDescent="0.2">
      <c r="A3349" s="2">
        <v>2026</v>
      </c>
      <c r="B3349" s="2">
        <v>3</v>
      </c>
      <c r="D3349" s="2" t="s">
        <v>2677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1561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7">14.5099*S3349</f>
        <v>145.09899999999999</v>
      </c>
      <c r="X3349" s="5">
        <f t="shared" si="405"/>
        <v>0.27450500000000005</v>
      </c>
      <c r="Z3349" s="2" t="s">
        <v>3237</v>
      </c>
      <c r="AA3349" s="2" t="s">
        <v>46</v>
      </c>
      <c r="AB3349" s="2" t="s">
        <v>61</v>
      </c>
      <c r="AC3349" s="2" t="s">
        <v>3343</v>
      </c>
      <c r="AF3349" s="2">
        <f t="shared" si="402"/>
        <v>0</v>
      </c>
      <c r="AJ3349" s="2">
        <f t="shared" si="403"/>
        <v>0</v>
      </c>
      <c r="AK3349" s="2">
        <f t="shared" si="399"/>
        <v>54.90100000000001</v>
      </c>
      <c r="AL3349" s="5">
        <f t="shared" si="404"/>
        <v>0.27450500000000005</v>
      </c>
    </row>
    <row r="3350" spans="1:38" x14ac:dyDescent="0.2">
      <c r="A3350" s="2">
        <v>2026</v>
      </c>
      <c r="B3350" s="2">
        <v>3</v>
      </c>
      <c r="D3350" s="2" t="s">
        <v>1359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1360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7"/>
        <v>145.09899999999999</v>
      </c>
      <c r="X3350" s="5">
        <f t="shared" si="405"/>
        <v>0.27450500000000005</v>
      </c>
      <c r="Z3350" s="2" t="s">
        <v>3237</v>
      </c>
      <c r="AA3350" s="2" t="s">
        <v>46</v>
      </c>
      <c r="AB3350" s="2" t="s">
        <v>61</v>
      </c>
      <c r="AC3350" s="2" t="s">
        <v>3343</v>
      </c>
      <c r="AF3350" s="2">
        <f t="shared" si="402"/>
        <v>0</v>
      </c>
      <c r="AJ3350" s="2">
        <f t="shared" si="403"/>
        <v>0</v>
      </c>
      <c r="AK3350" s="2">
        <f t="shared" si="399"/>
        <v>54.90100000000001</v>
      </c>
      <c r="AL3350" s="5">
        <f t="shared" si="404"/>
        <v>0.27450500000000005</v>
      </c>
    </row>
    <row r="3351" spans="1:38" x14ac:dyDescent="0.2">
      <c r="A3351" s="2">
        <v>2026</v>
      </c>
      <c r="B3351" s="2">
        <v>3</v>
      </c>
      <c r="D3351" s="2" t="s">
        <v>1009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7"/>
        <v>145.09899999999999</v>
      </c>
      <c r="X3351" s="5">
        <f t="shared" si="405"/>
        <v>0.27450500000000005</v>
      </c>
      <c r="Z3351" s="2" t="s">
        <v>3237</v>
      </c>
      <c r="AA3351" s="2" t="s">
        <v>46</v>
      </c>
      <c r="AB3351" s="2" t="s">
        <v>61</v>
      </c>
      <c r="AC3351" s="2" t="s">
        <v>3343</v>
      </c>
      <c r="AF3351" s="2">
        <f t="shared" si="402"/>
        <v>0</v>
      </c>
      <c r="AJ3351" s="2">
        <f t="shared" si="403"/>
        <v>0</v>
      </c>
      <c r="AK3351" s="2">
        <f t="shared" si="399"/>
        <v>54.90100000000001</v>
      </c>
      <c r="AL3351" s="5">
        <f t="shared" si="404"/>
        <v>0.27450500000000005</v>
      </c>
    </row>
    <row r="3352" spans="1:38" x14ac:dyDescent="0.2">
      <c r="A3352" s="2">
        <v>2026</v>
      </c>
      <c r="B3352" s="2">
        <v>3</v>
      </c>
      <c r="D3352" s="2" t="s">
        <v>1560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1561</v>
      </c>
      <c r="J3352" s="2" t="s">
        <v>1562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7"/>
        <v>290.19799999999998</v>
      </c>
      <c r="X3352" s="5">
        <f t="shared" si="405"/>
        <v>0.27450500000000005</v>
      </c>
      <c r="Z3352" s="2" t="s">
        <v>3237</v>
      </c>
      <c r="AA3352" s="2" t="s">
        <v>46</v>
      </c>
      <c r="AB3352" s="2" t="s">
        <v>61</v>
      </c>
      <c r="AC3352" s="2" t="s">
        <v>3343</v>
      </c>
      <c r="AF3352" s="2">
        <f t="shared" si="402"/>
        <v>0</v>
      </c>
      <c r="AJ3352" s="2">
        <f t="shared" si="403"/>
        <v>0</v>
      </c>
      <c r="AK3352" s="2">
        <f t="shared" si="399"/>
        <v>109.80200000000002</v>
      </c>
      <c r="AL3352" s="5">
        <f t="shared" si="404"/>
        <v>0.27450500000000005</v>
      </c>
    </row>
    <row r="3353" spans="1:38" x14ac:dyDescent="0.2">
      <c r="A3353" s="2">
        <v>2026</v>
      </c>
      <c r="B3353" s="2">
        <v>3</v>
      </c>
      <c r="D3353" s="2" t="s">
        <v>2677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1561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7"/>
        <v>145.09899999999999</v>
      </c>
      <c r="X3353" s="5">
        <f t="shared" si="405"/>
        <v>0.27450500000000005</v>
      </c>
      <c r="Z3353" s="2" t="s">
        <v>3237</v>
      </c>
      <c r="AA3353" s="2" t="s">
        <v>46</v>
      </c>
      <c r="AB3353" s="2" t="s">
        <v>61</v>
      </c>
      <c r="AC3353" s="2" t="s">
        <v>3343</v>
      </c>
      <c r="AF3353" s="2">
        <f t="shared" si="402"/>
        <v>0</v>
      </c>
      <c r="AJ3353" s="2">
        <f t="shared" si="403"/>
        <v>0</v>
      </c>
      <c r="AK3353" s="2">
        <f t="shared" si="399"/>
        <v>54.90100000000001</v>
      </c>
      <c r="AL3353" s="5">
        <f t="shared" si="404"/>
        <v>0.27450500000000005</v>
      </c>
    </row>
    <row r="3354" spans="1:38" x14ac:dyDescent="0.2">
      <c r="A3354" s="2">
        <v>2026</v>
      </c>
      <c r="B3354" s="2">
        <v>3</v>
      </c>
      <c r="D3354" s="2" t="s">
        <v>1359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1360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7"/>
        <v>145.09899999999999</v>
      </c>
      <c r="X3354" s="5">
        <f t="shared" si="405"/>
        <v>0.27450500000000005</v>
      </c>
      <c r="Z3354" s="2" t="s">
        <v>3237</v>
      </c>
      <c r="AA3354" s="2" t="s">
        <v>46</v>
      </c>
      <c r="AB3354" s="2" t="s">
        <v>61</v>
      </c>
      <c r="AC3354" s="2" t="s">
        <v>3343</v>
      </c>
      <c r="AF3354" s="2">
        <f t="shared" si="402"/>
        <v>0</v>
      </c>
      <c r="AJ3354" s="2">
        <f t="shared" si="403"/>
        <v>0</v>
      </c>
      <c r="AK3354" s="2">
        <f t="shared" si="399"/>
        <v>54.90100000000001</v>
      </c>
      <c r="AL3354" s="5">
        <f t="shared" si="404"/>
        <v>0.27450500000000005</v>
      </c>
    </row>
    <row r="3355" spans="1:38" x14ac:dyDescent="0.2">
      <c r="A3355" s="2">
        <v>2026</v>
      </c>
      <c r="B3355" s="2">
        <v>3</v>
      </c>
      <c r="D3355" s="2" t="s">
        <v>1009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7"/>
        <v>145.09899999999999</v>
      </c>
      <c r="X3355" s="5">
        <f t="shared" si="405"/>
        <v>0.27450500000000005</v>
      </c>
      <c r="Z3355" s="2" t="s">
        <v>3237</v>
      </c>
      <c r="AA3355" s="2" t="s">
        <v>46</v>
      </c>
      <c r="AB3355" s="2" t="s">
        <v>61</v>
      </c>
      <c r="AC3355" s="2" t="s">
        <v>3343</v>
      </c>
      <c r="AF3355" s="2">
        <f t="shared" si="402"/>
        <v>0</v>
      </c>
      <c r="AJ3355" s="2">
        <f t="shared" si="403"/>
        <v>0</v>
      </c>
      <c r="AK3355" s="2">
        <f t="shared" si="399"/>
        <v>54.90100000000001</v>
      </c>
      <c r="AL3355" s="5">
        <f t="shared" si="404"/>
        <v>0.27450500000000005</v>
      </c>
    </row>
    <row r="3356" spans="1:38" x14ac:dyDescent="0.2">
      <c r="A3356" s="2">
        <v>2026</v>
      </c>
      <c r="B3356" s="2">
        <v>3</v>
      </c>
      <c r="D3356" s="2" t="s">
        <v>1560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1561</v>
      </c>
      <c r="J3356" s="2" t="s">
        <v>1562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7"/>
        <v>290.19799999999998</v>
      </c>
      <c r="X3356" s="5">
        <f t="shared" si="405"/>
        <v>0.27450500000000005</v>
      </c>
      <c r="Z3356" s="2" t="s">
        <v>3237</v>
      </c>
      <c r="AA3356" s="2" t="s">
        <v>46</v>
      </c>
      <c r="AB3356" s="2" t="s">
        <v>61</v>
      </c>
      <c r="AC3356" s="2" t="s">
        <v>3343</v>
      </c>
      <c r="AF3356" s="2">
        <f t="shared" si="402"/>
        <v>0</v>
      </c>
      <c r="AJ3356" s="2">
        <f t="shared" si="403"/>
        <v>0</v>
      </c>
      <c r="AK3356" s="2">
        <f t="shared" si="399"/>
        <v>109.80200000000002</v>
      </c>
      <c r="AL3356" s="5">
        <f t="shared" si="404"/>
        <v>0.27450500000000005</v>
      </c>
    </row>
    <row r="3357" spans="1:38" x14ac:dyDescent="0.2">
      <c r="A3357" s="2">
        <v>2026</v>
      </c>
      <c r="B3357" s="2">
        <v>3</v>
      </c>
      <c r="D3357" s="2" t="s">
        <v>2524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2525</v>
      </c>
      <c r="J3357" s="2" t="s">
        <v>2526</v>
      </c>
      <c r="K3357" s="2">
        <v>967032538</v>
      </c>
      <c r="L3357" s="2" t="s">
        <v>399</v>
      </c>
      <c r="M3357" s="2" t="s">
        <v>110</v>
      </c>
      <c r="O3357" s="2" t="s">
        <v>2647</v>
      </c>
      <c r="P3357" s="2" t="s">
        <v>43</v>
      </c>
      <c r="Q3357" s="2" t="s">
        <v>1107</v>
      </c>
      <c r="R3357" s="2" t="s">
        <v>1108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5"/>
        <v>0.52380952380952384</v>
      </c>
      <c r="Z3357" s="2" t="s">
        <v>3237</v>
      </c>
      <c r="AA3357" s="2" t="s">
        <v>46</v>
      </c>
      <c r="AB3357" s="2" t="s">
        <v>47</v>
      </c>
      <c r="AC3357" s="2" t="s">
        <v>48</v>
      </c>
      <c r="AF3357" s="2">
        <f t="shared" si="402"/>
        <v>0</v>
      </c>
      <c r="AG3357" s="2">
        <v>10</v>
      </c>
      <c r="AH3357" s="2">
        <v>21</v>
      </c>
      <c r="AJ3357" s="2">
        <f t="shared" si="403"/>
        <v>0</v>
      </c>
      <c r="AK3357" s="2">
        <f t="shared" si="399"/>
        <v>11</v>
      </c>
      <c r="AL3357" s="5">
        <f t="shared" si="404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5"/>
        <v>0.49025384615384621</v>
      </c>
      <c r="Z3358" s="2" t="s">
        <v>3237</v>
      </c>
      <c r="AA3358" s="2" t="s">
        <v>46</v>
      </c>
      <c r="AB3358" s="2" t="s">
        <v>47</v>
      </c>
      <c r="AC3358" s="2" t="s">
        <v>48</v>
      </c>
      <c r="AF3358" s="2">
        <f t="shared" si="402"/>
        <v>0</v>
      </c>
      <c r="AG3358" s="2">
        <v>6.6266999999999996</v>
      </c>
      <c r="AH3358" s="2">
        <v>12</v>
      </c>
      <c r="AJ3358" s="2">
        <f t="shared" si="403"/>
        <v>0</v>
      </c>
      <c r="AK3358" s="2">
        <f t="shared" si="399"/>
        <v>12.746600000000001</v>
      </c>
      <c r="AL3358" s="5">
        <f t="shared" si="404"/>
        <v>0.49025384615384621</v>
      </c>
    </row>
    <row r="3359" spans="1:38" x14ac:dyDescent="0.2">
      <c r="A3359" s="2">
        <v>2026</v>
      </c>
      <c r="B3359" s="2">
        <v>3</v>
      </c>
      <c r="D3359" s="2" t="s">
        <v>2524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2525</v>
      </c>
      <c r="J3359" s="2" t="s">
        <v>2526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5"/>
        <v>0.44777500000000003</v>
      </c>
      <c r="Z3359" s="2" t="s">
        <v>3237</v>
      </c>
      <c r="AA3359" s="2" t="s">
        <v>46</v>
      </c>
      <c r="AB3359" s="2" t="s">
        <v>47</v>
      </c>
      <c r="AC3359" s="2" t="s">
        <v>48</v>
      </c>
      <c r="AF3359" s="2">
        <f t="shared" si="402"/>
        <v>0</v>
      </c>
      <c r="AG3359" s="2">
        <v>6.6266999999999996</v>
      </c>
      <c r="AH3359" s="2">
        <v>12</v>
      </c>
      <c r="AJ3359" s="2">
        <f t="shared" si="403"/>
        <v>0</v>
      </c>
      <c r="AK3359" s="2">
        <f t="shared" si="399"/>
        <v>5.3733000000000004</v>
      </c>
      <c r="AL3359" s="5">
        <f t="shared" si="404"/>
        <v>0.44777500000000003</v>
      </c>
    </row>
    <row r="3360" spans="1:38" x14ac:dyDescent="0.2">
      <c r="A3360" s="2">
        <v>2026</v>
      </c>
      <c r="B3360" s="2">
        <v>3</v>
      </c>
      <c r="D3360" s="2" t="s">
        <v>1011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5"/>
        <v>0.49025384615384621</v>
      </c>
      <c r="Z3360" s="2" t="s">
        <v>3237</v>
      </c>
      <c r="AA3360" s="2" t="s">
        <v>46</v>
      </c>
      <c r="AB3360" s="2" t="s">
        <v>47</v>
      </c>
      <c r="AC3360" s="2" t="s">
        <v>48</v>
      </c>
      <c r="AF3360" s="2">
        <f t="shared" si="402"/>
        <v>0</v>
      </c>
      <c r="AG3360" s="2">
        <v>6.6266999999999996</v>
      </c>
      <c r="AH3360" s="2">
        <v>12</v>
      </c>
      <c r="AJ3360" s="2">
        <f t="shared" si="403"/>
        <v>0</v>
      </c>
      <c r="AK3360" s="2">
        <f t="shared" si="399"/>
        <v>6.3733000000000004</v>
      </c>
      <c r="AL3360" s="5">
        <f t="shared" si="404"/>
        <v>0.49025384615384621</v>
      </c>
    </row>
    <row r="3361" spans="1:38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2678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5"/>
        <v>0.49025384615384621</v>
      </c>
      <c r="Z3361" s="2" t="s">
        <v>3237</v>
      </c>
      <c r="AA3361" s="2" t="s">
        <v>46</v>
      </c>
      <c r="AB3361" s="2" t="s">
        <v>47</v>
      </c>
      <c r="AC3361" s="2" t="s">
        <v>48</v>
      </c>
      <c r="AF3361" s="2">
        <f t="shared" si="402"/>
        <v>0</v>
      </c>
      <c r="AG3361" s="2">
        <v>6.6266999999999996</v>
      </c>
      <c r="AH3361" s="2">
        <v>12</v>
      </c>
      <c r="AJ3361" s="2">
        <f t="shared" si="403"/>
        <v>0</v>
      </c>
      <c r="AK3361" s="2">
        <f t="shared" si="399"/>
        <v>6.3733000000000004</v>
      </c>
      <c r="AL3361" s="5">
        <f t="shared" si="404"/>
        <v>0.49025384615384621</v>
      </c>
    </row>
    <row r="3362" spans="1:38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2621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5"/>
        <v>0.31428571428571428</v>
      </c>
      <c r="Z3362" s="2" t="s">
        <v>3237</v>
      </c>
      <c r="AA3362" s="2" t="s">
        <v>46</v>
      </c>
      <c r="AB3362" s="2" t="s">
        <v>47</v>
      </c>
      <c r="AC3362" s="2" t="s">
        <v>48</v>
      </c>
      <c r="AF3362" s="2">
        <f t="shared" si="402"/>
        <v>0</v>
      </c>
      <c r="AG3362" s="2">
        <v>14.4</v>
      </c>
      <c r="AH3362" s="2">
        <v>21</v>
      </c>
      <c r="AJ3362" s="2">
        <f t="shared" si="403"/>
        <v>0</v>
      </c>
      <c r="AK3362" s="2">
        <f t="shared" si="399"/>
        <v>13.2</v>
      </c>
      <c r="AL3362" s="5">
        <f t="shared" si="404"/>
        <v>0.31428571428571428</v>
      </c>
    </row>
    <row r="3363" spans="1:38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2679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5"/>
        <v>0.44777500000000003</v>
      </c>
      <c r="Z3363" s="2" t="s">
        <v>3237</v>
      </c>
      <c r="AA3363" s="2" t="s">
        <v>46</v>
      </c>
      <c r="AB3363" s="2" t="s">
        <v>47</v>
      </c>
      <c r="AC3363" s="2" t="s">
        <v>48</v>
      </c>
      <c r="AF3363" s="2">
        <f t="shared" si="402"/>
        <v>0</v>
      </c>
      <c r="AG3363" s="2">
        <v>6.6266999999999996</v>
      </c>
      <c r="AH3363" s="2">
        <v>12</v>
      </c>
      <c r="AJ3363" s="2">
        <f t="shared" si="403"/>
        <v>0</v>
      </c>
      <c r="AK3363" s="2">
        <f t="shared" si="399"/>
        <v>5.3733000000000004</v>
      </c>
      <c r="AL3363" s="5">
        <f t="shared" si="404"/>
        <v>0.44777500000000003</v>
      </c>
    </row>
    <row r="3364" spans="1:38" x14ac:dyDescent="0.2">
      <c r="A3364" s="2">
        <v>2026</v>
      </c>
      <c r="B3364" s="2">
        <v>3</v>
      </c>
      <c r="D3364" s="2" t="s">
        <v>1095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2680</v>
      </c>
      <c r="J3364" s="2" t="s">
        <v>2681</v>
      </c>
      <c r="K3364" s="2">
        <v>962939747</v>
      </c>
      <c r="L3364" s="2" t="s">
        <v>100</v>
      </c>
      <c r="M3364" s="2" t="s">
        <v>41</v>
      </c>
      <c r="O3364" s="2" t="s">
        <v>2682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5"/>
        <v>0.3975727272727273</v>
      </c>
      <c r="Z3364" s="2" t="s">
        <v>3237</v>
      </c>
      <c r="AA3364" s="2" t="s">
        <v>46</v>
      </c>
      <c r="AB3364" s="2" t="s">
        <v>47</v>
      </c>
      <c r="AC3364" s="2" t="s">
        <v>48</v>
      </c>
      <c r="AF3364" s="2">
        <f t="shared" si="402"/>
        <v>0</v>
      </c>
      <c r="AG3364" s="2">
        <v>6.6266999999999996</v>
      </c>
      <c r="AH3364" s="2">
        <v>12</v>
      </c>
      <c r="AJ3364" s="2">
        <f t="shared" si="403"/>
        <v>0</v>
      </c>
      <c r="AK3364" s="2">
        <f t="shared" si="399"/>
        <v>43.733000000000004</v>
      </c>
      <c r="AL3364" s="5">
        <f t="shared" si="404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2683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3237</v>
      </c>
      <c r="AA3365" s="2" t="s">
        <v>46</v>
      </c>
      <c r="AB3365" s="2" t="s">
        <v>47</v>
      </c>
      <c r="AC3365" s="2" t="s">
        <v>48</v>
      </c>
      <c r="AF3365" s="2">
        <f t="shared" si="402"/>
        <v>0</v>
      </c>
      <c r="AG3365" s="2">
        <v>6.6266999999999996</v>
      </c>
      <c r="AH3365" s="2">
        <v>12</v>
      </c>
      <c r="AJ3365" s="2">
        <f t="shared" si="403"/>
        <v>0</v>
      </c>
      <c r="AK3365" s="2">
        <f t="shared" si="399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1316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1317</v>
      </c>
      <c r="L3366" s="2" t="s">
        <v>178</v>
      </c>
      <c r="M3366" s="2" t="s">
        <v>41</v>
      </c>
      <c r="O3366" s="2" t="s">
        <v>2684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08">(T3366-W3366)/T3366</f>
        <v>0.68624999999999992</v>
      </c>
      <c r="Z3366" s="2" t="s">
        <v>3237</v>
      </c>
      <c r="AA3366" s="2" t="s">
        <v>46</v>
      </c>
      <c r="AB3366" s="2" t="s">
        <v>47</v>
      </c>
      <c r="AC3366" s="2" t="s">
        <v>48</v>
      </c>
      <c r="AF3366" s="2">
        <f t="shared" si="402"/>
        <v>0</v>
      </c>
      <c r="AG3366" s="2">
        <v>11.76</v>
      </c>
      <c r="AH3366" s="2">
        <v>36</v>
      </c>
      <c r="AJ3366" s="2">
        <f t="shared" si="403"/>
        <v>0</v>
      </c>
      <c r="AK3366" s="2">
        <f t="shared" si="399"/>
        <v>24.704999999999998</v>
      </c>
      <c r="AL3366" s="5">
        <f t="shared" ref="AL3366:AL3373" si="409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2685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8"/>
        <v>0.31428571428571428</v>
      </c>
      <c r="Z3367" s="2" t="s">
        <v>3237</v>
      </c>
      <c r="AA3367" s="2" t="s">
        <v>46</v>
      </c>
      <c r="AB3367" s="2" t="s">
        <v>47</v>
      </c>
      <c r="AC3367" s="2" t="s">
        <v>48</v>
      </c>
      <c r="AF3367" s="2">
        <f t="shared" si="402"/>
        <v>0</v>
      </c>
      <c r="AG3367" s="2">
        <v>14.4</v>
      </c>
      <c r="AH3367" s="2">
        <v>21</v>
      </c>
      <c r="AJ3367" s="2">
        <f t="shared" si="403"/>
        <v>0</v>
      </c>
      <c r="AK3367" s="2">
        <f t="shared" si="399"/>
        <v>6.6</v>
      </c>
      <c r="AL3367" s="5">
        <f t="shared" si="409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8"/>
        <v>0.58491111111111116</v>
      </c>
      <c r="Z3368" s="2" t="s">
        <v>3237</v>
      </c>
      <c r="AA3368" s="2" t="s">
        <v>46</v>
      </c>
      <c r="AB3368" s="2" t="s">
        <v>47</v>
      </c>
      <c r="AC3368" s="2" t="s">
        <v>48</v>
      </c>
      <c r="AF3368" s="2">
        <f t="shared" si="402"/>
        <v>0</v>
      </c>
      <c r="AG3368" s="2">
        <v>3.7357999999999998</v>
      </c>
      <c r="AH3368" s="2">
        <v>9</v>
      </c>
      <c r="AJ3368" s="2">
        <f t="shared" si="403"/>
        <v>0</v>
      </c>
      <c r="AK3368" s="2">
        <f t="shared" si="399"/>
        <v>5.2642000000000007</v>
      </c>
      <c r="AL3368" s="5">
        <f t="shared" si="409"/>
        <v>0.58491111111111116</v>
      </c>
    </row>
    <row r="3369" spans="1:38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2685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8"/>
        <v>0.58491111111111116</v>
      </c>
      <c r="Z3369" s="2" t="s">
        <v>3237</v>
      </c>
      <c r="AA3369" s="2" t="s">
        <v>46</v>
      </c>
      <c r="AB3369" s="2" t="s">
        <v>47</v>
      </c>
      <c r="AC3369" s="2" t="s">
        <v>48</v>
      </c>
      <c r="AF3369" s="2">
        <f t="shared" si="402"/>
        <v>0</v>
      </c>
      <c r="AG3369" s="2">
        <v>3.7357999999999998</v>
      </c>
      <c r="AH3369" s="2">
        <v>9</v>
      </c>
      <c r="AJ3369" s="2">
        <f t="shared" si="403"/>
        <v>0</v>
      </c>
      <c r="AK3369" s="2">
        <f t="shared" si="399"/>
        <v>5.2642000000000007</v>
      </c>
      <c r="AL3369" s="5">
        <f t="shared" si="409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3186</v>
      </c>
      <c r="K3370" s="2">
        <v>911577458</v>
      </c>
      <c r="L3370" s="2" t="s">
        <v>178</v>
      </c>
      <c r="M3370" s="2" t="s">
        <v>41</v>
      </c>
      <c r="O3370" s="2" t="s">
        <v>3190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8"/>
        <v>0.58491111111111116</v>
      </c>
      <c r="Z3370" s="2" t="s">
        <v>3237</v>
      </c>
      <c r="AA3370" s="2" t="s">
        <v>46</v>
      </c>
      <c r="AB3370" s="2" t="s">
        <v>47</v>
      </c>
      <c r="AC3370" s="2" t="s">
        <v>48</v>
      </c>
      <c r="AF3370" s="2">
        <f t="shared" si="402"/>
        <v>0</v>
      </c>
      <c r="AG3370" s="2">
        <v>3.7357999999999998</v>
      </c>
      <c r="AH3370" s="2">
        <v>9</v>
      </c>
      <c r="AJ3370" s="2">
        <f t="shared" si="403"/>
        <v>0</v>
      </c>
      <c r="AK3370" s="2">
        <f t="shared" si="399"/>
        <v>10.528400000000001</v>
      </c>
      <c r="AL3370" s="5">
        <f t="shared" si="409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8"/>
        <v>0.58491111111111116</v>
      </c>
      <c r="Z3371" s="2" t="s">
        <v>3237</v>
      </c>
      <c r="AA3371" s="2" t="s">
        <v>46</v>
      </c>
      <c r="AB3371" s="2" t="s">
        <v>47</v>
      </c>
      <c r="AC3371" s="2" t="s">
        <v>48</v>
      </c>
      <c r="AF3371" s="2">
        <f t="shared" si="402"/>
        <v>0</v>
      </c>
      <c r="AG3371" s="2">
        <v>3.7357999999999998</v>
      </c>
      <c r="AH3371" s="2">
        <v>9</v>
      </c>
      <c r="AJ3371" s="2">
        <f t="shared" si="403"/>
        <v>0</v>
      </c>
      <c r="AK3371" s="2">
        <f t="shared" si="399"/>
        <v>5.2642000000000007</v>
      </c>
      <c r="AL3371" s="5">
        <f t="shared" si="409"/>
        <v>0.58491111111111116</v>
      </c>
    </row>
    <row r="3372" spans="1:38" x14ac:dyDescent="0.2">
      <c r="A3372" s="2">
        <v>2026</v>
      </c>
      <c r="B3372" s="2">
        <v>3</v>
      </c>
      <c r="D3372" s="2" t="s">
        <v>2524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2525</v>
      </c>
      <c r="J3372" s="2" t="s">
        <v>2526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8"/>
        <v>0.50950925925925927</v>
      </c>
      <c r="Z3372" s="2" t="s">
        <v>3237</v>
      </c>
      <c r="AA3372" s="2" t="s">
        <v>46</v>
      </c>
      <c r="AB3372" s="2" t="s">
        <v>47</v>
      </c>
      <c r="AC3372" s="2" t="s">
        <v>48</v>
      </c>
      <c r="AF3372" s="2">
        <f t="shared" si="402"/>
        <v>0</v>
      </c>
      <c r="AG3372" s="2">
        <v>5.2972999999999999</v>
      </c>
      <c r="AH3372" s="2">
        <v>10.8</v>
      </c>
      <c r="AJ3372" s="2">
        <f t="shared" si="403"/>
        <v>0</v>
      </c>
      <c r="AK3372" s="2">
        <f t="shared" si="399"/>
        <v>5.5027000000000008</v>
      </c>
      <c r="AL3372" s="5">
        <f t="shared" si="409"/>
        <v>0.50950925925925927</v>
      </c>
    </row>
    <row r="3373" spans="1:38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2686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8"/>
        <v>0.50950925925925927</v>
      </c>
      <c r="Z3373" s="2" t="s">
        <v>3237</v>
      </c>
      <c r="AA3373" s="2" t="s">
        <v>46</v>
      </c>
      <c r="AB3373" s="2" t="s">
        <v>47</v>
      </c>
      <c r="AC3373" s="2" t="s">
        <v>48</v>
      </c>
      <c r="AF3373" s="2">
        <f t="shared" si="402"/>
        <v>0</v>
      </c>
      <c r="AG3373" s="2">
        <v>5.2972999999999999</v>
      </c>
      <c r="AH3373" s="2">
        <v>10.8</v>
      </c>
      <c r="AJ3373" s="2">
        <f t="shared" si="403"/>
        <v>0</v>
      </c>
      <c r="AK3373" s="2">
        <f t="shared" si="399"/>
        <v>5.5027000000000008</v>
      </c>
      <c r="AL3373" s="5">
        <f t="shared" si="409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2683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3237</v>
      </c>
      <c r="AA3374" s="2" t="s">
        <v>46</v>
      </c>
      <c r="AB3374" s="2" t="s">
        <v>47</v>
      </c>
      <c r="AC3374" s="2" t="s">
        <v>48</v>
      </c>
      <c r="AF3374" s="2">
        <f t="shared" si="402"/>
        <v>0</v>
      </c>
      <c r="AG3374" s="2">
        <v>5.2972999999999999</v>
      </c>
      <c r="AH3374" s="2">
        <v>10.8</v>
      </c>
      <c r="AJ3374" s="2">
        <f t="shared" si="403"/>
        <v>0</v>
      </c>
      <c r="AK3374" s="2">
        <f t="shared" si="399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2687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0">(T3375-W3375)/T3375</f>
        <v>0.47233333333333333</v>
      </c>
      <c r="Z3375" s="2" t="s">
        <v>3237</v>
      </c>
      <c r="AA3375" s="2" t="s">
        <v>46</v>
      </c>
      <c r="AB3375" s="2" t="s">
        <v>57</v>
      </c>
      <c r="AC3375" s="2" t="s">
        <v>58</v>
      </c>
      <c r="AF3375" s="2">
        <f t="shared" si="402"/>
        <v>0</v>
      </c>
      <c r="AJ3375" s="2">
        <f t="shared" si="403"/>
        <v>0</v>
      </c>
      <c r="AK3375" s="2">
        <f t="shared" si="399"/>
        <v>7.085</v>
      </c>
      <c r="AL3375" s="5">
        <f t="shared" ref="AL3375:AL3406" si="411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2687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0"/>
        <v>0.47734374999999996</v>
      </c>
      <c r="Z3376" s="2" t="s">
        <v>3237</v>
      </c>
      <c r="AA3376" s="2" t="s">
        <v>46</v>
      </c>
      <c r="AB3376" s="2" t="s">
        <v>57</v>
      </c>
      <c r="AC3376" s="2" t="s">
        <v>58</v>
      </c>
      <c r="AF3376" s="2">
        <f t="shared" si="402"/>
        <v>0</v>
      </c>
      <c r="AJ3376" s="2">
        <f t="shared" si="403"/>
        <v>0</v>
      </c>
      <c r="AK3376" s="2">
        <f t="shared" si="399"/>
        <v>9.1649999999999991</v>
      </c>
      <c r="AL3376" s="5">
        <f t="shared" si="411"/>
        <v>0.47734374999999996</v>
      </c>
    </row>
    <row r="3377" spans="1:38" x14ac:dyDescent="0.2">
      <c r="A3377" s="2">
        <v>2026</v>
      </c>
      <c r="B3377" s="2">
        <v>3</v>
      </c>
      <c r="D3377" s="2" t="s">
        <v>983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0"/>
        <v>0.46177536231884059</v>
      </c>
      <c r="Z3377" s="2" t="s">
        <v>3237</v>
      </c>
      <c r="AA3377" s="2" t="s">
        <v>46</v>
      </c>
      <c r="AB3377" s="2" t="s">
        <v>57</v>
      </c>
      <c r="AC3377" s="2" t="s">
        <v>58</v>
      </c>
      <c r="AF3377" s="2">
        <f t="shared" si="402"/>
        <v>0</v>
      </c>
      <c r="AJ3377" s="2">
        <f t="shared" si="403"/>
        <v>0</v>
      </c>
      <c r="AK3377" s="2">
        <f t="shared" si="399"/>
        <v>12.745000000000001</v>
      </c>
      <c r="AL3377" s="5">
        <f t="shared" si="411"/>
        <v>0.46177536231884059</v>
      </c>
    </row>
    <row r="3378" spans="1:38" x14ac:dyDescent="0.2">
      <c r="A3378" s="2">
        <v>2026</v>
      </c>
      <c r="B3378" s="2">
        <v>3</v>
      </c>
      <c r="D3378" s="2" t="s">
        <v>983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0"/>
        <v>1</v>
      </c>
      <c r="Z3378" s="2" t="s">
        <v>3237</v>
      </c>
      <c r="AA3378" s="2" t="s">
        <v>46</v>
      </c>
      <c r="AB3378" s="2" t="s">
        <v>57</v>
      </c>
      <c r="AC3378" s="2" t="s">
        <v>58</v>
      </c>
      <c r="AF3378" s="2">
        <f t="shared" si="402"/>
        <v>0</v>
      </c>
      <c r="AJ3378" s="2">
        <f t="shared" si="403"/>
        <v>0</v>
      </c>
      <c r="AK3378" s="2">
        <f t="shared" si="399"/>
        <v>49.2</v>
      </c>
      <c r="AL3378" s="5">
        <f t="shared" si="411"/>
        <v>1</v>
      </c>
    </row>
    <row r="3379" spans="1:38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2687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0"/>
        <v>1</v>
      </c>
      <c r="Z3379" s="2" t="s">
        <v>3237</v>
      </c>
      <c r="AA3379" s="2" t="s">
        <v>46</v>
      </c>
      <c r="AB3379" s="2" t="s">
        <v>57</v>
      </c>
      <c r="AC3379" s="2" t="s">
        <v>58</v>
      </c>
      <c r="AF3379" s="2">
        <f t="shared" si="402"/>
        <v>0</v>
      </c>
      <c r="AJ3379" s="2">
        <f t="shared" si="403"/>
        <v>0</v>
      </c>
      <c r="AK3379" s="2">
        <f t="shared" si="399"/>
        <v>30</v>
      </c>
      <c r="AL3379" s="5">
        <f t="shared" si="411"/>
        <v>1</v>
      </c>
    </row>
    <row r="3380" spans="1:38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2687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0"/>
        <v>1</v>
      </c>
      <c r="Z3380" s="2" t="s">
        <v>3237</v>
      </c>
      <c r="AA3380" s="2" t="s">
        <v>46</v>
      </c>
      <c r="AB3380" s="2" t="s">
        <v>57</v>
      </c>
      <c r="AC3380" s="2" t="s">
        <v>58</v>
      </c>
      <c r="AF3380" s="2">
        <f t="shared" si="402"/>
        <v>0</v>
      </c>
      <c r="AJ3380" s="2">
        <f t="shared" si="403"/>
        <v>0</v>
      </c>
      <c r="AK3380" s="2">
        <f t="shared" si="399"/>
        <v>13.2</v>
      </c>
      <c r="AL3380" s="5">
        <f t="shared" si="411"/>
        <v>1</v>
      </c>
    </row>
    <row r="3381" spans="1:38" x14ac:dyDescent="0.2">
      <c r="A3381" s="2">
        <v>2026</v>
      </c>
      <c r="B3381" s="2">
        <v>3</v>
      </c>
      <c r="D3381" s="2" t="s">
        <v>2524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2525</v>
      </c>
      <c r="J3381" s="2" t="s">
        <v>2526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0"/>
        <v>0.53121428571428575</v>
      </c>
      <c r="Z3381" s="2" t="s">
        <v>3237</v>
      </c>
      <c r="AA3381" s="2" t="s">
        <v>46</v>
      </c>
      <c r="AB3381" s="2" t="s">
        <v>57</v>
      </c>
      <c r="AC3381" s="2" t="s">
        <v>58</v>
      </c>
      <c r="AF3381" s="2">
        <f t="shared" si="402"/>
        <v>0</v>
      </c>
      <c r="AG3381" s="2">
        <v>5.9066999999999998</v>
      </c>
      <c r="AH3381" s="2">
        <v>12.6</v>
      </c>
      <c r="AJ3381" s="2">
        <f t="shared" si="403"/>
        <v>0</v>
      </c>
      <c r="AK3381" s="2">
        <f t="shared" si="399"/>
        <v>6.6932999999999998</v>
      </c>
      <c r="AL3381" s="5">
        <f t="shared" si="411"/>
        <v>0.53121428571428575</v>
      </c>
    </row>
    <row r="3382" spans="1:38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2687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0"/>
        <v>0.53121428571428575</v>
      </c>
      <c r="Z3382" s="2" t="s">
        <v>3237</v>
      </c>
      <c r="AA3382" s="2" t="s">
        <v>46</v>
      </c>
      <c r="AB3382" s="2" t="s">
        <v>57</v>
      </c>
      <c r="AC3382" s="2" t="s">
        <v>58</v>
      </c>
      <c r="AF3382" s="2">
        <f t="shared" si="402"/>
        <v>0</v>
      </c>
      <c r="AG3382" s="2">
        <v>5.9066999999999998</v>
      </c>
      <c r="AH3382" s="2">
        <v>12.6</v>
      </c>
      <c r="AJ3382" s="2">
        <f t="shared" si="403"/>
        <v>0</v>
      </c>
      <c r="AK3382" s="2">
        <f t="shared" ref="AK3382:AK3445" si="412">T3382-W3382</f>
        <v>6.6932999999999998</v>
      </c>
      <c r="AL3382" s="5">
        <f t="shared" si="411"/>
        <v>0.53121428571428575</v>
      </c>
    </row>
    <row r="3383" spans="1:38" x14ac:dyDescent="0.2">
      <c r="A3383" s="2">
        <v>2026</v>
      </c>
      <c r="B3383" s="2">
        <v>3</v>
      </c>
      <c r="D3383" s="2" t="s">
        <v>1423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1276</v>
      </c>
      <c r="J3383" s="2" t="s">
        <v>2402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0"/>
        <v>0.49849305555555556</v>
      </c>
      <c r="Z3383" s="2" t="s">
        <v>3237</v>
      </c>
      <c r="AA3383" s="2" t="s">
        <v>46</v>
      </c>
      <c r="AB3383" s="2" t="s">
        <v>57</v>
      </c>
      <c r="AC3383" s="2" t="s">
        <v>58</v>
      </c>
      <c r="AF3383" s="2">
        <f t="shared" si="402"/>
        <v>0</v>
      </c>
      <c r="AG3383" s="2">
        <v>7.2217000000000002</v>
      </c>
      <c r="AH3383" s="2">
        <v>14.4</v>
      </c>
      <c r="AJ3383" s="2">
        <f t="shared" si="403"/>
        <v>0</v>
      </c>
      <c r="AK3383" s="2">
        <f t="shared" si="412"/>
        <v>14.3566</v>
      </c>
      <c r="AL3383" s="5">
        <f t="shared" si="411"/>
        <v>0.49849305555555556</v>
      </c>
    </row>
    <row r="3384" spans="1:38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2687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0"/>
        <v>0.49849305555555556</v>
      </c>
      <c r="Z3384" s="2" t="s">
        <v>3237</v>
      </c>
      <c r="AA3384" s="2" t="s">
        <v>46</v>
      </c>
      <c r="AB3384" s="2" t="s">
        <v>57</v>
      </c>
      <c r="AC3384" s="2" t="s">
        <v>58</v>
      </c>
      <c r="AF3384" s="2">
        <f t="shared" si="402"/>
        <v>0</v>
      </c>
      <c r="AG3384" s="2">
        <v>7.2217000000000002</v>
      </c>
      <c r="AH3384" s="2">
        <v>14.4</v>
      </c>
      <c r="AJ3384" s="2">
        <f t="shared" si="403"/>
        <v>0</v>
      </c>
      <c r="AK3384" s="2">
        <f t="shared" si="412"/>
        <v>7.1783000000000001</v>
      </c>
      <c r="AL3384" s="5">
        <f t="shared" si="411"/>
        <v>0.49849305555555556</v>
      </c>
    </row>
    <row r="3385" spans="1:38" x14ac:dyDescent="0.2">
      <c r="A3385" s="2">
        <v>2026</v>
      </c>
      <c r="B3385" s="2">
        <v>3</v>
      </c>
      <c r="D3385" s="2" t="s">
        <v>2524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2525</v>
      </c>
      <c r="J3385" s="2" t="s">
        <v>2526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3">9.075*S3385</f>
        <v>9.0749999999999993</v>
      </c>
      <c r="X3385" s="5">
        <f t="shared" si="410"/>
        <v>0.47844827586206895</v>
      </c>
      <c r="Z3385" s="2" t="s">
        <v>3237</v>
      </c>
      <c r="AA3385" s="2" t="s">
        <v>46</v>
      </c>
      <c r="AB3385" s="2" t="s">
        <v>57</v>
      </c>
      <c r="AC3385" s="2" t="s">
        <v>58</v>
      </c>
      <c r="AF3385" s="2">
        <f t="shared" si="402"/>
        <v>0</v>
      </c>
      <c r="AJ3385" s="2">
        <f t="shared" si="403"/>
        <v>0</v>
      </c>
      <c r="AK3385" s="2">
        <f t="shared" si="412"/>
        <v>8.3249999999999993</v>
      </c>
      <c r="AL3385" s="5">
        <f t="shared" si="411"/>
        <v>0.47844827586206895</v>
      </c>
    </row>
    <row r="3386" spans="1:38" x14ac:dyDescent="0.2">
      <c r="A3386" s="2">
        <v>2026</v>
      </c>
      <c r="B3386" s="2">
        <v>3</v>
      </c>
      <c r="D3386" s="2" t="s">
        <v>1423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1276</v>
      </c>
      <c r="J3386" s="2" t="s">
        <v>2402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3"/>
        <v>18.149999999999999</v>
      </c>
      <c r="X3386" s="5">
        <f t="shared" si="410"/>
        <v>0.47844827586206895</v>
      </c>
      <c r="Z3386" s="2" t="s">
        <v>3237</v>
      </c>
      <c r="AA3386" s="2" t="s">
        <v>46</v>
      </c>
      <c r="AB3386" s="2" t="s">
        <v>57</v>
      </c>
      <c r="AC3386" s="2" t="s">
        <v>58</v>
      </c>
      <c r="AF3386" s="2">
        <f t="shared" si="402"/>
        <v>0</v>
      </c>
      <c r="AJ3386" s="2">
        <f t="shared" si="403"/>
        <v>0</v>
      </c>
      <c r="AK3386" s="2">
        <f t="shared" si="412"/>
        <v>16.649999999999999</v>
      </c>
      <c r="AL3386" s="5">
        <f t="shared" si="411"/>
        <v>0.47844827586206895</v>
      </c>
    </row>
    <row r="3387" spans="1:38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2688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3"/>
        <v>9.0749999999999993</v>
      </c>
      <c r="X3387" s="5">
        <f t="shared" si="410"/>
        <v>0.47844827586206895</v>
      </c>
      <c r="Z3387" s="2" t="s">
        <v>3237</v>
      </c>
      <c r="AA3387" s="2" t="s">
        <v>46</v>
      </c>
      <c r="AB3387" s="2" t="s">
        <v>57</v>
      </c>
      <c r="AC3387" s="2" t="s">
        <v>58</v>
      </c>
      <c r="AF3387" s="2">
        <f t="shared" si="402"/>
        <v>0</v>
      </c>
      <c r="AJ3387" s="2">
        <f t="shared" si="403"/>
        <v>0</v>
      </c>
      <c r="AK3387" s="2">
        <f t="shared" si="412"/>
        <v>8.3249999999999993</v>
      </c>
      <c r="AL3387" s="5">
        <f t="shared" si="411"/>
        <v>0.47844827586206895</v>
      </c>
    </row>
    <row r="3388" spans="1:38" x14ac:dyDescent="0.2">
      <c r="A3388" s="2">
        <v>2026</v>
      </c>
      <c r="B3388" s="2">
        <v>3</v>
      </c>
      <c r="D3388" s="2" t="s">
        <v>2524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2525</v>
      </c>
      <c r="J3388" s="2" t="s">
        <v>2526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0"/>
        <v>1</v>
      </c>
      <c r="Z3388" s="2" t="s">
        <v>3237</v>
      </c>
      <c r="AA3388" s="2" t="s">
        <v>46</v>
      </c>
      <c r="AB3388" s="2" t="s">
        <v>57</v>
      </c>
      <c r="AC3388" s="2" t="s">
        <v>58</v>
      </c>
      <c r="AF3388" s="2">
        <f t="shared" si="402"/>
        <v>0</v>
      </c>
      <c r="AJ3388" s="2">
        <f t="shared" si="403"/>
        <v>0</v>
      </c>
      <c r="AK3388" s="2">
        <f t="shared" si="412"/>
        <v>21</v>
      </c>
      <c r="AL3388" s="5">
        <f t="shared" si="411"/>
        <v>1</v>
      </c>
    </row>
    <row r="3389" spans="1:38" x14ac:dyDescent="0.2">
      <c r="A3389" s="2">
        <v>2026</v>
      </c>
      <c r="B3389" s="2">
        <v>3</v>
      </c>
      <c r="D3389" s="2" t="s">
        <v>1423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1276</v>
      </c>
      <c r="J3389" s="2" t="s">
        <v>2402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0"/>
        <v>1</v>
      </c>
      <c r="Z3389" s="2" t="s">
        <v>3237</v>
      </c>
      <c r="AA3389" s="2" t="s">
        <v>46</v>
      </c>
      <c r="AB3389" s="2" t="s">
        <v>57</v>
      </c>
      <c r="AC3389" s="2" t="s">
        <v>58</v>
      </c>
      <c r="AF3389" s="2">
        <f t="shared" si="402"/>
        <v>0</v>
      </c>
      <c r="AJ3389" s="2">
        <f t="shared" si="403"/>
        <v>0</v>
      </c>
      <c r="AK3389" s="2">
        <f t="shared" si="412"/>
        <v>42</v>
      </c>
      <c r="AL3389" s="5">
        <f t="shared" si="411"/>
        <v>1</v>
      </c>
    </row>
    <row r="3390" spans="1:38" x14ac:dyDescent="0.2">
      <c r="A3390" s="2">
        <v>2026</v>
      </c>
      <c r="B3390" s="2">
        <v>3</v>
      </c>
      <c r="D3390" s="2" t="s">
        <v>1423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1276</v>
      </c>
      <c r="J3390" s="2" t="s">
        <v>2402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0"/>
        <v>1</v>
      </c>
      <c r="Z3390" s="2" t="s">
        <v>3237</v>
      </c>
      <c r="AA3390" s="2" t="s">
        <v>46</v>
      </c>
      <c r="AB3390" s="2" t="s">
        <v>57</v>
      </c>
      <c r="AC3390" s="2" t="s">
        <v>58</v>
      </c>
      <c r="AF3390" s="2">
        <f t="shared" si="402"/>
        <v>0</v>
      </c>
      <c r="AJ3390" s="2">
        <f t="shared" si="403"/>
        <v>0</v>
      </c>
      <c r="AK3390" s="2">
        <f t="shared" si="412"/>
        <v>50.4</v>
      </c>
      <c r="AL3390" s="5">
        <f t="shared" si="411"/>
        <v>1</v>
      </c>
    </row>
    <row r="3391" spans="1:38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2688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0"/>
        <v>1</v>
      </c>
      <c r="Z3391" s="2" t="s">
        <v>3237</v>
      </c>
      <c r="AA3391" s="2" t="s">
        <v>46</v>
      </c>
      <c r="AB3391" s="2" t="s">
        <v>57</v>
      </c>
      <c r="AC3391" s="2" t="s">
        <v>58</v>
      </c>
      <c r="AF3391" s="2">
        <f t="shared" si="402"/>
        <v>0</v>
      </c>
      <c r="AJ3391" s="2">
        <f t="shared" si="403"/>
        <v>0</v>
      </c>
      <c r="AK3391" s="2">
        <f t="shared" si="412"/>
        <v>25.2</v>
      </c>
      <c r="AL3391" s="5">
        <f t="shared" si="411"/>
        <v>1</v>
      </c>
    </row>
    <row r="3392" spans="1:38" x14ac:dyDescent="0.2">
      <c r="A3392" s="2">
        <v>2026</v>
      </c>
      <c r="B3392" s="2">
        <v>3</v>
      </c>
      <c r="D3392" s="2" t="s">
        <v>1423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1276</v>
      </c>
      <c r="J3392" s="2" t="s">
        <v>2402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0"/>
        <v>1</v>
      </c>
      <c r="Z3392" s="2" t="s">
        <v>3237</v>
      </c>
      <c r="AA3392" s="2" t="s">
        <v>46</v>
      </c>
      <c r="AB3392" s="2" t="s">
        <v>57</v>
      </c>
      <c r="AC3392" s="2" t="s">
        <v>58</v>
      </c>
      <c r="AF3392" s="2">
        <f t="shared" si="402"/>
        <v>0</v>
      </c>
      <c r="AJ3392" s="2">
        <f t="shared" si="403"/>
        <v>0</v>
      </c>
      <c r="AK3392" s="2">
        <f t="shared" si="412"/>
        <v>60</v>
      </c>
      <c r="AL3392" s="5">
        <f t="shared" si="411"/>
        <v>1</v>
      </c>
    </row>
    <row r="3393" spans="1:38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2687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0"/>
        <v>1</v>
      </c>
      <c r="Z3393" s="2" t="s">
        <v>3237</v>
      </c>
      <c r="AA3393" s="2" t="s">
        <v>46</v>
      </c>
      <c r="AB3393" s="2" t="s">
        <v>57</v>
      </c>
      <c r="AC3393" s="2" t="s">
        <v>58</v>
      </c>
      <c r="AF3393" s="2">
        <f t="shared" si="402"/>
        <v>0</v>
      </c>
      <c r="AJ3393" s="2">
        <f t="shared" si="403"/>
        <v>0</v>
      </c>
      <c r="AK3393" s="2">
        <f t="shared" si="412"/>
        <v>30</v>
      </c>
      <c r="AL3393" s="5">
        <f t="shared" si="411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0"/>
        <v>1</v>
      </c>
      <c r="Z3394" s="2" t="s">
        <v>3237</v>
      </c>
      <c r="AA3394" s="2" t="s">
        <v>46</v>
      </c>
      <c r="AB3394" s="2" t="s">
        <v>57</v>
      </c>
      <c r="AC3394" s="2" t="s">
        <v>58</v>
      </c>
      <c r="AF3394" s="2">
        <f t="shared" si="402"/>
        <v>0</v>
      </c>
      <c r="AJ3394" s="2">
        <f t="shared" si="403"/>
        <v>0</v>
      </c>
      <c r="AK3394" s="2">
        <f t="shared" si="412"/>
        <v>18</v>
      </c>
      <c r="AL3394" s="5">
        <f t="shared" si="411"/>
        <v>1</v>
      </c>
    </row>
    <row r="3395" spans="1:38" x14ac:dyDescent="0.2">
      <c r="A3395" s="2">
        <v>2026</v>
      </c>
      <c r="B3395" s="2">
        <v>3</v>
      </c>
      <c r="D3395" s="2" t="s">
        <v>1423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1276</v>
      </c>
      <c r="J3395" s="2" t="s">
        <v>2402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0"/>
        <v>1</v>
      </c>
      <c r="Z3395" s="2" t="s">
        <v>3237</v>
      </c>
      <c r="AA3395" s="2" t="s">
        <v>46</v>
      </c>
      <c r="AB3395" s="2" t="s">
        <v>57</v>
      </c>
      <c r="AC3395" s="2" t="s">
        <v>58</v>
      </c>
      <c r="AF3395" s="2">
        <f t="shared" ref="AF3395:AF3458" si="414">AJ3395</f>
        <v>0</v>
      </c>
      <c r="AJ3395" s="2">
        <f t="shared" ref="AJ3395:AJ3458" si="415">AI3395*T3395</f>
        <v>0</v>
      </c>
      <c r="AK3395" s="2">
        <f t="shared" si="412"/>
        <v>36</v>
      </c>
      <c r="AL3395" s="5">
        <f t="shared" si="411"/>
        <v>1</v>
      </c>
    </row>
    <row r="3396" spans="1:38" x14ac:dyDescent="0.2">
      <c r="A3396" s="2">
        <v>2026</v>
      </c>
      <c r="B3396" s="2">
        <v>3</v>
      </c>
      <c r="D3396" s="2" t="s">
        <v>1423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1276</v>
      </c>
      <c r="J3396" s="2" t="s">
        <v>2402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0"/>
        <v>1</v>
      </c>
      <c r="Z3396" s="2" t="s">
        <v>3237</v>
      </c>
      <c r="AA3396" s="2" t="s">
        <v>46</v>
      </c>
      <c r="AB3396" s="2" t="s">
        <v>57</v>
      </c>
      <c r="AC3396" s="2" t="s">
        <v>58</v>
      </c>
      <c r="AF3396" s="2">
        <f t="shared" si="414"/>
        <v>0</v>
      </c>
      <c r="AJ3396" s="2">
        <f t="shared" si="415"/>
        <v>0</v>
      </c>
      <c r="AK3396" s="2">
        <f t="shared" si="412"/>
        <v>39.6</v>
      </c>
      <c r="AL3396" s="5">
        <f t="shared" si="411"/>
        <v>1</v>
      </c>
    </row>
    <row r="3397" spans="1:38" x14ac:dyDescent="0.2">
      <c r="A3397" s="2">
        <v>2026</v>
      </c>
      <c r="B3397" s="2">
        <v>3</v>
      </c>
      <c r="D3397" s="2" t="s">
        <v>1423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1276</v>
      </c>
      <c r="J3397" s="2" t="s">
        <v>2402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0"/>
        <v>1</v>
      </c>
      <c r="Z3397" s="2" t="s">
        <v>3237</v>
      </c>
      <c r="AA3397" s="2" t="s">
        <v>46</v>
      </c>
      <c r="AB3397" s="2" t="s">
        <v>57</v>
      </c>
      <c r="AC3397" s="2" t="s">
        <v>58</v>
      </c>
      <c r="AF3397" s="2">
        <f t="shared" si="414"/>
        <v>0</v>
      </c>
      <c r="AJ3397" s="2">
        <f t="shared" si="415"/>
        <v>0</v>
      </c>
      <c r="AK3397" s="2">
        <f t="shared" si="412"/>
        <v>45.6</v>
      </c>
      <c r="AL3397" s="5">
        <f t="shared" si="411"/>
        <v>1</v>
      </c>
    </row>
    <row r="3398" spans="1:38" x14ac:dyDescent="0.2">
      <c r="A3398" s="2">
        <v>2026</v>
      </c>
      <c r="B3398" s="2">
        <v>3</v>
      </c>
      <c r="D3398" s="2" t="s">
        <v>1423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1276</v>
      </c>
      <c r="J3398" s="2" t="s">
        <v>2402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0"/>
        <v>0.47041666666666665</v>
      </c>
      <c r="Z3398" s="2" t="s">
        <v>3237</v>
      </c>
      <c r="AA3398" s="2" t="s">
        <v>46</v>
      </c>
      <c r="AB3398" s="2" t="s">
        <v>57</v>
      </c>
      <c r="AC3398" s="2" t="s">
        <v>58</v>
      </c>
      <c r="AF3398" s="2">
        <f t="shared" si="414"/>
        <v>0</v>
      </c>
      <c r="AJ3398" s="2">
        <f t="shared" si="415"/>
        <v>0</v>
      </c>
      <c r="AK3398" s="2">
        <f t="shared" si="412"/>
        <v>22.58</v>
      </c>
      <c r="AL3398" s="5">
        <f t="shared" si="411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6">10.6*S3399</f>
        <v>106</v>
      </c>
      <c r="X3399" s="5">
        <f t="shared" si="410"/>
        <v>0.26896551724137929</v>
      </c>
      <c r="Z3399" s="2" t="s">
        <v>3237</v>
      </c>
      <c r="AA3399" s="2" t="s">
        <v>46</v>
      </c>
      <c r="AB3399" s="2" t="s">
        <v>57</v>
      </c>
      <c r="AC3399" s="2" t="s">
        <v>58</v>
      </c>
      <c r="AF3399" s="2">
        <f t="shared" si="414"/>
        <v>0</v>
      </c>
      <c r="AG3399" s="2">
        <v>10.6</v>
      </c>
      <c r="AH3399" s="2">
        <v>18</v>
      </c>
      <c r="AJ3399" s="2">
        <f t="shared" si="415"/>
        <v>0</v>
      </c>
      <c r="AK3399" s="2">
        <f t="shared" si="412"/>
        <v>39</v>
      </c>
      <c r="AL3399" s="5">
        <f t="shared" si="411"/>
        <v>0.26896551724137929</v>
      </c>
    </row>
    <row r="3400" spans="1:38" x14ac:dyDescent="0.2">
      <c r="A3400" s="2">
        <v>2026</v>
      </c>
      <c r="B3400" s="2">
        <v>3</v>
      </c>
      <c r="D3400" s="2" t="s">
        <v>1148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1149</v>
      </c>
      <c r="J3400" s="2" t="s">
        <v>1150</v>
      </c>
      <c r="L3400" s="2" t="s">
        <v>134</v>
      </c>
      <c r="M3400" s="2" t="s">
        <v>41</v>
      </c>
      <c r="O3400" s="2" t="s">
        <v>2689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6"/>
        <v>127.19999999999999</v>
      </c>
      <c r="X3400" s="5">
        <f t="shared" si="410"/>
        <v>0.29333333333333339</v>
      </c>
      <c r="Z3400" s="2" t="s">
        <v>3237</v>
      </c>
      <c r="AA3400" s="2" t="s">
        <v>46</v>
      </c>
      <c r="AB3400" s="2" t="s">
        <v>57</v>
      </c>
      <c r="AC3400" s="2" t="s">
        <v>58</v>
      </c>
      <c r="AF3400" s="2">
        <f t="shared" si="414"/>
        <v>0</v>
      </c>
      <c r="AG3400" s="2">
        <v>10.6</v>
      </c>
      <c r="AH3400" s="2">
        <v>18</v>
      </c>
      <c r="AJ3400" s="2">
        <f t="shared" si="415"/>
        <v>0</v>
      </c>
      <c r="AK3400" s="2">
        <f t="shared" si="412"/>
        <v>52.800000000000011</v>
      </c>
      <c r="AL3400" s="5">
        <f t="shared" si="411"/>
        <v>0.29333333333333339</v>
      </c>
    </row>
    <row r="3401" spans="1:38" x14ac:dyDescent="0.2">
      <c r="A3401" s="2">
        <v>2026</v>
      </c>
      <c r="B3401" s="2">
        <v>3</v>
      </c>
      <c r="D3401" s="2" t="s">
        <v>2690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6"/>
        <v>21.2</v>
      </c>
      <c r="X3401" s="5">
        <f t="shared" si="410"/>
        <v>0.41111111111111115</v>
      </c>
      <c r="Z3401" s="2" t="s">
        <v>3237</v>
      </c>
      <c r="AA3401" s="2" t="s">
        <v>46</v>
      </c>
      <c r="AB3401" s="2" t="s">
        <v>57</v>
      </c>
      <c r="AC3401" s="2" t="s">
        <v>58</v>
      </c>
      <c r="AF3401" s="2">
        <f t="shared" si="414"/>
        <v>0</v>
      </c>
      <c r="AG3401" s="2">
        <v>10.6</v>
      </c>
      <c r="AH3401" s="2">
        <v>18</v>
      </c>
      <c r="AJ3401" s="2">
        <f t="shared" si="415"/>
        <v>0</v>
      </c>
      <c r="AK3401" s="2">
        <f t="shared" si="412"/>
        <v>14.8</v>
      </c>
      <c r="AL3401" s="5">
        <f t="shared" si="411"/>
        <v>0.41111111111111115</v>
      </c>
    </row>
    <row r="3402" spans="1:38" x14ac:dyDescent="0.2">
      <c r="A3402" s="2">
        <v>2026</v>
      </c>
      <c r="B3402" s="2">
        <v>3</v>
      </c>
      <c r="D3402" s="2" t="s">
        <v>1011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6"/>
        <v>21.2</v>
      </c>
      <c r="X3402" s="5">
        <f t="shared" si="410"/>
        <v>0.41111111111111115</v>
      </c>
      <c r="Z3402" s="2" t="s">
        <v>3237</v>
      </c>
      <c r="AA3402" s="2" t="s">
        <v>46</v>
      </c>
      <c r="AB3402" s="2" t="s">
        <v>57</v>
      </c>
      <c r="AC3402" s="2" t="s">
        <v>58</v>
      </c>
      <c r="AF3402" s="2">
        <f t="shared" si="414"/>
        <v>0</v>
      </c>
      <c r="AG3402" s="2">
        <v>10.6</v>
      </c>
      <c r="AH3402" s="2">
        <v>18</v>
      </c>
      <c r="AJ3402" s="2">
        <f t="shared" si="415"/>
        <v>0</v>
      </c>
      <c r="AK3402" s="2">
        <f t="shared" si="412"/>
        <v>14.8</v>
      </c>
      <c r="AL3402" s="5">
        <f t="shared" si="411"/>
        <v>0.41111111111111115</v>
      </c>
    </row>
    <row r="3403" spans="1:38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6"/>
        <v>10.6</v>
      </c>
      <c r="X3403" s="5">
        <f t="shared" si="410"/>
        <v>0.41111111111111115</v>
      </c>
      <c r="Z3403" s="2" t="s">
        <v>3237</v>
      </c>
      <c r="AA3403" s="2" t="s">
        <v>46</v>
      </c>
      <c r="AB3403" s="2" t="s">
        <v>57</v>
      </c>
      <c r="AC3403" s="2" t="s">
        <v>58</v>
      </c>
      <c r="AF3403" s="2">
        <f t="shared" si="414"/>
        <v>0</v>
      </c>
      <c r="AG3403" s="2">
        <v>10.6</v>
      </c>
      <c r="AH3403" s="2">
        <v>18</v>
      </c>
      <c r="AJ3403" s="2">
        <f t="shared" si="415"/>
        <v>0</v>
      </c>
      <c r="AK3403" s="2">
        <f t="shared" si="412"/>
        <v>7.4</v>
      </c>
      <c r="AL3403" s="5">
        <f t="shared" si="411"/>
        <v>0.41111111111111115</v>
      </c>
    </row>
    <row r="3404" spans="1:38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2678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6"/>
        <v>21.2</v>
      </c>
      <c r="X3404" s="5">
        <f t="shared" si="410"/>
        <v>0.41111111111111115</v>
      </c>
      <c r="Z3404" s="2" t="s">
        <v>3237</v>
      </c>
      <c r="AA3404" s="2" t="s">
        <v>46</v>
      </c>
      <c r="AB3404" s="2" t="s">
        <v>57</v>
      </c>
      <c r="AC3404" s="2" t="s">
        <v>58</v>
      </c>
      <c r="AF3404" s="2">
        <f t="shared" si="414"/>
        <v>0</v>
      </c>
      <c r="AG3404" s="2">
        <v>10.6</v>
      </c>
      <c r="AH3404" s="2">
        <v>18</v>
      </c>
      <c r="AJ3404" s="2">
        <f t="shared" si="415"/>
        <v>0</v>
      </c>
      <c r="AK3404" s="2">
        <f t="shared" si="412"/>
        <v>14.8</v>
      </c>
      <c r="AL3404" s="5">
        <f t="shared" si="411"/>
        <v>0.41111111111111115</v>
      </c>
    </row>
    <row r="3405" spans="1:38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2621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0"/>
        <v>0.46666666666666662</v>
      </c>
      <c r="Z3405" s="2" t="s">
        <v>3237</v>
      </c>
      <c r="AA3405" s="2" t="s">
        <v>46</v>
      </c>
      <c r="AB3405" s="2" t="s">
        <v>47</v>
      </c>
      <c r="AC3405" s="2" t="s">
        <v>48</v>
      </c>
      <c r="AF3405" s="2">
        <f t="shared" si="414"/>
        <v>0</v>
      </c>
      <c r="AJ3405" s="2">
        <f t="shared" si="415"/>
        <v>0</v>
      </c>
      <c r="AK3405" s="2">
        <f t="shared" si="412"/>
        <v>22.4</v>
      </c>
      <c r="AL3405" s="5">
        <f t="shared" si="411"/>
        <v>0.46666666666666662</v>
      </c>
    </row>
    <row r="3406" spans="1:38" x14ac:dyDescent="0.2">
      <c r="A3406" s="2">
        <v>2026</v>
      </c>
      <c r="B3406" s="2">
        <v>3</v>
      </c>
      <c r="D3406" s="2" t="s">
        <v>1401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3227</v>
      </c>
      <c r="J3406" s="2" t="s">
        <v>3226</v>
      </c>
      <c r="K3406" s="2">
        <v>913814877</v>
      </c>
      <c r="L3406" s="2" t="s">
        <v>202</v>
      </c>
      <c r="M3406" s="2" t="s">
        <v>81</v>
      </c>
      <c r="O3406" s="2" t="s">
        <v>3224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7">10.6*S3406</f>
        <v>31.799999999999997</v>
      </c>
      <c r="X3406" s="5">
        <f t="shared" si="410"/>
        <v>0.41111111111111115</v>
      </c>
      <c r="Z3406" s="2" t="s">
        <v>3237</v>
      </c>
      <c r="AA3406" s="2" t="s">
        <v>46</v>
      </c>
      <c r="AB3406" s="2" t="s">
        <v>57</v>
      </c>
      <c r="AC3406" s="2" t="s">
        <v>58</v>
      </c>
      <c r="AF3406" s="2">
        <f t="shared" si="414"/>
        <v>0</v>
      </c>
      <c r="AG3406" s="2">
        <v>10.6</v>
      </c>
      <c r="AH3406" s="2">
        <v>18</v>
      </c>
      <c r="AJ3406" s="2">
        <f t="shared" si="415"/>
        <v>0</v>
      </c>
      <c r="AK3406" s="2">
        <f t="shared" si="412"/>
        <v>22.200000000000003</v>
      </c>
      <c r="AL3406" s="5">
        <f t="shared" si="411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7"/>
        <v>42.4</v>
      </c>
      <c r="X3407" s="5">
        <f t="shared" ref="X3407:X3425" si="418">(T3407-W3407)/T3407</f>
        <v>0.33750000000000002</v>
      </c>
      <c r="Z3407" s="2" t="s">
        <v>3237</v>
      </c>
      <c r="AA3407" s="2" t="s">
        <v>46</v>
      </c>
      <c r="AB3407" s="2" t="s">
        <v>57</v>
      </c>
      <c r="AC3407" s="2" t="s">
        <v>58</v>
      </c>
      <c r="AF3407" s="2">
        <f t="shared" si="414"/>
        <v>0</v>
      </c>
      <c r="AG3407" s="2">
        <v>10.6</v>
      </c>
      <c r="AH3407" s="2">
        <v>18</v>
      </c>
      <c r="AJ3407" s="2">
        <f t="shared" si="415"/>
        <v>0</v>
      </c>
      <c r="AK3407" s="2">
        <f t="shared" si="412"/>
        <v>21.6</v>
      </c>
      <c r="AL3407" s="5">
        <f t="shared" ref="AL3407:AL3425" si="419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2679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7"/>
        <v>10.6</v>
      </c>
      <c r="X3408" s="5">
        <f t="shared" si="418"/>
        <v>0.41111111111111115</v>
      </c>
      <c r="Z3408" s="2" t="s">
        <v>3237</v>
      </c>
      <c r="AA3408" s="2" t="s">
        <v>46</v>
      </c>
      <c r="AB3408" s="2" t="s">
        <v>57</v>
      </c>
      <c r="AC3408" s="2" t="s">
        <v>58</v>
      </c>
      <c r="AF3408" s="2">
        <f t="shared" si="414"/>
        <v>0</v>
      </c>
      <c r="AG3408" s="2">
        <v>10.6</v>
      </c>
      <c r="AH3408" s="2">
        <v>18</v>
      </c>
      <c r="AJ3408" s="2">
        <f t="shared" si="415"/>
        <v>0</v>
      </c>
      <c r="AK3408" s="2">
        <f t="shared" si="412"/>
        <v>7.4</v>
      </c>
      <c r="AL3408" s="5">
        <f t="shared" si="419"/>
        <v>0.41111111111111115</v>
      </c>
    </row>
    <row r="3409" spans="1:38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2691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7"/>
        <v>106</v>
      </c>
      <c r="X3409" s="5">
        <f t="shared" si="418"/>
        <v>0.29333333333333333</v>
      </c>
      <c r="Z3409" s="2" t="s">
        <v>3237</v>
      </c>
      <c r="AA3409" s="2" t="s">
        <v>46</v>
      </c>
      <c r="AB3409" s="2" t="s">
        <v>57</v>
      </c>
      <c r="AC3409" s="2" t="s">
        <v>58</v>
      </c>
      <c r="AF3409" s="2">
        <f t="shared" si="414"/>
        <v>0</v>
      </c>
      <c r="AG3409" s="2">
        <v>10.6</v>
      </c>
      <c r="AH3409" s="2">
        <v>18</v>
      </c>
      <c r="AJ3409" s="2">
        <f t="shared" si="415"/>
        <v>0</v>
      </c>
      <c r="AK3409" s="2">
        <f t="shared" si="412"/>
        <v>44</v>
      </c>
      <c r="AL3409" s="5">
        <f t="shared" si="419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7"/>
        <v>106</v>
      </c>
      <c r="X3410" s="5">
        <f t="shared" si="418"/>
        <v>0.26896551724137929</v>
      </c>
      <c r="Z3410" s="2" t="s">
        <v>3237</v>
      </c>
      <c r="AA3410" s="2" t="s">
        <v>46</v>
      </c>
      <c r="AB3410" s="2" t="s">
        <v>57</v>
      </c>
      <c r="AC3410" s="2" t="s">
        <v>58</v>
      </c>
      <c r="AF3410" s="2">
        <f t="shared" si="414"/>
        <v>0</v>
      </c>
      <c r="AG3410" s="2">
        <v>10.6</v>
      </c>
      <c r="AH3410" s="2">
        <v>18</v>
      </c>
      <c r="AJ3410" s="2">
        <f t="shared" si="415"/>
        <v>0</v>
      </c>
      <c r="AK3410" s="2">
        <f t="shared" si="412"/>
        <v>39</v>
      </c>
      <c r="AL3410" s="5">
        <f t="shared" si="419"/>
        <v>0.26896551724137929</v>
      </c>
    </row>
    <row r="3411" spans="1:38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2692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7"/>
        <v>10.6</v>
      </c>
      <c r="X3411" s="5">
        <f t="shared" si="418"/>
        <v>0.41111111111111115</v>
      </c>
      <c r="Z3411" s="2" t="s">
        <v>3237</v>
      </c>
      <c r="AA3411" s="2" t="s">
        <v>46</v>
      </c>
      <c r="AB3411" s="2" t="s">
        <v>57</v>
      </c>
      <c r="AC3411" s="2" t="s">
        <v>58</v>
      </c>
      <c r="AF3411" s="2">
        <f t="shared" si="414"/>
        <v>0</v>
      </c>
      <c r="AG3411" s="2">
        <v>10.6</v>
      </c>
      <c r="AH3411" s="2">
        <v>18</v>
      </c>
      <c r="AJ3411" s="2">
        <f t="shared" si="415"/>
        <v>0</v>
      </c>
      <c r="AK3411" s="2">
        <f t="shared" si="412"/>
        <v>7.4</v>
      </c>
      <c r="AL3411" s="5">
        <f t="shared" si="419"/>
        <v>0.41111111111111115</v>
      </c>
    </row>
    <row r="3412" spans="1:38" x14ac:dyDescent="0.2">
      <c r="A3412" s="2">
        <v>2026</v>
      </c>
      <c r="B3412" s="2">
        <v>3</v>
      </c>
      <c r="D3412" s="2" t="s">
        <v>1316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1317</v>
      </c>
      <c r="L3412" s="2" t="s">
        <v>178</v>
      </c>
      <c r="M3412" s="2" t="s">
        <v>41</v>
      </c>
      <c r="O3412" s="2" t="s">
        <v>2684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7"/>
        <v>21.2</v>
      </c>
      <c r="X3412" s="5">
        <f t="shared" si="418"/>
        <v>0.41111111111111115</v>
      </c>
      <c r="Z3412" s="2" t="s">
        <v>3237</v>
      </c>
      <c r="AA3412" s="2" t="s">
        <v>46</v>
      </c>
      <c r="AB3412" s="2" t="s">
        <v>57</v>
      </c>
      <c r="AC3412" s="2" t="s">
        <v>58</v>
      </c>
      <c r="AF3412" s="2">
        <f t="shared" si="414"/>
        <v>0</v>
      </c>
      <c r="AG3412" s="2">
        <v>10.6</v>
      </c>
      <c r="AH3412" s="2">
        <v>18</v>
      </c>
      <c r="AJ3412" s="2">
        <f t="shared" si="415"/>
        <v>0</v>
      </c>
      <c r="AK3412" s="2">
        <f t="shared" si="412"/>
        <v>14.8</v>
      </c>
      <c r="AL3412" s="5">
        <f t="shared" si="419"/>
        <v>0.41111111111111115</v>
      </c>
    </row>
    <row r="3413" spans="1:38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2693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8"/>
        <v>0.51216666666666666</v>
      </c>
      <c r="Z3413" s="2" t="s">
        <v>3237</v>
      </c>
      <c r="AA3413" s="2" t="s">
        <v>46</v>
      </c>
      <c r="AB3413" s="2" t="s">
        <v>57</v>
      </c>
      <c r="AC3413" s="2" t="s">
        <v>58</v>
      </c>
      <c r="AF3413" s="2">
        <f t="shared" si="414"/>
        <v>0</v>
      </c>
      <c r="AG3413" s="2">
        <v>29.27</v>
      </c>
      <c r="AH3413" s="2">
        <v>60</v>
      </c>
      <c r="AJ3413" s="2">
        <f t="shared" si="415"/>
        <v>0</v>
      </c>
      <c r="AK3413" s="2">
        <f t="shared" si="412"/>
        <v>30.73</v>
      </c>
      <c r="AL3413" s="5">
        <f t="shared" si="419"/>
        <v>0.51216666666666666</v>
      </c>
    </row>
    <row r="3414" spans="1:38" x14ac:dyDescent="0.2">
      <c r="A3414" s="2">
        <v>2026</v>
      </c>
      <c r="B3414" s="2">
        <v>3</v>
      </c>
      <c r="D3414" s="2" t="s">
        <v>1316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1317</v>
      </c>
      <c r="L3414" s="2" t="s">
        <v>178</v>
      </c>
      <c r="M3414" s="2" t="s">
        <v>41</v>
      </c>
      <c r="O3414" s="2" t="s">
        <v>2694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8"/>
        <v>0.51216666666666666</v>
      </c>
      <c r="Z3414" s="2" t="s">
        <v>3237</v>
      </c>
      <c r="AA3414" s="2" t="s">
        <v>46</v>
      </c>
      <c r="AB3414" s="2" t="s">
        <v>57</v>
      </c>
      <c r="AC3414" s="2" t="s">
        <v>58</v>
      </c>
      <c r="AF3414" s="2">
        <f t="shared" si="414"/>
        <v>0</v>
      </c>
      <c r="AG3414" s="2">
        <v>29.27</v>
      </c>
      <c r="AH3414" s="2">
        <v>60</v>
      </c>
      <c r="AJ3414" s="2">
        <f t="shared" si="415"/>
        <v>0</v>
      </c>
      <c r="AK3414" s="2">
        <f t="shared" si="412"/>
        <v>30.73</v>
      </c>
      <c r="AL3414" s="5">
        <f t="shared" si="419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2695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8"/>
        <v>0.29692307692307701</v>
      </c>
      <c r="Z3415" s="2" t="s">
        <v>3237</v>
      </c>
      <c r="AA3415" s="2" t="s">
        <v>46</v>
      </c>
      <c r="AB3415" s="2" t="s">
        <v>61</v>
      </c>
      <c r="AC3415" s="2" t="s">
        <v>58</v>
      </c>
      <c r="AF3415" s="2">
        <f t="shared" si="414"/>
        <v>0</v>
      </c>
      <c r="AG3415" s="2">
        <v>9.14</v>
      </c>
      <c r="AH3415" s="2">
        <v>16</v>
      </c>
      <c r="AJ3415" s="2">
        <f t="shared" si="415"/>
        <v>0</v>
      </c>
      <c r="AK3415" s="2">
        <f t="shared" si="412"/>
        <v>19.300000000000004</v>
      </c>
      <c r="AL3415" s="5">
        <f t="shared" si="419"/>
        <v>0.29692307692307701</v>
      </c>
    </row>
    <row r="3416" spans="1:38" x14ac:dyDescent="0.2">
      <c r="A3416" s="2">
        <v>2026</v>
      </c>
      <c r="B3416" s="2">
        <v>3</v>
      </c>
      <c r="D3416" s="2" t="s">
        <v>2524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2525</v>
      </c>
      <c r="J3416" s="2" t="s">
        <v>2526</v>
      </c>
      <c r="K3416" s="2">
        <v>967032538</v>
      </c>
      <c r="L3416" s="2" t="s">
        <v>399</v>
      </c>
      <c r="M3416" s="2" t="s">
        <v>110</v>
      </c>
      <c r="O3416" s="2" t="s">
        <v>2647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8"/>
        <v>0.39066666666666677</v>
      </c>
      <c r="Z3416" s="2" t="s">
        <v>3237</v>
      </c>
      <c r="AA3416" s="2" t="s">
        <v>46</v>
      </c>
      <c r="AB3416" s="2" t="s">
        <v>61</v>
      </c>
      <c r="AC3416" s="2" t="s">
        <v>58</v>
      </c>
      <c r="AF3416" s="2">
        <f t="shared" si="414"/>
        <v>0</v>
      </c>
      <c r="AG3416" s="2">
        <v>9.14</v>
      </c>
      <c r="AH3416" s="2">
        <v>16</v>
      </c>
      <c r="AJ3416" s="2">
        <f t="shared" si="415"/>
        <v>0</v>
      </c>
      <c r="AK3416" s="2">
        <f t="shared" si="412"/>
        <v>5.8600000000000012</v>
      </c>
      <c r="AL3416" s="5">
        <f t="shared" si="419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8"/>
        <v>0.26666666666666666</v>
      </c>
      <c r="Z3417" s="2" t="s">
        <v>3237</v>
      </c>
      <c r="AA3417" s="2" t="s">
        <v>46</v>
      </c>
      <c r="AB3417" s="2" t="s">
        <v>61</v>
      </c>
      <c r="AC3417" s="2" t="s">
        <v>58</v>
      </c>
      <c r="AF3417" s="2">
        <f t="shared" si="414"/>
        <v>0</v>
      </c>
      <c r="AG3417" s="2">
        <v>8.1999999999999993</v>
      </c>
      <c r="AH3417" s="2">
        <v>13</v>
      </c>
      <c r="AJ3417" s="2">
        <f t="shared" si="415"/>
        <v>0</v>
      </c>
      <c r="AK3417" s="2">
        <f t="shared" si="412"/>
        <v>65.599999999999994</v>
      </c>
      <c r="AL3417" s="5">
        <f t="shared" si="419"/>
        <v>0.26666666666666666</v>
      </c>
    </row>
    <row r="3418" spans="1:38" x14ac:dyDescent="0.2">
      <c r="A3418" s="2">
        <v>2026</v>
      </c>
      <c r="B3418" s="2">
        <v>3</v>
      </c>
      <c r="D3418" s="2" t="s">
        <v>2690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8"/>
        <v>0.36923076923076914</v>
      </c>
      <c r="Z3418" s="2" t="s">
        <v>3237</v>
      </c>
      <c r="AA3418" s="2" t="s">
        <v>46</v>
      </c>
      <c r="AB3418" s="2" t="s">
        <v>61</v>
      </c>
      <c r="AC3418" s="2" t="s">
        <v>58</v>
      </c>
      <c r="AF3418" s="2">
        <f t="shared" si="414"/>
        <v>0</v>
      </c>
      <c r="AG3418" s="2">
        <v>8.1999999999999993</v>
      </c>
      <c r="AH3418" s="2">
        <v>13</v>
      </c>
      <c r="AJ3418" s="2">
        <f t="shared" si="415"/>
        <v>0</v>
      </c>
      <c r="AK3418" s="2">
        <f t="shared" si="412"/>
        <v>4.7999999999999989</v>
      </c>
      <c r="AL3418" s="5">
        <f t="shared" si="419"/>
        <v>0.36923076923076914</v>
      </c>
    </row>
    <row r="3419" spans="1:38" x14ac:dyDescent="0.2">
      <c r="A3419" s="2">
        <v>2026</v>
      </c>
      <c r="B3419" s="2">
        <v>3</v>
      </c>
      <c r="D3419" s="2" t="s">
        <v>2524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2525</v>
      </c>
      <c r="J3419" s="2" t="s">
        <v>2526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8"/>
        <v>0.36923076923076914</v>
      </c>
      <c r="Z3419" s="2" t="s">
        <v>3237</v>
      </c>
      <c r="AA3419" s="2" t="s">
        <v>46</v>
      </c>
      <c r="AB3419" s="2" t="s">
        <v>61</v>
      </c>
      <c r="AC3419" s="2" t="s">
        <v>58</v>
      </c>
      <c r="AF3419" s="2">
        <f t="shared" si="414"/>
        <v>0</v>
      </c>
      <c r="AG3419" s="2">
        <v>8.1999999999999993</v>
      </c>
      <c r="AH3419" s="2">
        <v>13</v>
      </c>
      <c r="AJ3419" s="2">
        <f t="shared" si="415"/>
        <v>0</v>
      </c>
      <c r="AK3419" s="2">
        <f t="shared" si="412"/>
        <v>4.7999999999999989</v>
      </c>
      <c r="AL3419" s="5">
        <f t="shared" si="419"/>
        <v>0.36923076923076914</v>
      </c>
    </row>
    <row r="3420" spans="1:38" x14ac:dyDescent="0.2">
      <c r="A3420" s="2">
        <v>2026</v>
      </c>
      <c r="B3420" s="2">
        <v>3</v>
      </c>
      <c r="D3420" s="2" t="s">
        <v>1011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8"/>
        <v>0.36923076923076914</v>
      </c>
      <c r="Z3420" s="2" t="s">
        <v>3237</v>
      </c>
      <c r="AA3420" s="2" t="s">
        <v>46</v>
      </c>
      <c r="AB3420" s="2" t="s">
        <v>61</v>
      </c>
      <c r="AC3420" s="2" t="s">
        <v>58</v>
      </c>
      <c r="AF3420" s="2">
        <f t="shared" si="414"/>
        <v>0</v>
      </c>
      <c r="AG3420" s="2">
        <v>8.1999999999999993</v>
      </c>
      <c r="AH3420" s="2">
        <v>13</v>
      </c>
      <c r="AJ3420" s="2">
        <f t="shared" si="415"/>
        <v>0</v>
      </c>
      <c r="AK3420" s="2">
        <f t="shared" si="412"/>
        <v>4.7999999999999989</v>
      </c>
      <c r="AL3420" s="5">
        <f t="shared" si="419"/>
        <v>0.36923076923076914</v>
      </c>
    </row>
    <row r="3421" spans="1:38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8"/>
        <v>0.36923076923076914</v>
      </c>
      <c r="Z3421" s="2" t="s">
        <v>3237</v>
      </c>
      <c r="AA3421" s="2" t="s">
        <v>46</v>
      </c>
      <c r="AB3421" s="2" t="s">
        <v>61</v>
      </c>
      <c r="AC3421" s="2" t="s">
        <v>58</v>
      </c>
      <c r="AF3421" s="2">
        <f t="shared" si="414"/>
        <v>0</v>
      </c>
      <c r="AG3421" s="2">
        <v>8.1999999999999993</v>
      </c>
      <c r="AH3421" s="2">
        <v>13</v>
      </c>
      <c r="AJ3421" s="2">
        <f t="shared" si="415"/>
        <v>0</v>
      </c>
      <c r="AK3421" s="2">
        <f t="shared" si="412"/>
        <v>4.7999999999999989</v>
      </c>
      <c r="AL3421" s="5">
        <f t="shared" si="419"/>
        <v>0.36923076923076914</v>
      </c>
    </row>
    <row r="3422" spans="1:38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2621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8"/>
        <v>0.53121428571428575</v>
      </c>
      <c r="Z3422" s="2" t="s">
        <v>3237</v>
      </c>
      <c r="AA3422" s="2" t="s">
        <v>46</v>
      </c>
      <c r="AB3422" s="2" t="s">
        <v>57</v>
      </c>
      <c r="AC3422" s="2" t="s">
        <v>58</v>
      </c>
      <c r="AF3422" s="2">
        <f t="shared" si="414"/>
        <v>0</v>
      </c>
      <c r="AG3422" s="2">
        <v>5.9066999999999998</v>
      </c>
      <c r="AH3422" s="2">
        <v>12.6</v>
      </c>
      <c r="AJ3422" s="2">
        <f t="shared" si="415"/>
        <v>0</v>
      </c>
      <c r="AK3422" s="2">
        <f t="shared" si="412"/>
        <v>13.3866</v>
      </c>
      <c r="AL3422" s="5">
        <f t="shared" si="419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8"/>
        <v>0.3166666666666666</v>
      </c>
      <c r="Z3423" s="2" t="s">
        <v>3237</v>
      </c>
      <c r="AA3423" s="2" t="s">
        <v>46</v>
      </c>
      <c r="AB3423" s="2" t="s">
        <v>61</v>
      </c>
      <c r="AC3423" s="2" t="s">
        <v>58</v>
      </c>
      <c r="AF3423" s="2">
        <f t="shared" si="414"/>
        <v>0</v>
      </c>
      <c r="AG3423" s="2">
        <v>8.1999999999999993</v>
      </c>
      <c r="AH3423" s="2">
        <v>13</v>
      </c>
      <c r="AJ3423" s="2">
        <f t="shared" si="415"/>
        <v>0</v>
      </c>
      <c r="AK3423" s="2">
        <f t="shared" si="412"/>
        <v>7.5999999999999979</v>
      </c>
      <c r="AL3423" s="5">
        <f t="shared" si="419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8"/>
        <v>0.36923076923076914</v>
      </c>
      <c r="Z3424" s="2" t="s">
        <v>3237</v>
      </c>
      <c r="AA3424" s="2" t="s">
        <v>46</v>
      </c>
      <c r="AB3424" s="2" t="s">
        <v>61</v>
      </c>
      <c r="AC3424" s="2" t="s">
        <v>58</v>
      </c>
      <c r="AF3424" s="2">
        <f t="shared" si="414"/>
        <v>0</v>
      </c>
      <c r="AG3424" s="2">
        <v>8.1999999999999993</v>
      </c>
      <c r="AH3424" s="2">
        <v>13</v>
      </c>
      <c r="AJ3424" s="2">
        <f t="shared" si="415"/>
        <v>0</v>
      </c>
      <c r="AK3424" s="2">
        <f t="shared" si="412"/>
        <v>9.5999999999999979</v>
      </c>
      <c r="AL3424" s="5">
        <f t="shared" si="419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8"/>
        <v>0.25454545454545452</v>
      </c>
      <c r="Z3425" s="2" t="s">
        <v>3237</v>
      </c>
      <c r="AA3425" s="2" t="s">
        <v>46</v>
      </c>
      <c r="AB3425" s="2" t="s">
        <v>61</v>
      </c>
      <c r="AC3425" s="2" t="s">
        <v>58</v>
      </c>
      <c r="AF3425" s="2">
        <f t="shared" si="414"/>
        <v>0</v>
      </c>
      <c r="AG3425" s="2">
        <v>8.1999999999999993</v>
      </c>
      <c r="AH3425" s="2">
        <v>13</v>
      </c>
      <c r="AJ3425" s="2">
        <f t="shared" si="415"/>
        <v>0</v>
      </c>
      <c r="AK3425" s="2">
        <f t="shared" si="412"/>
        <v>28</v>
      </c>
      <c r="AL3425" s="5">
        <f t="shared" si="419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2683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3237</v>
      </c>
      <c r="AA3426" s="2" t="s">
        <v>46</v>
      </c>
      <c r="AB3426" s="2" t="s">
        <v>61</v>
      </c>
      <c r="AC3426" s="2" t="s">
        <v>58</v>
      </c>
      <c r="AF3426" s="2">
        <f t="shared" si="414"/>
        <v>0</v>
      </c>
      <c r="AG3426" s="2">
        <v>8.1999999999999993</v>
      </c>
      <c r="AH3426" s="2">
        <v>13</v>
      </c>
      <c r="AJ3426" s="2">
        <f t="shared" si="415"/>
        <v>0</v>
      </c>
      <c r="AK3426" s="2">
        <f t="shared" si="412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0">(T3427-W3427)/T3427</f>
        <v>0.21904761904761905</v>
      </c>
      <c r="Z3427" s="2" t="s">
        <v>3237</v>
      </c>
      <c r="AA3427" s="2" t="s">
        <v>46</v>
      </c>
      <c r="AB3427" s="2" t="s">
        <v>61</v>
      </c>
      <c r="AC3427" s="2" t="s">
        <v>58</v>
      </c>
      <c r="AF3427" s="2">
        <f t="shared" si="414"/>
        <v>0</v>
      </c>
      <c r="AG3427" s="2">
        <v>8.1999999999999993</v>
      </c>
      <c r="AH3427" s="2">
        <v>13</v>
      </c>
      <c r="AJ3427" s="2">
        <f t="shared" si="415"/>
        <v>0</v>
      </c>
      <c r="AK3427" s="2">
        <f t="shared" si="412"/>
        <v>23</v>
      </c>
      <c r="AL3427" s="5">
        <f t="shared" ref="AL3427:AL3437" si="421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2690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2">0.0914*S3428</f>
        <v>9.1399999999999988</v>
      </c>
      <c r="X3428" s="5">
        <f t="shared" si="420"/>
        <v>0.39066666666666677</v>
      </c>
      <c r="Z3428" s="2" t="s">
        <v>3237</v>
      </c>
      <c r="AA3428" s="2" t="s">
        <v>46</v>
      </c>
      <c r="AB3428" s="2" t="s">
        <v>61</v>
      </c>
      <c r="AC3428" s="2" t="s">
        <v>58</v>
      </c>
      <c r="AF3428" s="2">
        <f t="shared" si="414"/>
        <v>0</v>
      </c>
      <c r="AJ3428" s="2">
        <f t="shared" si="415"/>
        <v>0</v>
      </c>
      <c r="AK3428" s="2">
        <f t="shared" si="412"/>
        <v>5.8600000000000012</v>
      </c>
      <c r="AL3428" s="5">
        <f t="shared" si="421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2"/>
        <v>45.699999999999996</v>
      </c>
      <c r="X3429" s="5">
        <f t="shared" si="420"/>
        <v>0.29692307692307701</v>
      </c>
      <c r="Z3429" s="2" t="s">
        <v>3237</v>
      </c>
      <c r="AA3429" s="2" t="s">
        <v>46</v>
      </c>
      <c r="AB3429" s="2" t="s">
        <v>61</v>
      </c>
      <c r="AC3429" s="2" t="s">
        <v>58</v>
      </c>
      <c r="AF3429" s="2">
        <f t="shared" si="414"/>
        <v>0</v>
      </c>
      <c r="AJ3429" s="2">
        <f t="shared" si="415"/>
        <v>0</v>
      </c>
      <c r="AK3429" s="2">
        <f t="shared" si="412"/>
        <v>19.300000000000004</v>
      </c>
      <c r="AL3429" s="5">
        <f t="shared" si="421"/>
        <v>0.29692307692307701</v>
      </c>
    </row>
    <row r="3430" spans="1:38" x14ac:dyDescent="0.2">
      <c r="A3430" s="2">
        <v>2026</v>
      </c>
      <c r="B3430" s="2">
        <v>3</v>
      </c>
      <c r="D3430" s="2" t="s">
        <v>983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2"/>
        <v>9.1399999999999988</v>
      </c>
      <c r="X3430" s="5">
        <f t="shared" si="420"/>
        <v>0.34714285714285725</v>
      </c>
      <c r="Z3430" s="2" t="s">
        <v>3237</v>
      </c>
      <c r="AA3430" s="2" t="s">
        <v>46</v>
      </c>
      <c r="AB3430" s="2" t="s">
        <v>61</v>
      </c>
      <c r="AC3430" s="2" t="s">
        <v>58</v>
      </c>
      <c r="AF3430" s="2">
        <f t="shared" si="414"/>
        <v>0</v>
      </c>
      <c r="AJ3430" s="2">
        <f t="shared" si="415"/>
        <v>0</v>
      </c>
      <c r="AK3430" s="2">
        <f t="shared" si="412"/>
        <v>4.8600000000000012</v>
      </c>
      <c r="AL3430" s="5">
        <f t="shared" si="421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0"/>
        <v>1</v>
      </c>
      <c r="Z3431" s="2" t="s">
        <v>3237</v>
      </c>
      <c r="AA3431" s="2" t="s">
        <v>46</v>
      </c>
      <c r="AB3431" s="2" t="s">
        <v>91</v>
      </c>
      <c r="AC3431" s="2" t="s">
        <v>58</v>
      </c>
      <c r="AF3431" s="2">
        <f t="shared" si="414"/>
        <v>0</v>
      </c>
      <c r="AJ3431" s="2">
        <f t="shared" si="415"/>
        <v>0</v>
      </c>
      <c r="AK3431" s="2">
        <f t="shared" si="412"/>
        <v>6</v>
      </c>
      <c r="AL3431" s="5">
        <f t="shared" si="421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3143</v>
      </c>
      <c r="L3432" s="2" t="s">
        <v>178</v>
      </c>
      <c r="M3432" s="2" t="s">
        <v>41</v>
      </c>
      <c r="O3432" s="2" t="s">
        <v>3151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0"/>
        <v>1</v>
      </c>
      <c r="Z3432" s="2" t="s">
        <v>3237</v>
      </c>
      <c r="AA3432" s="2" t="s">
        <v>46</v>
      </c>
      <c r="AB3432" s="2" t="s">
        <v>47</v>
      </c>
      <c r="AC3432" s="2" t="s">
        <v>48</v>
      </c>
      <c r="AF3432" s="2">
        <f t="shared" si="414"/>
        <v>0</v>
      </c>
      <c r="AJ3432" s="2">
        <f t="shared" si="415"/>
        <v>0</v>
      </c>
      <c r="AK3432" s="2">
        <f t="shared" si="412"/>
        <v>21</v>
      </c>
      <c r="AL3432" s="5">
        <f t="shared" si="421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0"/>
        <v>0.23666666666666661</v>
      </c>
      <c r="Z3433" s="2" t="s">
        <v>3237</v>
      </c>
      <c r="AA3433" s="2" t="s">
        <v>46</v>
      </c>
      <c r="AB3433" s="2" t="s">
        <v>61</v>
      </c>
      <c r="AC3433" s="2" t="s">
        <v>58</v>
      </c>
      <c r="AF3433" s="2">
        <f t="shared" si="414"/>
        <v>0</v>
      </c>
      <c r="AG3433" s="2">
        <v>1.8320000000000001</v>
      </c>
      <c r="AH3433" s="2">
        <v>2.4</v>
      </c>
      <c r="AJ3433" s="2">
        <f t="shared" si="415"/>
        <v>0</v>
      </c>
      <c r="AK3433" s="2">
        <f t="shared" si="412"/>
        <v>1.1359999999999997</v>
      </c>
      <c r="AL3433" s="5">
        <f t="shared" si="421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2696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0"/>
        <v>0.47838888888888892</v>
      </c>
      <c r="Z3434" s="2" t="s">
        <v>3237</v>
      </c>
      <c r="AA3434" s="2" t="s">
        <v>46</v>
      </c>
      <c r="AB3434" s="2" t="s">
        <v>61</v>
      </c>
      <c r="AC3434" s="2" t="s">
        <v>58</v>
      </c>
      <c r="AF3434" s="2">
        <f t="shared" si="414"/>
        <v>0</v>
      </c>
      <c r="AG3434" s="2">
        <v>3.7555999999999998</v>
      </c>
      <c r="AH3434" s="2">
        <v>7.2</v>
      </c>
      <c r="AJ3434" s="2">
        <f t="shared" si="415"/>
        <v>0</v>
      </c>
      <c r="AK3434" s="2">
        <f t="shared" si="412"/>
        <v>68.888000000000005</v>
      </c>
      <c r="AL3434" s="5">
        <f t="shared" si="421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0"/>
        <v>0.5243888888888889</v>
      </c>
      <c r="Z3435" s="2" t="s">
        <v>3237</v>
      </c>
      <c r="AA3435" s="2" t="s">
        <v>46</v>
      </c>
      <c r="AB3435" s="2" t="s">
        <v>61</v>
      </c>
      <c r="AC3435" s="2" t="s">
        <v>58</v>
      </c>
      <c r="AF3435" s="2">
        <f t="shared" si="414"/>
        <v>0</v>
      </c>
      <c r="AG3435" s="2">
        <v>0.85609999999999997</v>
      </c>
      <c r="AH3435" s="2">
        <v>1.8</v>
      </c>
      <c r="AJ3435" s="2">
        <f t="shared" si="415"/>
        <v>0</v>
      </c>
      <c r="AK3435" s="2">
        <f t="shared" si="412"/>
        <v>18.878</v>
      </c>
      <c r="AL3435" s="5">
        <f t="shared" si="421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0"/>
        <v>0.62926666666666664</v>
      </c>
      <c r="Z3436" s="2" t="s">
        <v>3237</v>
      </c>
      <c r="AA3436" s="2" t="s">
        <v>46</v>
      </c>
      <c r="AB3436" s="2" t="s">
        <v>61</v>
      </c>
      <c r="AC3436" s="2" t="s">
        <v>58</v>
      </c>
      <c r="AF3436" s="2">
        <f t="shared" si="414"/>
        <v>0</v>
      </c>
      <c r="AG3436" s="2">
        <v>1.1122000000000001</v>
      </c>
      <c r="AH3436" s="2">
        <v>3</v>
      </c>
      <c r="AJ3436" s="2">
        <f t="shared" si="415"/>
        <v>0</v>
      </c>
      <c r="AK3436" s="2">
        <f t="shared" si="412"/>
        <v>75.512</v>
      </c>
      <c r="AL3436" s="5">
        <f t="shared" si="421"/>
        <v>0.62926666666666664</v>
      </c>
    </row>
    <row r="3437" spans="1:38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0"/>
        <v>0.5295333333333333</v>
      </c>
      <c r="Z3437" s="2" t="s">
        <v>3237</v>
      </c>
      <c r="AA3437" s="2" t="s">
        <v>46</v>
      </c>
      <c r="AB3437" s="2" t="s">
        <v>61</v>
      </c>
      <c r="AC3437" s="2" t="s">
        <v>58</v>
      </c>
      <c r="AF3437" s="2">
        <f t="shared" si="414"/>
        <v>0</v>
      </c>
      <c r="AG3437" s="2">
        <v>1.4114</v>
      </c>
      <c r="AH3437" s="2">
        <v>3</v>
      </c>
      <c r="AJ3437" s="2">
        <f t="shared" si="415"/>
        <v>0</v>
      </c>
      <c r="AK3437" s="2">
        <f t="shared" si="412"/>
        <v>31.771999999999998</v>
      </c>
      <c r="AL3437" s="5">
        <f t="shared" si="421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2683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3237</v>
      </c>
      <c r="AA3438" s="2" t="s">
        <v>46</v>
      </c>
      <c r="AB3438" s="2" t="s">
        <v>61</v>
      </c>
      <c r="AC3438" s="2" t="s">
        <v>58</v>
      </c>
      <c r="AF3438" s="2">
        <f t="shared" si="414"/>
        <v>0</v>
      </c>
      <c r="AJ3438" s="2">
        <f t="shared" si="415"/>
        <v>0</v>
      </c>
      <c r="AK3438" s="2">
        <f t="shared" si="412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2697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3">(T3439-W3439)/T3439</f>
        <v>0.45283848797250864</v>
      </c>
      <c r="Z3439" s="2" t="s">
        <v>3237</v>
      </c>
      <c r="AA3439" s="2" t="s">
        <v>46</v>
      </c>
      <c r="AB3439" s="2" t="s">
        <v>68</v>
      </c>
      <c r="AC3439" s="2" t="s">
        <v>58</v>
      </c>
      <c r="AF3439" s="2">
        <f t="shared" si="414"/>
        <v>0</v>
      </c>
      <c r="AG3439" s="2">
        <v>7.9611999999999998</v>
      </c>
      <c r="AH3439" s="2">
        <v>14.4</v>
      </c>
      <c r="AJ3439" s="2">
        <f t="shared" si="415"/>
        <v>0</v>
      </c>
      <c r="AK3439" s="2">
        <f t="shared" si="412"/>
        <v>52.710400000000007</v>
      </c>
      <c r="AL3439" s="5">
        <f t="shared" ref="AL3439:AL3502" si="424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2524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2525</v>
      </c>
      <c r="J3440" s="2" t="s">
        <v>2526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3"/>
        <v>0.45578623188405798</v>
      </c>
      <c r="Z3440" s="2" t="s">
        <v>3237</v>
      </c>
      <c r="AA3440" s="2" t="s">
        <v>46</v>
      </c>
      <c r="AB3440" s="2" t="s">
        <v>68</v>
      </c>
      <c r="AC3440" s="2" t="s">
        <v>58</v>
      </c>
      <c r="AF3440" s="2">
        <f t="shared" si="414"/>
        <v>0</v>
      </c>
      <c r="AG3440" s="2">
        <v>15.020300000000001</v>
      </c>
      <c r="AH3440" s="2">
        <v>27.6</v>
      </c>
      <c r="AJ3440" s="2">
        <f t="shared" si="415"/>
        <v>0</v>
      </c>
      <c r="AK3440" s="2">
        <f t="shared" si="412"/>
        <v>12.579700000000001</v>
      </c>
      <c r="AL3440" s="5">
        <f t="shared" si="424"/>
        <v>0.45578623188405798</v>
      </c>
    </row>
    <row r="3441" spans="1:38" x14ac:dyDescent="0.2">
      <c r="A3441" s="2">
        <v>2026</v>
      </c>
      <c r="B3441" s="2">
        <v>3</v>
      </c>
      <c r="D3441" s="2" t="s">
        <v>1011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3"/>
        <v>0.3608382978723404</v>
      </c>
      <c r="Z3441" s="2" t="s">
        <v>3237</v>
      </c>
      <c r="AA3441" s="2" t="s">
        <v>46</v>
      </c>
      <c r="AB3441" s="2" t="s">
        <v>68</v>
      </c>
      <c r="AC3441" s="2" t="s">
        <v>58</v>
      </c>
      <c r="AF3441" s="2">
        <f t="shared" si="414"/>
        <v>0</v>
      </c>
      <c r="AG3441" s="2">
        <v>15.020300000000001</v>
      </c>
      <c r="AH3441" s="2">
        <v>27.6</v>
      </c>
      <c r="AJ3441" s="2">
        <f t="shared" si="415"/>
        <v>0</v>
      </c>
      <c r="AK3441" s="2">
        <f t="shared" si="412"/>
        <v>8.4796999999999993</v>
      </c>
      <c r="AL3441" s="5">
        <f t="shared" si="424"/>
        <v>0.3608382978723404</v>
      </c>
    </row>
    <row r="3442" spans="1:38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2685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3"/>
        <v>0.3608382978723404</v>
      </c>
      <c r="Z3442" s="2" t="s">
        <v>3237</v>
      </c>
      <c r="AA3442" s="2" t="s">
        <v>46</v>
      </c>
      <c r="AB3442" s="2" t="s">
        <v>68</v>
      </c>
      <c r="AC3442" s="2" t="s">
        <v>58</v>
      </c>
      <c r="AF3442" s="2">
        <f t="shared" si="414"/>
        <v>0</v>
      </c>
      <c r="AG3442" s="2">
        <v>15.020300000000001</v>
      </c>
      <c r="AH3442" s="2">
        <v>27.6</v>
      </c>
      <c r="AJ3442" s="2">
        <f t="shared" si="415"/>
        <v>0</v>
      </c>
      <c r="AK3442" s="2">
        <f t="shared" si="412"/>
        <v>8.4796999999999993</v>
      </c>
      <c r="AL3442" s="5">
        <f t="shared" si="424"/>
        <v>0.3608382978723404</v>
      </c>
    </row>
    <row r="3443" spans="1:38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3"/>
        <v>0.31725909090909088</v>
      </c>
      <c r="Z3443" s="2" t="s">
        <v>3237</v>
      </c>
      <c r="AA3443" s="2" t="s">
        <v>46</v>
      </c>
      <c r="AB3443" s="2" t="s">
        <v>68</v>
      </c>
      <c r="AC3443" s="2" t="s">
        <v>58</v>
      </c>
      <c r="AF3443" s="2">
        <f t="shared" si="414"/>
        <v>0</v>
      </c>
      <c r="AG3443" s="2">
        <v>15.020300000000001</v>
      </c>
      <c r="AH3443" s="2">
        <v>27.6</v>
      </c>
      <c r="AJ3443" s="2">
        <f t="shared" si="415"/>
        <v>0</v>
      </c>
      <c r="AK3443" s="2">
        <f t="shared" si="412"/>
        <v>27.918799999999997</v>
      </c>
      <c r="AL3443" s="5">
        <f t="shared" si="424"/>
        <v>0.31725909090909088</v>
      </c>
    </row>
    <row r="3444" spans="1:38" x14ac:dyDescent="0.2">
      <c r="A3444" s="2">
        <v>2026</v>
      </c>
      <c r="B3444" s="2">
        <v>3</v>
      </c>
      <c r="D3444" s="2" t="s">
        <v>2698</v>
      </c>
      <c r="M3444" s="2" t="s">
        <v>40</v>
      </c>
      <c r="P3444" s="2" t="s">
        <v>2699</v>
      </c>
      <c r="Q3444" s="2" t="s">
        <v>2700</v>
      </c>
      <c r="R3444" s="2" t="s">
        <v>2701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3"/>
        <v>1</v>
      </c>
      <c r="Z3444" s="2" t="s">
        <v>3237</v>
      </c>
      <c r="AF3444" s="2">
        <f t="shared" si="414"/>
        <v>0</v>
      </c>
      <c r="AJ3444" s="2">
        <f t="shared" si="415"/>
        <v>0</v>
      </c>
      <c r="AK3444" s="2">
        <f t="shared" si="412"/>
        <v>4620</v>
      </c>
      <c r="AL3444" s="5">
        <f t="shared" si="424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2702</v>
      </c>
      <c r="P3445" s="2" t="s">
        <v>3241</v>
      </c>
      <c r="Q3445" s="2" t="s">
        <v>2703</v>
      </c>
      <c r="R3445" s="2" t="s">
        <v>2704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3"/>
        <v>0.4891828571428572</v>
      </c>
      <c r="Z3445" s="2" t="s">
        <v>105</v>
      </c>
      <c r="AA3445" s="2" t="s">
        <v>2705</v>
      </c>
      <c r="AB3445" s="2" t="s">
        <v>2706</v>
      </c>
      <c r="AC3445" s="2" t="s">
        <v>3241</v>
      </c>
      <c r="AF3445" s="2">
        <f t="shared" si="414"/>
        <v>0</v>
      </c>
      <c r="AG3445" s="2">
        <v>893.93</v>
      </c>
      <c r="AJ3445" s="2">
        <f t="shared" si="415"/>
        <v>0</v>
      </c>
      <c r="AK3445" s="2">
        <f t="shared" si="412"/>
        <v>856.07</v>
      </c>
      <c r="AL3445" s="5">
        <f t="shared" si="424"/>
        <v>0.4891828571428572</v>
      </c>
    </row>
    <row r="3446" spans="1:38" x14ac:dyDescent="0.2">
      <c r="A3446" s="2">
        <v>2026</v>
      </c>
      <c r="B3446" s="2">
        <v>3</v>
      </c>
      <c r="D3446" s="2" t="s">
        <v>1892</v>
      </c>
      <c r="P3446" s="2" t="s">
        <v>3241</v>
      </c>
      <c r="Q3446" s="2" t="s">
        <v>1794</v>
      </c>
      <c r="R3446" s="2" t="s">
        <v>1795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3241</v>
      </c>
      <c r="AF3446" s="2">
        <f t="shared" si="414"/>
        <v>0</v>
      </c>
      <c r="AJ3446" s="2">
        <f t="shared" si="415"/>
        <v>0</v>
      </c>
      <c r="AK3446" s="2">
        <f t="shared" ref="AK3446:AK3509" si="425">T3446-W3446</f>
        <v>1023.04</v>
      </c>
      <c r="AL3446" s="5">
        <f t="shared" si="424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2707</v>
      </c>
      <c r="P3447" s="2" t="s">
        <v>3241</v>
      </c>
      <c r="Q3447" s="2" t="s">
        <v>2708</v>
      </c>
      <c r="R3447" s="2" t="s">
        <v>2709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3"/>
        <v>0.49175806451612902</v>
      </c>
      <c r="Z3447" s="2" t="s">
        <v>105</v>
      </c>
      <c r="AA3447" s="2" t="s">
        <v>265</v>
      </c>
      <c r="AB3447" s="2" t="s">
        <v>1098</v>
      </c>
      <c r="AC3447" s="2" t="s">
        <v>3241</v>
      </c>
      <c r="AF3447" s="2">
        <f t="shared" si="414"/>
        <v>0</v>
      </c>
      <c r="AJ3447" s="2">
        <f t="shared" si="415"/>
        <v>0</v>
      </c>
      <c r="AK3447" s="2">
        <f t="shared" si="425"/>
        <v>1524.45</v>
      </c>
      <c r="AL3447" s="5">
        <f t="shared" si="424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2707</v>
      </c>
      <c r="P3448" s="2" t="s">
        <v>3241</v>
      </c>
      <c r="Q3448" s="2" t="s">
        <v>1953</v>
      </c>
      <c r="R3448" s="2" t="s">
        <v>1954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3241</v>
      </c>
      <c r="AF3448" s="2">
        <f t="shared" si="414"/>
        <v>0</v>
      </c>
      <c r="AJ3448" s="2">
        <f t="shared" si="415"/>
        <v>0</v>
      </c>
      <c r="AK3448" s="2">
        <f t="shared" si="425"/>
        <v>5837.69</v>
      </c>
      <c r="AL3448" s="5">
        <f t="shared" si="424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2710</v>
      </c>
      <c r="R3449" s="2" t="s">
        <v>2711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3"/>
        <v>1</v>
      </c>
      <c r="Z3449" s="2" t="s">
        <v>3237</v>
      </c>
      <c r="AC3449" s="2" t="s">
        <v>3242</v>
      </c>
      <c r="AF3449" s="2">
        <f t="shared" si="414"/>
        <v>0</v>
      </c>
      <c r="AJ3449" s="2">
        <f t="shared" si="415"/>
        <v>0</v>
      </c>
      <c r="AK3449" s="2">
        <f t="shared" si="425"/>
        <v>60</v>
      </c>
      <c r="AL3449" s="5">
        <f t="shared" si="424"/>
        <v>1</v>
      </c>
    </row>
    <row r="3450" spans="1:38" x14ac:dyDescent="0.2">
      <c r="A3450" s="2">
        <v>2026</v>
      </c>
      <c r="B3450" s="2">
        <v>3</v>
      </c>
      <c r="D3450" s="2" t="s">
        <v>1963</v>
      </c>
      <c r="M3450" s="2" t="s">
        <v>40</v>
      </c>
      <c r="P3450" s="2" t="s">
        <v>69</v>
      </c>
      <c r="Q3450" s="2" t="s">
        <v>2712</v>
      </c>
      <c r="R3450" s="2" t="s">
        <v>2713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3"/>
        <v>1</v>
      </c>
      <c r="Z3450" s="2" t="s">
        <v>3237</v>
      </c>
      <c r="AC3450" s="2" t="s">
        <v>3242</v>
      </c>
      <c r="AF3450" s="2">
        <f t="shared" si="414"/>
        <v>0</v>
      </c>
      <c r="AJ3450" s="2">
        <f t="shared" si="415"/>
        <v>0</v>
      </c>
      <c r="AK3450" s="2">
        <f t="shared" si="425"/>
        <v>98</v>
      </c>
      <c r="AL3450" s="5">
        <f t="shared" si="424"/>
        <v>1</v>
      </c>
    </row>
    <row r="3451" spans="1:38" x14ac:dyDescent="0.2">
      <c r="A3451" s="2">
        <v>2026</v>
      </c>
      <c r="B3451" s="2">
        <v>3</v>
      </c>
      <c r="D3451" s="2" t="s">
        <v>1703</v>
      </c>
      <c r="P3451" s="2" t="s">
        <v>69</v>
      </c>
      <c r="Q3451" s="2" t="s">
        <v>2714</v>
      </c>
      <c r="R3451" s="2" t="s">
        <v>2715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3"/>
        <v>1</v>
      </c>
      <c r="Z3451" s="2" t="s">
        <v>3237</v>
      </c>
      <c r="AC3451" s="2" t="s">
        <v>3242</v>
      </c>
      <c r="AF3451" s="2">
        <f t="shared" si="414"/>
        <v>0</v>
      </c>
      <c r="AJ3451" s="2">
        <f t="shared" si="415"/>
        <v>0</v>
      </c>
      <c r="AK3451" s="2">
        <f t="shared" si="425"/>
        <v>300</v>
      </c>
      <c r="AL3451" s="5">
        <f t="shared" si="424"/>
        <v>1</v>
      </c>
    </row>
    <row r="3452" spans="1:38" x14ac:dyDescent="0.2">
      <c r="A3452" s="2">
        <v>2026</v>
      </c>
      <c r="B3452" s="2">
        <v>3</v>
      </c>
      <c r="D3452" s="2" t="s">
        <v>2640</v>
      </c>
      <c r="E3452" s="2" t="s">
        <v>38</v>
      </c>
      <c r="G3452" s="2">
        <v>508857562</v>
      </c>
      <c r="H3452" s="2" t="s">
        <v>110</v>
      </c>
      <c r="I3452" s="2" t="s">
        <v>2641</v>
      </c>
      <c r="J3452" s="2" t="s">
        <v>2642</v>
      </c>
      <c r="L3452" s="2" t="s">
        <v>462</v>
      </c>
      <c r="P3452" s="2" t="s">
        <v>69</v>
      </c>
      <c r="Q3452" s="2" t="s">
        <v>1163</v>
      </c>
      <c r="R3452" s="2" t="s">
        <v>1164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3"/>
        <v>0.3228571428571429</v>
      </c>
      <c r="Z3452" s="2" t="s">
        <v>3237</v>
      </c>
      <c r="AA3452" s="2" t="s">
        <v>72</v>
      </c>
      <c r="AB3452" s="2" t="s">
        <v>69</v>
      </c>
      <c r="AC3452" s="2" t="s">
        <v>3242</v>
      </c>
      <c r="AF3452" s="2">
        <f t="shared" si="414"/>
        <v>0</v>
      </c>
      <c r="AJ3452" s="2">
        <f t="shared" si="415"/>
        <v>0</v>
      </c>
      <c r="AK3452" s="2">
        <f t="shared" si="425"/>
        <v>22.6</v>
      </c>
      <c r="AL3452" s="5">
        <f t="shared" si="424"/>
        <v>0.3228571428571429</v>
      </c>
    </row>
    <row r="3453" spans="1:38" x14ac:dyDescent="0.2">
      <c r="A3453" s="2">
        <v>2026</v>
      </c>
      <c r="B3453" s="2">
        <v>3</v>
      </c>
      <c r="D3453" s="2" t="s">
        <v>1892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3242</v>
      </c>
      <c r="AF3453" s="2">
        <f t="shared" si="414"/>
        <v>0</v>
      </c>
      <c r="AG3453" s="2">
        <v>1130.74</v>
      </c>
      <c r="AJ3453" s="2">
        <f t="shared" si="415"/>
        <v>0</v>
      </c>
      <c r="AK3453" s="2">
        <f t="shared" si="425"/>
        <v>639.26</v>
      </c>
      <c r="AL3453" s="5">
        <f t="shared" si="424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2716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3"/>
        <v>0.42947272727272723</v>
      </c>
      <c r="Z3454" s="2" t="s">
        <v>3237</v>
      </c>
      <c r="AA3454" s="2" t="s">
        <v>76</v>
      </c>
      <c r="AB3454" s="2" t="s">
        <v>77</v>
      </c>
      <c r="AC3454" s="2" t="s">
        <v>78</v>
      </c>
      <c r="AF3454" s="2">
        <f t="shared" si="414"/>
        <v>0</v>
      </c>
      <c r="AG3454" s="2">
        <v>125.51600000000001</v>
      </c>
      <c r="AH3454" s="2">
        <v>220</v>
      </c>
      <c r="AJ3454" s="2">
        <f t="shared" si="415"/>
        <v>0</v>
      </c>
      <c r="AK3454" s="2">
        <f t="shared" si="425"/>
        <v>94.483999999999995</v>
      </c>
      <c r="AL3454" s="5">
        <f t="shared" si="424"/>
        <v>0.42947272727272723</v>
      </c>
    </row>
    <row r="3455" spans="1:38" x14ac:dyDescent="0.2">
      <c r="A3455" s="2">
        <v>2026</v>
      </c>
      <c r="B3455" s="2">
        <v>3</v>
      </c>
      <c r="D3455" s="2" t="s">
        <v>999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3"/>
        <v>0.4076190476190476</v>
      </c>
      <c r="Z3455" s="2" t="s">
        <v>3237</v>
      </c>
      <c r="AA3455" s="2" t="s">
        <v>76</v>
      </c>
      <c r="AB3455" s="2" t="s">
        <v>77</v>
      </c>
      <c r="AC3455" s="2" t="s">
        <v>78</v>
      </c>
      <c r="AF3455" s="2">
        <f t="shared" si="414"/>
        <v>0</v>
      </c>
      <c r="AG3455" s="2">
        <v>124.4</v>
      </c>
      <c r="AH3455" s="2">
        <v>200</v>
      </c>
      <c r="AJ3455" s="2">
        <f t="shared" si="415"/>
        <v>0</v>
      </c>
      <c r="AK3455" s="2">
        <f t="shared" si="425"/>
        <v>85.6</v>
      </c>
      <c r="AL3455" s="5">
        <f t="shared" si="424"/>
        <v>0.4076190476190476</v>
      </c>
    </row>
    <row r="3456" spans="1:38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2717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3"/>
        <v>0.45165454545454548</v>
      </c>
      <c r="Z3456" s="2" t="s">
        <v>3237</v>
      </c>
      <c r="AA3456" s="2" t="s">
        <v>76</v>
      </c>
      <c r="AB3456" s="2" t="s">
        <v>77</v>
      </c>
      <c r="AC3456" s="2" t="s">
        <v>78</v>
      </c>
      <c r="AF3456" s="2">
        <f t="shared" si="414"/>
        <v>0</v>
      </c>
      <c r="AG3456" s="2">
        <v>120.636</v>
      </c>
      <c r="AH3456" s="2">
        <v>220</v>
      </c>
      <c r="AJ3456" s="2">
        <f t="shared" si="415"/>
        <v>0</v>
      </c>
      <c r="AK3456" s="2">
        <f t="shared" si="425"/>
        <v>99.364000000000004</v>
      </c>
      <c r="AL3456" s="5">
        <f t="shared" si="424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2718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3"/>
        <v>0.3549081129538324</v>
      </c>
      <c r="Z3457" s="2" t="s">
        <v>3237</v>
      </c>
      <c r="AA3457" s="2" t="s">
        <v>76</v>
      </c>
      <c r="AB3457" s="2" t="s">
        <v>77</v>
      </c>
      <c r="AC3457" s="2" t="s">
        <v>78</v>
      </c>
      <c r="AF3457" s="2">
        <f t="shared" si="414"/>
        <v>0</v>
      </c>
      <c r="AG3457" s="2">
        <v>143.91999999999999</v>
      </c>
      <c r="AJ3457" s="2">
        <f t="shared" si="415"/>
        <v>0</v>
      </c>
      <c r="AK3457" s="2">
        <f t="shared" si="425"/>
        <v>79.180000000000007</v>
      </c>
      <c r="AL3457" s="5">
        <f t="shared" si="424"/>
        <v>0.3549081129538324</v>
      </c>
    </row>
    <row r="3458" spans="1:38" x14ac:dyDescent="0.2">
      <c r="A3458" s="2">
        <v>2026</v>
      </c>
      <c r="B3458" s="2">
        <v>3</v>
      </c>
      <c r="D3458" s="2" t="s">
        <v>1259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2719</v>
      </c>
      <c r="J3458" s="2" t="s">
        <v>2720</v>
      </c>
      <c r="K3458" s="2">
        <v>935047029</v>
      </c>
      <c r="L3458" s="2" t="s">
        <v>447</v>
      </c>
      <c r="M3458" s="2" t="s">
        <v>81</v>
      </c>
      <c r="O3458" s="2" t="s">
        <v>2721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3"/>
        <v>0.42432000000000003</v>
      </c>
      <c r="Z3458" s="2" t="s">
        <v>3237</v>
      </c>
      <c r="AA3458" s="2" t="s">
        <v>76</v>
      </c>
      <c r="AB3458" s="2" t="s">
        <v>77</v>
      </c>
      <c r="AC3458" s="2" t="s">
        <v>78</v>
      </c>
      <c r="AF3458" s="2">
        <f t="shared" si="414"/>
        <v>0</v>
      </c>
      <c r="AG3458" s="2">
        <v>143.91999999999999</v>
      </c>
      <c r="AJ3458" s="2">
        <f t="shared" si="415"/>
        <v>0</v>
      </c>
      <c r="AK3458" s="2">
        <f t="shared" si="425"/>
        <v>106.08000000000001</v>
      </c>
      <c r="AL3458" s="5">
        <f t="shared" si="424"/>
        <v>0.42432000000000003</v>
      </c>
    </row>
    <row r="3459" spans="1:38" x14ac:dyDescent="0.2">
      <c r="A3459" s="2">
        <v>2026</v>
      </c>
      <c r="B3459" s="2">
        <v>3</v>
      </c>
      <c r="C3459" s="2" t="s">
        <v>3331</v>
      </c>
      <c r="D3459" s="2" t="s">
        <v>1165</v>
      </c>
      <c r="E3459" s="2" t="s">
        <v>754</v>
      </c>
      <c r="G3459" s="2">
        <v>508199280</v>
      </c>
      <c r="H3459" s="2" t="s">
        <v>40</v>
      </c>
      <c r="I3459" s="2" t="s">
        <v>1166</v>
      </c>
      <c r="L3459" s="2" t="s">
        <v>294</v>
      </c>
      <c r="M3459" s="2" t="s">
        <v>81</v>
      </c>
      <c r="P3459" s="2" t="s">
        <v>73</v>
      </c>
      <c r="Q3459" s="2" t="s">
        <v>1452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3237</v>
      </c>
      <c r="AA3459" s="2" t="s">
        <v>76</v>
      </c>
      <c r="AB3459" s="2" t="s">
        <v>77</v>
      </c>
      <c r="AC3459" s="2" t="s">
        <v>78</v>
      </c>
      <c r="AF3459" s="2">
        <f t="shared" ref="AF3459:AF3522" si="426">AJ3459</f>
        <v>0</v>
      </c>
      <c r="AJ3459" s="2">
        <f t="shared" ref="AJ3459:AJ3522" si="427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8">(T3460-W3460)/T3460</f>
        <v>0.39365217391304347</v>
      </c>
      <c r="Z3460" s="2" t="s">
        <v>3237</v>
      </c>
      <c r="AA3460" s="2" t="s">
        <v>76</v>
      </c>
      <c r="AB3460" s="2" t="s">
        <v>77</v>
      </c>
      <c r="AC3460" s="2" t="s">
        <v>78</v>
      </c>
      <c r="AF3460" s="2">
        <f t="shared" si="426"/>
        <v>0</v>
      </c>
      <c r="AJ3460" s="2">
        <f t="shared" si="427"/>
        <v>0</v>
      </c>
      <c r="AK3460" s="2">
        <f t="shared" si="425"/>
        <v>90.539999999999992</v>
      </c>
      <c r="AL3460" s="5">
        <f t="shared" si="424"/>
        <v>0.39365217391304347</v>
      </c>
    </row>
    <row r="3461" spans="1:38" x14ac:dyDescent="0.2">
      <c r="A3461" s="2">
        <v>2026</v>
      </c>
      <c r="B3461" s="2">
        <v>3</v>
      </c>
      <c r="D3461" s="2" t="s">
        <v>2722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2723</v>
      </c>
      <c r="J3461" s="2" t="s">
        <v>2724</v>
      </c>
      <c r="K3461" s="2">
        <v>962576243</v>
      </c>
      <c r="L3461" s="2" t="s">
        <v>447</v>
      </c>
      <c r="M3461" s="2" t="s">
        <v>81</v>
      </c>
      <c r="O3461" s="2" t="s">
        <v>2725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8"/>
        <v>0.42639130434782607</v>
      </c>
      <c r="Z3461" s="2" t="s">
        <v>3237</v>
      </c>
      <c r="AA3461" s="2" t="s">
        <v>76</v>
      </c>
      <c r="AB3461" s="2" t="s">
        <v>77</v>
      </c>
      <c r="AC3461" s="2" t="s">
        <v>78</v>
      </c>
      <c r="AF3461" s="2">
        <f t="shared" si="426"/>
        <v>0</v>
      </c>
      <c r="AG3461" s="2">
        <v>131.93</v>
      </c>
      <c r="AH3461" s="2">
        <v>220</v>
      </c>
      <c r="AJ3461" s="2">
        <f t="shared" si="427"/>
        <v>0</v>
      </c>
      <c r="AK3461" s="2">
        <f t="shared" si="425"/>
        <v>98.07</v>
      </c>
      <c r="AL3461" s="5">
        <f t="shared" si="424"/>
        <v>0.42639130434782607</v>
      </c>
    </row>
    <row r="3462" spans="1:38" x14ac:dyDescent="0.2">
      <c r="A3462" s="2">
        <v>2026</v>
      </c>
      <c r="B3462" s="2">
        <v>3</v>
      </c>
      <c r="D3462" s="2" t="s">
        <v>1422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2419</v>
      </c>
      <c r="J3462" s="2" t="s">
        <v>2420</v>
      </c>
      <c r="L3462" s="2" t="s">
        <v>202</v>
      </c>
      <c r="M3462" s="2" t="s">
        <v>81</v>
      </c>
      <c r="O3462" s="2" t="s">
        <v>2726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8"/>
        <v>0.39620137299771163</v>
      </c>
      <c r="Z3462" s="2" t="s">
        <v>3237</v>
      </c>
      <c r="AA3462" s="2" t="s">
        <v>76</v>
      </c>
      <c r="AB3462" s="2" t="s">
        <v>77</v>
      </c>
      <c r="AC3462" s="2" t="s">
        <v>78</v>
      </c>
      <c r="AF3462" s="2">
        <f t="shared" si="426"/>
        <v>0</v>
      </c>
      <c r="AG3462" s="2">
        <v>131.93</v>
      </c>
      <c r="AH3462" s="2">
        <v>220</v>
      </c>
      <c r="AJ3462" s="2">
        <f t="shared" si="427"/>
        <v>0</v>
      </c>
      <c r="AK3462" s="2">
        <f t="shared" si="425"/>
        <v>86.57</v>
      </c>
      <c r="AL3462" s="5">
        <f t="shared" si="424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2727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9">115.92+6.06</f>
        <v>121.98</v>
      </c>
      <c r="X3463" s="5">
        <f t="shared" si="428"/>
        <v>0.56908185254530674</v>
      </c>
      <c r="Z3463" s="2" t="s">
        <v>3237</v>
      </c>
      <c r="AA3463" s="2" t="s">
        <v>76</v>
      </c>
      <c r="AB3463" s="2" t="s">
        <v>77</v>
      </c>
      <c r="AC3463" s="2" t="s">
        <v>78</v>
      </c>
      <c r="AF3463" s="2">
        <f t="shared" si="426"/>
        <v>0</v>
      </c>
      <c r="AJ3463" s="2">
        <f t="shared" si="427"/>
        <v>0</v>
      </c>
      <c r="AK3463" s="2">
        <f t="shared" si="425"/>
        <v>161.08999999999997</v>
      </c>
      <c r="AL3463" s="5">
        <f t="shared" si="424"/>
        <v>0.56908185254530674</v>
      </c>
    </row>
    <row r="3464" spans="1:38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9"/>
        <v>121.98</v>
      </c>
      <c r="X3464" s="5">
        <f t="shared" si="428"/>
        <v>0.42353497164461246</v>
      </c>
      <c r="Z3464" s="2" t="s">
        <v>3237</v>
      </c>
      <c r="AA3464" s="2" t="s">
        <v>76</v>
      </c>
      <c r="AB3464" s="2" t="s">
        <v>77</v>
      </c>
      <c r="AC3464" s="2" t="s">
        <v>78</v>
      </c>
      <c r="AF3464" s="2">
        <f t="shared" si="426"/>
        <v>0</v>
      </c>
      <c r="AJ3464" s="2">
        <f t="shared" si="427"/>
        <v>0</v>
      </c>
      <c r="AK3464" s="2">
        <f t="shared" si="425"/>
        <v>89.61999999999999</v>
      </c>
      <c r="AL3464" s="5">
        <f t="shared" si="424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2728</v>
      </c>
      <c r="P3465" s="2" t="s">
        <v>73</v>
      </c>
      <c r="Q3465" s="2" t="s">
        <v>2729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8"/>
        <v>0.46942307692307683</v>
      </c>
      <c r="Z3465" s="2" t="s">
        <v>3237</v>
      </c>
      <c r="AA3465" s="2" t="s">
        <v>76</v>
      </c>
      <c r="AB3465" s="2" t="s">
        <v>77</v>
      </c>
      <c r="AC3465" s="2" t="s">
        <v>78</v>
      </c>
      <c r="AF3465" s="2">
        <f t="shared" si="426"/>
        <v>0</v>
      </c>
      <c r="AJ3465" s="2">
        <f t="shared" si="427"/>
        <v>0</v>
      </c>
      <c r="AK3465" s="2">
        <f t="shared" si="425"/>
        <v>122.04999999999998</v>
      </c>
      <c r="AL3465" s="5">
        <f t="shared" si="424"/>
        <v>0.46942307692307683</v>
      </c>
    </row>
    <row r="3466" spans="1:38" x14ac:dyDescent="0.2">
      <c r="A3466" s="2">
        <v>2026</v>
      </c>
      <c r="B3466" s="2">
        <v>3</v>
      </c>
      <c r="D3466" s="2" t="s">
        <v>1423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1276</v>
      </c>
      <c r="J3466" s="2" t="s">
        <v>2402</v>
      </c>
      <c r="L3466" s="2" t="s">
        <v>178</v>
      </c>
      <c r="M3466" s="2" t="s">
        <v>41</v>
      </c>
      <c r="P3466" s="2" t="s">
        <v>73</v>
      </c>
      <c r="Q3466" s="2" t="s">
        <v>2729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8"/>
        <v>0.44819999999999993</v>
      </c>
      <c r="Z3466" s="2" t="s">
        <v>3237</v>
      </c>
      <c r="AA3466" s="2" t="s">
        <v>76</v>
      </c>
      <c r="AB3466" s="2" t="s">
        <v>77</v>
      </c>
      <c r="AC3466" s="2" t="s">
        <v>78</v>
      </c>
      <c r="AF3466" s="2">
        <f t="shared" si="426"/>
        <v>0</v>
      </c>
      <c r="AJ3466" s="2">
        <f t="shared" si="427"/>
        <v>0</v>
      </c>
      <c r="AK3466" s="2">
        <f t="shared" si="425"/>
        <v>112.04999999999998</v>
      </c>
      <c r="AL3466" s="5">
        <f t="shared" si="424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8"/>
        <v>0.12642752562225473</v>
      </c>
      <c r="Z3467" s="2" t="s">
        <v>3237</v>
      </c>
      <c r="AA3467" s="2" t="s">
        <v>76</v>
      </c>
      <c r="AB3467" s="2" t="s">
        <v>77</v>
      </c>
      <c r="AC3467" s="2" t="s">
        <v>78</v>
      </c>
      <c r="AF3467" s="2">
        <f t="shared" si="426"/>
        <v>0</v>
      </c>
      <c r="AG3467" s="2">
        <v>119.33</v>
      </c>
      <c r="AH3467" s="2">
        <v>220</v>
      </c>
      <c r="AJ3467" s="2">
        <f t="shared" si="427"/>
        <v>0</v>
      </c>
      <c r="AK3467" s="2">
        <f t="shared" si="425"/>
        <v>17.269999999999996</v>
      </c>
      <c r="AL3467" s="5">
        <f t="shared" si="424"/>
        <v>0.12642752562225473</v>
      </c>
    </row>
    <row r="3468" spans="1:38" x14ac:dyDescent="0.2">
      <c r="A3468" s="2">
        <v>2026</v>
      </c>
      <c r="B3468" s="2">
        <v>3</v>
      </c>
      <c r="D3468" s="2" t="s">
        <v>1128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1129</v>
      </c>
      <c r="J3468" s="2" t="s">
        <v>1130</v>
      </c>
      <c r="L3468" s="2" t="s">
        <v>462</v>
      </c>
      <c r="M3468" s="2" t="s">
        <v>81</v>
      </c>
      <c r="O3468" s="2" t="s">
        <v>2730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8"/>
        <v>0.4575909090909091</v>
      </c>
      <c r="Z3468" s="2" t="s">
        <v>3237</v>
      </c>
      <c r="AA3468" s="2" t="s">
        <v>76</v>
      </c>
      <c r="AB3468" s="2" t="s">
        <v>77</v>
      </c>
      <c r="AC3468" s="2" t="s">
        <v>78</v>
      </c>
      <c r="AF3468" s="2">
        <f t="shared" si="426"/>
        <v>0</v>
      </c>
      <c r="AG3468" s="2">
        <v>119.33</v>
      </c>
      <c r="AH3468" s="2">
        <v>220</v>
      </c>
      <c r="AJ3468" s="2">
        <f t="shared" si="427"/>
        <v>0</v>
      </c>
      <c r="AK3468" s="2">
        <f t="shared" si="425"/>
        <v>100.67</v>
      </c>
      <c r="AL3468" s="5">
        <f t="shared" si="424"/>
        <v>0.4575909090909091</v>
      </c>
    </row>
    <row r="3469" spans="1:38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1038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8"/>
        <v>0.48486363636363639</v>
      </c>
      <c r="Z3469" s="2" t="s">
        <v>3237</v>
      </c>
      <c r="AA3469" s="2" t="s">
        <v>76</v>
      </c>
      <c r="AB3469" s="2" t="s">
        <v>77</v>
      </c>
      <c r="AC3469" s="2" t="s">
        <v>78</v>
      </c>
      <c r="AF3469" s="2">
        <f t="shared" si="426"/>
        <v>0</v>
      </c>
      <c r="AG3469" s="2">
        <v>113.33</v>
      </c>
      <c r="AH3469" s="2">
        <v>220</v>
      </c>
      <c r="AJ3469" s="2">
        <f t="shared" si="427"/>
        <v>0</v>
      </c>
      <c r="AK3469" s="2">
        <f t="shared" si="425"/>
        <v>106.67</v>
      </c>
      <c r="AL3469" s="5">
        <f t="shared" si="424"/>
        <v>0.48486363636363639</v>
      </c>
    </row>
    <row r="3470" spans="1:38" x14ac:dyDescent="0.2">
      <c r="A3470" s="2">
        <v>2026</v>
      </c>
      <c r="B3470" s="2">
        <v>3</v>
      </c>
      <c r="D3470" s="2" t="s">
        <v>2731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8"/>
        <v>0.46762608695652175</v>
      </c>
      <c r="Z3470" s="2" t="s">
        <v>3237</v>
      </c>
      <c r="AA3470" s="2" t="s">
        <v>76</v>
      </c>
      <c r="AB3470" s="2" t="s">
        <v>77</v>
      </c>
      <c r="AC3470" s="2" t="s">
        <v>78</v>
      </c>
      <c r="AF3470" s="2">
        <f t="shared" si="426"/>
        <v>0</v>
      </c>
      <c r="AG3470" s="2">
        <v>122.446</v>
      </c>
      <c r="AH3470" s="2">
        <v>230</v>
      </c>
      <c r="AJ3470" s="2">
        <f t="shared" si="427"/>
        <v>0</v>
      </c>
      <c r="AK3470" s="2">
        <f t="shared" si="425"/>
        <v>107.554</v>
      </c>
      <c r="AL3470" s="5">
        <f t="shared" si="424"/>
        <v>0.46762608695652175</v>
      </c>
    </row>
    <row r="3471" spans="1:38" x14ac:dyDescent="0.2">
      <c r="A3471" s="2">
        <v>2026</v>
      </c>
      <c r="B3471" s="2">
        <v>3</v>
      </c>
      <c r="D3471" s="2" t="s">
        <v>1056</v>
      </c>
      <c r="E3471" s="2" t="s">
        <v>184</v>
      </c>
      <c r="F3471" s="2" t="s">
        <v>1057</v>
      </c>
      <c r="G3471" s="2">
        <v>500199523</v>
      </c>
      <c r="H3471" s="2" t="s">
        <v>291</v>
      </c>
      <c r="I3471" s="2" t="s">
        <v>294</v>
      </c>
      <c r="J3471" s="2" t="s">
        <v>1058</v>
      </c>
      <c r="L3471" s="2" t="s">
        <v>294</v>
      </c>
      <c r="M3471" s="2" t="s">
        <v>81</v>
      </c>
      <c r="O3471" s="2" t="s">
        <v>2732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8"/>
        <v>0.46762608695652175</v>
      </c>
      <c r="Z3471" s="2" t="s">
        <v>3237</v>
      </c>
      <c r="AA3471" s="2" t="s">
        <v>76</v>
      </c>
      <c r="AB3471" s="2" t="s">
        <v>77</v>
      </c>
      <c r="AC3471" s="2" t="s">
        <v>78</v>
      </c>
      <c r="AF3471" s="2">
        <f t="shared" si="426"/>
        <v>0</v>
      </c>
      <c r="AG3471" s="2">
        <v>122.446</v>
      </c>
      <c r="AH3471" s="2">
        <v>230</v>
      </c>
      <c r="AJ3471" s="2">
        <f t="shared" si="427"/>
        <v>0</v>
      </c>
      <c r="AK3471" s="2">
        <f t="shared" si="425"/>
        <v>215.108</v>
      </c>
      <c r="AL3471" s="5">
        <f t="shared" si="424"/>
        <v>0.46762608695652175</v>
      </c>
    </row>
    <row r="3472" spans="1:38" x14ac:dyDescent="0.2">
      <c r="A3472" s="2">
        <v>2026</v>
      </c>
      <c r="B3472" s="2">
        <v>3</v>
      </c>
      <c r="D3472" s="2" t="s">
        <v>2733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8"/>
        <v>0.46762608695652175</v>
      </c>
      <c r="Z3472" s="2" t="s">
        <v>3237</v>
      </c>
      <c r="AA3472" s="2" t="s">
        <v>76</v>
      </c>
      <c r="AB3472" s="2" t="s">
        <v>77</v>
      </c>
      <c r="AC3472" s="2" t="s">
        <v>78</v>
      </c>
      <c r="AF3472" s="2">
        <f t="shared" si="426"/>
        <v>0</v>
      </c>
      <c r="AG3472" s="2">
        <v>122.446</v>
      </c>
      <c r="AH3472" s="2">
        <v>230</v>
      </c>
      <c r="AJ3472" s="2">
        <f t="shared" si="427"/>
        <v>0</v>
      </c>
      <c r="AK3472" s="2">
        <f t="shared" si="425"/>
        <v>107.554</v>
      </c>
      <c r="AL3472" s="5">
        <f t="shared" si="424"/>
        <v>0.46762608695652175</v>
      </c>
    </row>
    <row r="3473" spans="1:38" x14ac:dyDescent="0.2">
      <c r="A3473" s="2">
        <v>2026</v>
      </c>
      <c r="B3473" s="2">
        <v>3</v>
      </c>
      <c r="D3473" s="2" t="s">
        <v>2567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8"/>
        <v>0.46762608695652175</v>
      </c>
      <c r="Z3473" s="2" t="s">
        <v>3237</v>
      </c>
      <c r="AA3473" s="2" t="s">
        <v>76</v>
      </c>
      <c r="AB3473" s="2" t="s">
        <v>77</v>
      </c>
      <c r="AC3473" s="2" t="s">
        <v>78</v>
      </c>
      <c r="AF3473" s="2">
        <f t="shared" si="426"/>
        <v>0</v>
      </c>
      <c r="AG3473" s="2">
        <v>122.446</v>
      </c>
      <c r="AH3473" s="2">
        <v>230</v>
      </c>
      <c r="AJ3473" s="2">
        <f t="shared" si="427"/>
        <v>0</v>
      </c>
      <c r="AK3473" s="2">
        <f t="shared" si="425"/>
        <v>107.554</v>
      </c>
      <c r="AL3473" s="5">
        <f t="shared" si="424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1453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8"/>
        <v>0.46762608695652175</v>
      </c>
      <c r="Z3474" s="2" t="s">
        <v>3237</v>
      </c>
      <c r="AA3474" s="2" t="s">
        <v>76</v>
      </c>
      <c r="AB3474" s="2" t="s">
        <v>77</v>
      </c>
      <c r="AC3474" s="2" t="s">
        <v>78</v>
      </c>
      <c r="AF3474" s="2">
        <f t="shared" si="426"/>
        <v>0</v>
      </c>
      <c r="AG3474" s="2">
        <v>122.446</v>
      </c>
      <c r="AH3474" s="2">
        <v>230</v>
      </c>
      <c r="AJ3474" s="2">
        <f t="shared" si="427"/>
        <v>0</v>
      </c>
      <c r="AK3474" s="2">
        <f t="shared" si="425"/>
        <v>107.554</v>
      </c>
      <c r="AL3474" s="5">
        <f t="shared" si="424"/>
        <v>0.46762608695652175</v>
      </c>
    </row>
    <row r="3475" spans="1:38" x14ac:dyDescent="0.2">
      <c r="A3475" s="2">
        <v>2026</v>
      </c>
      <c r="B3475" s="2">
        <v>3</v>
      </c>
      <c r="D3475" s="2" t="s">
        <v>1260</v>
      </c>
      <c r="P3475" s="2" t="s">
        <v>73</v>
      </c>
      <c r="Q3475" s="2" t="s">
        <v>1453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8"/>
        <v>0.46762608695652175</v>
      </c>
      <c r="Z3475" s="2" t="s">
        <v>3237</v>
      </c>
      <c r="AA3475" s="2" t="s">
        <v>76</v>
      </c>
      <c r="AB3475" s="2" t="s">
        <v>77</v>
      </c>
      <c r="AC3475" s="2" t="s">
        <v>78</v>
      </c>
      <c r="AF3475" s="2">
        <f t="shared" si="426"/>
        <v>0</v>
      </c>
      <c r="AG3475" s="2">
        <v>122.446</v>
      </c>
      <c r="AH3475" s="2">
        <v>230</v>
      </c>
      <c r="AJ3475" s="2">
        <f t="shared" si="427"/>
        <v>0</v>
      </c>
      <c r="AK3475" s="2">
        <f t="shared" si="425"/>
        <v>107.554</v>
      </c>
      <c r="AL3475" s="5">
        <f t="shared" si="424"/>
        <v>0.46762608695652175</v>
      </c>
    </row>
    <row r="3476" spans="1:38" x14ac:dyDescent="0.2">
      <c r="A3476" s="2">
        <v>2026</v>
      </c>
      <c r="B3476" s="2">
        <v>3</v>
      </c>
      <c r="D3476" s="2" t="s">
        <v>1056</v>
      </c>
      <c r="E3476" s="2" t="s">
        <v>184</v>
      </c>
      <c r="F3476" s="2" t="s">
        <v>1057</v>
      </c>
      <c r="G3476" s="2">
        <v>500199523</v>
      </c>
      <c r="H3476" s="2" t="s">
        <v>291</v>
      </c>
      <c r="I3476" s="2" t="s">
        <v>294</v>
      </c>
      <c r="J3476" s="2" t="s">
        <v>1058</v>
      </c>
      <c r="L3476" s="2" t="s">
        <v>294</v>
      </c>
      <c r="M3476" s="2" t="s">
        <v>81</v>
      </c>
      <c r="O3476" s="2" t="s">
        <v>2734</v>
      </c>
      <c r="P3476" s="2" t="s">
        <v>73</v>
      </c>
      <c r="Q3476" s="2" t="s">
        <v>1453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8"/>
        <v>0.46762608695652175</v>
      </c>
      <c r="Z3476" s="2" t="s">
        <v>3237</v>
      </c>
      <c r="AA3476" s="2" t="s">
        <v>76</v>
      </c>
      <c r="AB3476" s="2" t="s">
        <v>77</v>
      </c>
      <c r="AC3476" s="2" t="s">
        <v>78</v>
      </c>
      <c r="AF3476" s="2">
        <f t="shared" si="426"/>
        <v>0</v>
      </c>
      <c r="AG3476" s="2">
        <v>122.446</v>
      </c>
      <c r="AH3476" s="2">
        <v>230</v>
      </c>
      <c r="AJ3476" s="2">
        <f t="shared" si="427"/>
        <v>0</v>
      </c>
      <c r="AK3476" s="2">
        <f t="shared" si="425"/>
        <v>107.554</v>
      </c>
      <c r="AL3476" s="5">
        <f t="shared" si="424"/>
        <v>0.46762608695652175</v>
      </c>
    </row>
    <row r="3477" spans="1:38" x14ac:dyDescent="0.2">
      <c r="A3477" s="2">
        <v>2026</v>
      </c>
      <c r="B3477" s="2">
        <v>3</v>
      </c>
      <c r="D3477" s="2" t="s">
        <v>2735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8"/>
        <v>0.44659999999999994</v>
      </c>
      <c r="Z3477" s="2" t="s">
        <v>3237</v>
      </c>
      <c r="AA3477" s="2" t="s">
        <v>76</v>
      </c>
      <c r="AB3477" s="2" t="s">
        <v>77</v>
      </c>
      <c r="AC3477" s="2" t="s">
        <v>78</v>
      </c>
      <c r="AF3477" s="2">
        <f t="shared" si="426"/>
        <v>0</v>
      </c>
      <c r="AG3477" s="2">
        <v>110.68</v>
      </c>
      <c r="AH3477" s="2">
        <v>210</v>
      </c>
      <c r="AJ3477" s="2">
        <f t="shared" si="427"/>
        <v>0</v>
      </c>
      <c r="AK3477" s="2">
        <f t="shared" si="425"/>
        <v>89.32</v>
      </c>
      <c r="AL3477" s="5">
        <f t="shared" si="424"/>
        <v>0.44659999999999994</v>
      </c>
    </row>
    <row r="3478" spans="1:38" x14ac:dyDescent="0.2">
      <c r="A3478" s="2">
        <v>2026</v>
      </c>
      <c r="B3478" s="2">
        <v>3</v>
      </c>
      <c r="D3478" s="2" t="s">
        <v>1259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8"/>
        <v>0.44659999999999994</v>
      </c>
      <c r="Z3478" s="2" t="s">
        <v>3237</v>
      </c>
      <c r="AA3478" s="2" t="s">
        <v>76</v>
      </c>
      <c r="AB3478" s="2" t="s">
        <v>77</v>
      </c>
      <c r="AC3478" s="2" t="s">
        <v>78</v>
      </c>
      <c r="AF3478" s="2">
        <f t="shared" si="426"/>
        <v>0</v>
      </c>
      <c r="AG3478" s="2">
        <v>110.68</v>
      </c>
      <c r="AH3478" s="2">
        <v>210</v>
      </c>
      <c r="AJ3478" s="2">
        <f t="shared" si="427"/>
        <v>0</v>
      </c>
      <c r="AK3478" s="2">
        <f t="shared" si="425"/>
        <v>89.32</v>
      </c>
      <c r="AL3478" s="5">
        <f t="shared" si="424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2736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8"/>
        <v>0.37409499358151477</v>
      </c>
      <c r="Z3479" s="2" t="s">
        <v>3237</v>
      </c>
      <c r="AA3479" s="2" t="s">
        <v>76</v>
      </c>
      <c r="AB3479" s="2" t="s">
        <v>77</v>
      </c>
      <c r="AC3479" s="2" t="s">
        <v>78</v>
      </c>
      <c r="AF3479" s="2">
        <f t="shared" si="426"/>
        <v>0</v>
      </c>
      <c r="AG3479" s="2">
        <f>110.125+11.77</f>
        <v>121.895</v>
      </c>
      <c r="AJ3479" s="2">
        <f t="shared" si="427"/>
        <v>0</v>
      </c>
      <c r="AK3479" s="2">
        <f t="shared" si="425"/>
        <v>72.855000000000004</v>
      </c>
      <c r="AL3479" s="5">
        <f t="shared" si="424"/>
        <v>0.37409499358151477</v>
      </c>
    </row>
    <row r="3480" spans="1:38" x14ac:dyDescent="0.2">
      <c r="A3480" s="2">
        <v>2026</v>
      </c>
      <c r="B3480" s="2">
        <v>3</v>
      </c>
      <c r="D3480" s="2" t="s">
        <v>2737</v>
      </c>
      <c r="P3480" s="2" t="s">
        <v>73</v>
      </c>
      <c r="Q3480" s="2" t="s">
        <v>2738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8"/>
        <v>0.49354545454545456</v>
      </c>
      <c r="Z3480" s="2" t="s">
        <v>3237</v>
      </c>
      <c r="AA3480" s="2" t="s">
        <v>76</v>
      </c>
      <c r="AB3480" s="2" t="s">
        <v>77</v>
      </c>
      <c r="AC3480" s="2" t="s">
        <v>78</v>
      </c>
      <c r="AF3480" s="2">
        <f t="shared" si="426"/>
        <v>0</v>
      </c>
      <c r="AJ3480" s="2">
        <f t="shared" si="427"/>
        <v>0</v>
      </c>
      <c r="AK3480" s="2">
        <f t="shared" si="425"/>
        <v>108.58</v>
      </c>
      <c r="AL3480" s="5">
        <f t="shared" si="424"/>
        <v>0.49354545454545456</v>
      </c>
    </row>
    <row r="3481" spans="1:38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1195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8"/>
        <v>0.45100000000000001</v>
      </c>
      <c r="Z3481" s="2" t="s">
        <v>3237</v>
      </c>
      <c r="AA3481" s="2" t="s">
        <v>76</v>
      </c>
      <c r="AB3481" s="2" t="s">
        <v>77</v>
      </c>
      <c r="AC3481" s="2" t="s">
        <v>78</v>
      </c>
      <c r="AF3481" s="2">
        <f t="shared" si="426"/>
        <v>0</v>
      </c>
      <c r="AJ3481" s="2">
        <f t="shared" si="427"/>
        <v>0</v>
      </c>
      <c r="AK3481" s="2">
        <f t="shared" si="425"/>
        <v>121.77000000000001</v>
      </c>
      <c r="AL3481" s="5">
        <f t="shared" si="424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3143</v>
      </c>
      <c r="L3482" s="2" t="s">
        <v>178</v>
      </c>
      <c r="M3482" s="2" t="s">
        <v>41</v>
      </c>
      <c r="O3482" s="2" t="s">
        <v>2739</v>
      </c>
      <c r="P3482" s="2" t="s">
        <v>73</v>
      </c>
      <c r="Q3482" s="2" t="s">
        <v>1078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8"/>
        <v>0.33525000000000005</v>
      </c>
      <c r="Z3482" s="2" t="s">
        <v>3237</v>
      </c>
      <c r="AA3482" s="2" t="s">
        <v>76</v>
      </c>
      <c r="AB3482" s="2" t="s">
        <v>77</v>
      </c>
      <c r="AC3482" s="2" t="s">
        <v>78</v>
      </c>
      <c r="AF3482" s="2">
        <f t="shared" si="426"/>
        <v>0</v>
      </c>
      <c r="AG3482" s="2">
        <f>144.14+15.4</f>
        <v>159.54</v>
      </c>
      <c r="AH3482" s="2">
        <v>280</v>
      </c>
      <c r="AJ3482" s="2">
        <f t="shared" si="427"/>
        <v>0</v>
      </c>
      <c r="AK3482" s="2">
        <f t="shared" si="425"/>
        <v>80.460000000000008</v>
      </c>
      <c r="AL3482" s="5">
        <f t="shared" si="424"/>
        <v>0.33525000000000005</v>
      </c>
    </row>
    <row r="3483" spans="1:38" x14ac:dyDescent="0.2">
      <c r="A3483" s="2">
        <v>2026</v>
      </c>
      <c r="B3483" s="2">
        <v>3</v>
      </c>
      <c r="D3483" s="2" t="s">
        <v>2567</v>
      </c>
      <c r="M3483" s="2" t="s">
        <v>81</v>
      </c>
      <c r="O3483" s="2" t="s">
        <v>2740</v>
      </c>
      <c r="P3483" s="2" t="s">
        <v>73</v>
      </c>
      <c r="Q3483" s="2" t="s">
        <v>1078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8"/>
        <v>0.43021428571428572</v>
      </c>
      <c r="Z3483" s="2" t="s">
        <v>3237</v>
      </c>
      <c r="AA3483" s="2" t="s">
        <v>76</v>
      </c>
      <c r="AB3483" s="2" t="s">
        <v>77</v>
      </c>
      <c r="AC3483" s="2" t="s">
        <v>78</v>
      </c>
      <c r="AF3483" s="2">
        <f t="shared" si="426"/>
        <v>0</v>
      </c>
      <c r="AG3483" s="2">
        <f>144.14+15.4</f>
        <v>159.54</v>
      </c>
      <c r="AH3483" s="2">
        <v>280</v>
      </c>
      <c r="AJ3483" s="2">
        <f t="shared" si="427"/>
        <v>0</v>
      </c>
      <c r="AK3483" s="2">
        <f t="shared" si="425"/>
        <v>120.46000000000001</v>
      </c>
      <c r="AL3483" s="5">
        <f t="shared" si="424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2741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8"/>
        <v>0.51566906429227799</v>
      </c>
      <c r="Z3484" s="2" t="s">
        <v>3237</v>
      </c>
      <c r="AA3484" s="2" t="s">
        <v>76</v>
      </c>
      <c r="AB3484" s="2" t="s">
        <v>77</v>
      </c>
      <c r="AC3484" s="2" t="s">
        <v>78</v>
      </c>
      <c r="AF3484" s="2">
        <f t="shared" si="426"/>
        <v>0</v>
      </c>
      <c r="AG3484" s="2">
        <v>152.85</v>
      </c>
      <c r="AH3484" s="2">
        <v>260</v>
      </c>
      <c r="AJ3484" s="2">
        <f t="shared" si="427"/>
        <v>0</v>
      </c>
      <c r="AK3484" s="2">
        <f t="shared" si="425"/>
        <v>162.73999999999998</v>
      </c>
      <c r="AL3484" s="5">
        <f t="shared" si="424"/>
        <v>0.51566906429227799</v>
      </c>
    </row>
    <row r="3485" spans="1:38" x14ac:dyDescent="0.2">
      <c r="A3485" s="2">
        <v>2026</v>
      </c>
      <c r="B3485" s="2">
        <v>3</v>
      </c>
      <c r="D3485" s="2" t="s">
        <v>1153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2486</v>
      </c>
      <c r="J3485" s="2" t="s">
        <v>1477</v>
      </c>
      <c r="K3485" s="2">
        <v>938183284</v>
      </c>
      <c r="L3485" s="2" t="s">
        <v>134</v>
      </c>
      <c r="M3485" s="2" t="s">
        <v>110</v>
      </c>
      <c r="O3485" s="2" t="s">
        <v>2742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8"/>
        <v>0.38117408906882594</v>
      </c>
      <c r="Z3485" s="2" t="s">
        <v>3237</v>
      </c>
      <c r="AA3485" s="2" t="s">
        <v>76</v>
      </c>
      <c r="AB3485" s="2" t="s">
        <v>77</v>
      </c>
      <c r="AC3485" s="2" t="s">
        <v>78</v>
      </c>
      <c r="AF3485" s="2">
        <f t="shared" si="426"/>
        <v>0</v>
      </c>
      <c r="AG3485" s="2">
        <v>152.85</v>
      </c>
      <c r="AH3485" s="2">
        <v>260</v>
      </c>
      <c r="AJ3485" s="2">
        <f t="shared" si="427"/>
        <v>0</v>
      </c>
      <c r="AK3485" s="2">
        <f t="shared" si="425"/>
        <v>94.15</v>
      </c>
      <c r="AL3485" s="5">
        <f t="shared" si="424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2743</v>
      </c>
      <c r="R3486" s="2" t="s">
        <v>965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8"/>
        <v>0.32854691075514875</v>
      </c>
      <c r="Z3486" s="2" t="s">
        <v>3237</v>
      </c>
      <c r="AA3486" s="2" t="s">
        <v>76</v>
      </c>
      <c r="AB3486" s="2" t="s">
        <v>77</v>
      </c>
      <c r="AC3486" s="2" t="s">
        <v>78</v>
      </c>
      <c r="AF3486" s="2">
        <f t="shared" si="426"/>
        <v>0</v>
      </c>
      <c r="AJ3486" s="2">
        <f t="shared" si="427"/>
        <v>0</v>
      </c>
      <c r="AK3486" s="2">
        <f t="shared" si="425"/>
        <v>114.86000000000001</v>
      </c>
      <c r="AL3486" s="5">
        <f t="shared" si="424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8"/>
        <v>0.1089142193564161</v>
      </c>
      <c r="Z3487" s="2" t="s">
        <v>3237</v>
      </c>
      <c r="AA3487" s="2" t="s">
        <v>76</v>
      </c>
      <c r="AB3487" s="2" t="s">
        <v>77</v>
      </c>
      <c r="AC3487" s="2" t="s">
        <v>78</v>
      </c>
      <c r="AF3487" s="2">
        <f t="shared" si="426"/>
        <v>0</v>
      </c>
      <c r="AG3487" s="2">
        <v>291.58999999999997</v>
      </c>
      <c r="AH3487" s="2">
        <v>450</v>
      </c>
      <c r="AJ3487" s="2">
        <f t="shared" si="427"/>
        <v>0</v>
      </c>
      <c r="AK3487" s="2">
        <f t="shared" si="425"/>
        <v>35.640000000000043</v>
      </c>
      <c r="AL3487" s="5">
        <f t="shared" si="424"/>
        <v>0.1089142193564161</v>
      </c>
    </row>
    <row r="3488" spans="1:38" x14ac:dyDescent="0.2">
      <c r="A3488" s="2">
        <v>2026</v>
      </c>
      <c r="B3488" s="2">
        <v>3</v>
      </c>
      <c r="D3488" s="2" t="s">
        <v>2151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2744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8"/>
        <v>0.47452830188679246</v>
      </c>
      <c r="Z3488" s="2" t="s">
        <v>3237</v>
      </c>
      <c r="AA3488" s="2" t="s">
        <v>76</v>
      </c>
      <c r="AB3488" s="2" t="s">
        <v>77</v>
      </c>
      <c r="AC3488" s="2" t="s">
        <v>78</v>
      </c>
      <c r="AF3488" s="2">
        <f t="shared" si="426"/>
        <v>0</v>
      </c>
      <c r="AJ3488" s="2">
        <f t="shared" si="427"/>
        <v>0</v>
      </c>
      <c r="AK3488" s="2">
        <f t="shared" si="425"/>
        <v>251.5</v>
      </c>
      <c r="AL3488" s="5">
        <f t="shared" si="424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1041</v>
      </c>
      <c r="Q3489" s="2" t="s">
        <v>2745</v>
      </c>
      <c r="R3489" s="2" t="s">
        <v>2746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8"/>
        <v>0.36257777777777783</v>
      </c>
      <c r="Z3489" s="2" t="s">
        <v>3237</v>
      </c>
      <c r="AA3489" s="2" t="s">
        <v>76</v>
      </c>
      <c r="AB3489" s="2" t="s">
        <v>77</v>
      </c>
      <c r="AC3489" s="2" t="s">
        <v>1041</v>
      </c>
      <c r="AF3489" s="2">
        <f t="shared" si="426"/>
        <v>0</v>
      </c>
      <c r="AJ3489" s="2">
        <f t="shared" si="427"/>
        <v>0</v>
      </c>
      <c r="AK3489" s="2">
        <f t="shared" si="425"/>
        <v>163.16000000000003</v>
      </c>
      <c r="AL3489" s="5">
        <f t="shared" si="424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3164</v>
      </c>
      <c r="L3490" s="2" t="s">
        <v>100</v>
      </c>
      <c r="M3490" s="2" t="s">
        <v>81</v>
      </c>
      <c r="O3490" s="2" t="s">
        <v>3163</v>
      </c>
      <c r="P3490" s="2" t="s">
        <v>1041</v>
      </c>
      <c r="Q3490" s="2" t="s">
        <v>1841</v>
      </c>
      <c r="R3490" s="2" t="s">
        <v>1842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8"/>
        <v>0.56678650821966681</v>
      </c>
      <c r="Z3490" s="2" t="s">
        <v>3237</v>
      </c>
      <c r="AA3490" s="2" t="s">
        <v>76</v>
      </c>
      <c r="AB3490" s="2" t="s">
        <v>77</v>
      </c>
      <c r="AC3490" s="2" t="s">
        <v>1041</v>
      </c>
      <c r="AF3490" s="2">
        <f t="shared" si="426"/>
        <v>0</v>
      </c>
      <c r="AG3490" s="2">
        <v>157.85</v>
      </c>
      <c r="AJ3490" s="2">
        <f t="shared" si="427"/>
        <v>0</v>
      </c>
      <c r="AK3490" s="2">
        <f t="shared" si="425"/>
        <v>206.52</v>
      </c>
      <c r="AL3490" s="5">
        <f t="shared" si="424"/>
        <v>0.56678650821966681</v>
      </c>
    </row>
    <row r="3491" spans="1:38" x14ac:dyDescent="0.2">
      <c r="A3491" s="2">
        <v>2026</v>
      </c>
      <c r="B3491" s="2">
        <v>3</v>
      </c>
      <c r="D3491" s="2" t="s">
        <v>1560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1561</v>
      </c>
      <c r="J3491" s="2" t="s">
        <v>1562</v>
      </c>
      <c r="L3491" s="2" t="s">
        <v>100</v>
      </c>
      <c r="M3491" s="2" t="s">
        <v>41</v>
      </c>
      <c r="P3491" s="2" t="s">
        <v>1041</v>
      </c>
      <c r="Q3491" s="2" t="s">
        <v>2747</v>
      </c>
      <c r="R3491" s="2" t="s">
        <v>2748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8"/>
        <v>0.47124137931034482</v>
      </c>
      <c r="Z3491" s="2" t="s">
        <v>3237</v>
      </c>
      <c r="AA3491" s="2" t="s">
        <v>76</v>
      </c>
      <c r="AB3491" s="2" t="s">
        <v>77</v>
      </c>
      <c r="AC3491" s="2" t="s">
        <v>1041</v>
      </c>
      <c r="AF3491" s="2">
        <f t="shared" si="426"/>
        <v>0</v>
      </c>
      <c r="AJ3491" s="2">
        <f t="shared" si="427"/>
        <v>0</v>
      </c>
      <c r="AK3491" s="2">
        <f t="shared" si="425"/>
        <v>136.66</v>
      </c>
      <c r="AL3491" s="5">
        <f t="shared" si="424"/>
        <v>0.47124137931034482</v>
      </c>
    </row>
    <row r="3492" spans="1:38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2749</v>
      </c>
      <c r="P3492" s="2" t="s">
        <v>1041</v>
      </c>
      <c r="Q3492" s="2" t="s">
        <v>1862</v>
      </c>
      <c r="R3492" s="2" t="s">
        <v>1863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0">(T3492-W3492)/T3492</f>
        <v>0.45986046511627909</v>
      </c>
      <c r="Z3492" s="2" t="s">
        <v>3237</v>
      </c>
      <c r="AA3492" s="2" t="s">
        <v>76</v>
      </c>
      <c r="AB3492" s="2" t="s">
        <v>77</v>
      </c>
      <c r="AC3492" s="2" t="s">
        <v>1041</v>
      </c>
      <c r="AF3492" s="2">
        <f t="shared" si="426"/>
        <v>0</v>
      </c>
      <c r="AG3492" s="2">
        <v>232.26</v>
      </c>
      <c r="AJ3492" s="2">
        <f t="shared" si="427"/>
        <v>0</v>
      </c>
      <c r="AK3492" s="2">
        <f t="shared" si="425"/>
        <v>197.74</v>
      </c>
      <c r="AL3492" s="5">
        <f t="shared" si="424"/>
        <v>0.45986046511627909</v>
      </c>
    </row>
    <row r="3493" spans="1:38" x14ac:dyDescent="0.2">
      <c r="A3493" s="2">
        <v>2026</v>
      </c>
      <c r="B3493" s="2">
        <v>3</v>
      </c>
      <c r="D3493" s="2" t="s">
        <v>2565</v>
      </c>
      <c r="M3493" s="2" t="s">
        <v>81</v>
      </c>
      <c r="O3493" s="2" t="s">
        <v>3170</v>
      </c>
      <c r="P3493" s="2" t="s">
        <v>1041</v>
      </c>
      <c r="Q3493" s="2" t="s">
        <v>2750</v>
      </c>
      <c r="R3493" s="2" t="s">
        <v>2751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0"/>
        <v>0.32349999999999995</v>
      </c>
      <c r="Z3493" s="2" t="s">
        <v>3237</v>
      </c>
      <c r="AA3493" s="2" t="s">
        <v>76</v>
      </c>
      <c r="AB3493" s="2" t="s">
        <v>77</v>
      </c>
      <c r="AC3493" s="2" t="s">
        <v>1041</v>
      </c>
      <c r="AF3493" s="2">
        <f t="shared" si="426"/>
        <v>0</v>
      </c>
      <c r="AG3493" s="2">
        <v>270.60000000000002</v>
      </c>
      <c r="AJ3493" s="2">
        <f t="shared" si="427"/>
        <v>0</v>
      </c>
      <c r="AK3493" s="2">
        <f t="shared" si="425"/>
        <v>129.39999999999998</v>
      </c>
      <c r="AL3493" s="5">
        <f t="shared" si="424"/>
        <v>0.32349999999999995</v>
      </c>
    </row>
    <row r="3494" spans="1:38" x14ac:dyDescent="0.2">
      <c r="A3494" s="2">
        <v>2026</v>
      </c>
      <c r="B3494" s="2">
        <v>3</v>
      </c>
      <c r="D3494" s="2" t="s">
        <v>2524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2525</v>
      </c>
      <c r="J3494" s="2" t="s">
        <v>2526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0"/>
        <v>0.65494285714285716</v>
      </c>
      <c r="Z3494" s="2" t="s">
        <v>3237</v>
      </c>
      <c r="AA3494" s="2" t="s">
        <v>88</v>
      </c>
      <c r="AB3494" s="2" t="s">
        <v>91</v>
      </c>
      <c r="AC3494" s="2" t="s">
        <v>85</v>
      </c>
      <c r="AF3494" s="2">
        <f t="shared" si="426"/>
        <v>0</v>
      </c>
      <c r="AJ3494" s="2">
        <f t="shared" si="427"/>
        <v>0</v>
      </c>
      <c r="AK3494" s="2">
        <f t="shared" si="425"/>
        <v>4.5846</v>
      </c>
      <c r="AL3494" s="5">
        <f t="shared" si="424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2683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0"/>
        <v>#DIV/0!</v>
      </c>
      <c r="Z3495" s="2" t="s">
        <v>3237</v>
      </c>
      <c r="AA3495" s="2" t="s">
        <v>88</v>
      </c>
      <c r="AB3495" s="2" t="s">
        <v>61</v>
      </c>
      <c r="AC3495" s="2" t="s">
        <v>85</v>
      </c>
      <c r="AF3495" s="2">
        <f t="shared" si="426"/>
        <v>0</v>
      </c>
      <c r="AJ3495" s="2">
        <f t="shared" si="427"/>
        <v>0</v>
      </c>
      <c r="AK3495" s="2">
        <f t="shared" si="425"/>
        <v>0</v>
      </c>
      <c r="AL3495" s="5" t="e">
        <f t="shared" si="424"/>
        <v>#DIV/0!</v>
      </c>
    </row>
    <row r="3496" spans="1:38" x14ac:dyDescent="0.2">
      <c r="A3496" s="2">
        <v>2026</v>
      </c>
      <c r="B3496" s="2">
        <v>3</v>
      </c>
      <c r="D3496" s="2" t="s">
        <v>2524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2525</v>
      </c>
      <c r="J3496" s="2" t="s">
        <v>2526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0"/>
        <v>0.58000000000000007</v>
      </c>
      <c r="Z3496" s="2" t="s">
        <v>3237</v>
      </c>
      <c r="AA3496" s="2" t="s">
        <v>88</v>
      </c>
      <c r="AB3496" s="2" t="s">
        <v>91</v>
      </c>
      <c r="AC3496" s="2" t="s">
        <v>85</v>
      </c>
      <c r="AF3496" s="2">
        <f t="shared" si="426"/>
        <v>0</v>
      </c>
      <c r="AJ3496" s="2">
        <f t="shared" si="427"/>
        <v>0</v>
      </c>
      <c r="AK3496" s="2">
        <f t="shared" si="425"/>
        <v>4.0600000000000005</v>
      </c>
      <c r="AL3496" s="5">
        <f t="shared" si="424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0"/>
        <v>1</v>
      </c>
      <c r="Z3497" s="2" t="s">
        <v>3237</v>
      </c>
      <c r="AA3497" s="2" t="s">
        <v>88</v>
      </c>
      <c r="AB3497" s="2" t="s">
        <v>91</v>
      </c>
      <c r="AC3497" s="2" t="s">
        <v>85</v>
      </c>
      <c r="AF3497" s="2">
        <f t="shared" si="426"/>
        <v>0</v>
      </c>
      <c r="AJ3497" s="2">
        <f t="shared" si="427"/>
        <v>0</v>
      </c>
      <c r="AK3497" s="2">
        <f t="shared" si="425"/>
        <v>8.4</v>
      </c>
      <c r="AL3497" s="5">
        <f t="shared" si="424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0"/>
        <v>1</v>
      </c>
      <c r="Z3498" s="2" t="s">
        <v>3237</v>
      </c>
      <c r="AA3498" s="2" t="s">
        <v>88</v>
      </c>
      <c r="AB3498" s="2" t="s">
        <v>91</v>
      </c>
      <c r="AC3498" s="2" t="s">
        <v>85</v>
      </c>
      <c r="AF3498" s="2">
        <f t="shared" si="426"/>
        <v>0</v>
      </c>
      <c r="AJ3498" s="2">
        <f t="shared" si="427"/>
        <v>0</v>
      </c>
      <c r="AK3498" s="2">
        <f t="shared" si="425"/>
        <v>8.4</v>
      </c>
      <c r="AL3498" s="5">
        <f t="shared" si="424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2702</v>
      </c>
      <c r="P3499" s="2" t="s">
        <v>85</v>
      </c>
      <c r="Q3499" s="2" t="s">
        <v>2752</v>
      </c>
      <c r="R3499" s="2" t="s">
        <v>2753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0"/>
        <v>0.15862011173184362</v>
      </c>
      <c r="Z3499" s="2" t="s">
        <v>3237</v>
      </c>
      <c r="AA3499" s="2" t="s">
        <v>88</v>
      </c>
      <c r="AC3499" s="2" t="s">
        <v>85</v>
      </c>
      <c r="AF3499" s="2">
        <f t="shared" si="426"/>
        <v>0</v>
      </c>
      <c r="AG3499" s="2">
        <v>1506.07</v>
      </c>
      <c r="AJ3499" s="2">
        <f t="shared" si="427"/>
        <v>0</v>
      </c>
      <c r="AK3499" s="2">
        <f t="shared" si="425"/>
        <v>283.93000000000006</v>
      </c>
      <c r="AL3499" s="5">
        <f t="shared" si="424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2707</v>
      </c>
      <c r="P3500" s="2" t="s">
        <v>1197</v>
      </c>
      <c r="Q3500" s="2" t="s">
        <v>1719</v>
      </c>
      <c r="R3500" s="2" t="s">
        <v>1720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0"/>
        <v>0.27828915662650605</v>
      </c>
      <c r="Z3500" s="2" t="s">
        <v>105</v>
      </c>
      <c r="AA3500" s="2" t="s">
        <v>2754</v>
      </c>
      <c r="AB3500" s="2" t="s">
        <v>2755</v>
      </c>
      <c r="AC3500" s="2" t="s">
        <v>1197</v>
      </c>
      <c r="AF3500" s="2">
        <f t="shared" si="426"/>
        <v>0</v>
      </c>
      <c r="AG3500" s="2">
        <f>1477+320.06</f>
        <v>1797.06</v>
      </c>
      <c r="AJ3500" s="2">
        <f t="shared" si="427"/>
        <v>0</v>
      </c>
      <c r="AK3500" s="2">
        <f t="shared" si="425"/>
        <v>692.94</v>
      </c>
      <c r="AL3500" s="5">
        <f t="shared" si="424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2707</v>
      </c>
      <c r="P3501" s="2" t="s">
        <v>1197</v>
      </c>
      <c r="Q3501" s="2" t="s">
        <v>1200</v>
      </c>
      <c r="R3501" s="2" t="s">
        <v>1201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0"/>
        <v>0.36459999999999998</v>
      </c>
      <c r="Z3501" s="2" t="s">
        <v>105</v>
      </c>
      <c r="AA3501" s="2" t="s">
        <v>1202</v>
      </c>
      <c r="AB3501" s="2" t="s">
        <v>120</v>
      </c>
      <c r="AC3501" s="2" t="s">
        <v>1197</v>
      </c>
      <c r="AF3501" s="2">
        <f t="shared" si="426"/>
        <v>0</v>
      </c>
      <c r="AG3501" s="2">
        <f>235+50.93</f>
        <v>285.93</v>
      </c>
      <c r="AJ3501" s="2">
        <f t="shared" si="427"/>
        <v>0</v>
      </c>
      <c r="AK3501" s="2">
        <f t="shared" si="425"/>
        <v>328.14</v>
      </c>
      <c r="AL3501" s="5">
        <f t="shared" si="424"/>
        <v>0.36459999999999998</v>
      </c>
    </row>
    <row r="3502" spans="1:38" x14ac:dyDescent="0.2">
      <c r="A3502" s="2">
        <v>2026</v>
      </c>
      <c r="B3502" s="2">
        <v>3</v>
      </c>
      <c r="D3502" s="2" t="s">
        <v>2756</v>
      </c>
      <c r="M3502" s="2" t="s">
        <v>41</v>
      </c>
      <c r="P3502" s="2" t="s">
        <v>1041</v>
      </c>
      <c r="Q3502" s="2" t="s">
        <v>2757</v>
      </c>
      <c r="R3502" s="2" t="s">
        <v>2758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0"/>
        <v>0.35858218533413194</v>
      </c>
      <c r="Z3502" s="2" t="s">
        <v>3237</v>
      </c>
      <c r="AA3502" s="2" t="s">
        <v>1044</v>
      </c>
      <c r="AB3502" s="2" t="s">
        <v>2759</v>
      </c>
      <c r="AC3502" s="2" t="s">
        <v>1041</v>
      </c>
      <c r="AF3502" s="2">
        <f t="shared" si="426"/>
        <v>0</v>
      </c>
      <c r="AJ3502" s="2">
        <f t="shared" si="427"/>
        <v>0</v>
      </c>
      <c r="AK3502" s="2">
        <f t="shared" si="425"/>
        <v>335.26</v>
      </c>
      <c r="AL3502" s="5">
        <f t="shared" si="424"/>
        <v>0.35858218533413194</v>
      </c>
    </row>
    <row r="3503" spans="1:38" x14ac:dyDescent="0.2">
      <c r="A3503" s="2">
        <v>2026</v>
      </c>
      <c r="B3503" s="2">
        <v>3</v>
      </c>
      <c r="D3503" s="2" t="s">
        <v>2760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2761</v>
      </c>
      <c r="J3503" s="2" t="s">
        <v>2762</v>
      </c>
      <c r="K3503" s="2">
        <v>962332957</v>
      </c>
      <c r="L3503" s="2" t="s">
        <v>113</v>
      </c>
      <c r="M3503" s="2" t="s">
        <v>110</v>
      </c>
      <c r="O3503" s="2" t="s">
        <v>2763</v>
      </c>
      <c r="P3503" s="2" t="s">
        <v>40</v>
      </c>
      <c r="Q3503" s="2" t="s">
        <v>2764</v>
      </c>
      <c r="R3503" s="2" t="s">
        <v>2765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30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6"/>
        <v>0</v>
      </c>
      <c r="AJ3503" s="2">
        <f t="shared" si="427"/>
        <v>0</v>
      </c>
      <c r="AK3503" s="2">
        <f t="shared" si="425"/>
        <v>3252.03</v>
      </c>
      <c r="AL3503" s="5">
        <f t="shared" ref="AL3503:AL3566" si="431">(T3503-W3503)/T3503</f>
        <v>1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2707</v>
      </c>
      <c r="P3504" s="2" t="s">
        <v>40</v>
      </c>
      <c r="Q3504" s="2" t="s">
        <v>2125</v>
      </c>
      <c r="R3504" s="2" t="s">
        <v>2126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30"/>
        <v>1</v>
      </c>
      <c r="Z3504" s="2" t="s">
        <v>105</v>
      </c>
      <c r="AA3504" s="2" t="s">
        <v>120</v>
      </c>
      <c r="AB3504" s="2" t="s">
        <v>476</v>
      </c>
      <c r="AF3504" s="2">
        <f t="shared" si="426"/>
        <v>0</v>
      </c>
      <c r="AJ3504" s="2">
        <f t="shared" si="427"/>
        <v>0</v>
      </c>
      <c r="AK3504" s="2">
        <f t="shared" si="425"/>
        <v>1000</v>
      </c>
      <c r="AL3504" s="5">
        <f t="shared" si="431"/>
        <v>1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2707</v>
      </c>
      <c r="P3505" s="2" t="s">
        <v>40</v>
      </c>
      <c r="Q3505" s="2" t="s">
        <v>2766</v>
      </c>
      <c r="R3505" s="2" t="s">
        <v>2767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30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6"/>
        <v>0</v>
      </c>
      <c r="AJ3505" s="2">
        <f t="shared" si="427"/>
        <v>0</v>
      </c>
      <c r="AK3505" s="2">
        <f t="shared" si="425"/>
        <v>1500</v>
      </c>
      <c r="AL3505" s="5">
        <f t="shared" si="431"/>
        <v>1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2707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30"/>
        <v>1</v>
      </c>
      <c r="Z3506" s="2" t="s">
        <v>105</v>
      </c>
      <c r="AA3506" s="2" t="s">
        <v>617</v>
      </c>
      <c r="AB3506" s="2" t="s">
        <v>476</v>
      </c>
      <c r="AF3506" s="2">
        <f t="shared" si="426"/>
        <v>0</v>
      </c>
      <c r="AJ3506" s="2">
        <f t="shared" si="427"/>
        <v>0</v>
      </c>
      <c r="AK3506" s="2">
        <f t="shared" si="425"/>
        <v>2000</v>
      </c>
      <c r="AL3506" s="5">
        <f t="shared" si="431"/>
        <v>1</v>
      </c>
    </row>
    <row r="3507" spans="1:38" x14ac:dyDescent="0.2">
      <c r="A3507" s="2">
        <v>2026</v>
      </c>
      <c r="B3507" s="2">
        <v>3</v>
      </c>
      <c r="D3507" s="2" t="s">
        <v>1915</v>
      </c>
      <c r="P3507" s="2" t="s">
        <v>40</v>
      </c>
      <c r="Q3507" s="2" t="s">
        <v>2768</v>
      </c>
      <c r="R3507" s="2" t="s">
        <v>2769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30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6"/>
        <v>0</v>
      </c>
      <c r="AJ3507" s="2">
        <f t="shared" si="427"/>
        <v>0</v>
      </c>
      <c r="AK3507" s="2">
        <f t="shared" si="425"/>
        <v>2000</v>
      </c>
      <c r="AL3507" s="5">
        <f t="shared" si="431"/>
        <v>1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2770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0"/>
        <v>1</v>
      </c>
      <c r="Z3508" s="2" t="s">
        <v>120</v>
      </c>
      <c r="AA3508" s="2" t="s">
        <v>493</v>
      </c>
      <c r="AF3508" s="2">
        <f t="shared" si="426"/>
        <v>0</v>
      </c>
      <c r="AJ3508" s="2">
        <f t="shared" si="427"/>
        <v>0</v>
      </c>
      <c r="AK3508" s="2">
        <f t="shared" si="425"/>
        <v>678.91</v>
      </c>
      <c r="AL3508" s="5">
        <f t="shared" si="431"/>
        <v>1</v>
      </c>
    </row>
    <row r="3509" spans="1:38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0"/>
        <v>0.5</v>
      </c>
      <c r="Z3509" s="2" t="s">
        <v>118</v>
      </c>
      <c r="AA3509" s="2" t="s">
        <v>191</v>
      </c>
      <c r="AF3509" s="2">
        <f t="shared" si="426"/>
        <v>0</v>
      </c>
      <c r="AG3509" s="2">
        <f t="shared" ref="AG3509:AG3519" si="432">W3509</f>
        <v>13.75</v>
      </c>
      <c r="AJ3509" s="2">
        <f t="shared" si="427"/>
        <v>0</v>
      </c>
      <c r="AK3509" s="2">
        <f t="shared" si="425"/>
        <v>13.75</v>
      </c>
      <c r="AL3509" s="5">
        <f t="shared" si="431"/>
        <v>0.5</v>
      </c>
    </row>
    <row r="3510" spans="1:38" x14ac:dyDescent="0.2">
      <c r="A3510" s="2">
        <v>2026</v>
      </c>
      <c r="B3510" s="2">
        <v>2</v>
      </c>
      <c r="D3510" s="2" t="s">
        <v>2771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0"/>
        <v>0.60000000000000009</v>
      </c>
      <c r="Z3510" s="2" t="s">
        <v>118</v>
      </c>
      <c r="AA3510" s="2" t="s">
        <v>191</v>
      </c>
      <c r="AF3510" s="2">
        <f t="shared" si="426"/>
        <v>0</v>
      </c>
      <c r="AG3510" s="2">
        <f t="shared" si="432"/>
        <v>51.6</v>
      </c>
      <c r="AJ3510" s="2">
        <f t="shared" si="427"/>
        <v>0</v>
      </c>
      <c r="AK3510" s="2">
        <f t="shared" ref="AK3510:AK3573" si="433">T3510-W3510</f>
        <v>77.400000000000006</v>
      </c>
      <c r="AL3510" s="5">
        <f t="shared" si="431"/>
        <v>0.60000000000000009</v>
      </c>
    </row>
    <row r="3511" spans="1:38" x14ac:dyDescent="0.2">
      <c r="A3511" s="2">
        <v>2026</v>
      </c>
      <c r="B3511" s="2">
        <v>2</v>
      </c>
      <c r="D3511" s="2" t="s">
        <v>2771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0"/>
        <v>0.5</v>
      </c>
      <c r="Z3511" s="2" t="s">
        <v>118</v>
      </c>
      <c r="AA3511" s="2" t="s">
        <v>191</v>
      </c>
      <c r="AF3511" s="2">
        <f t="shared" si="426"/>
        <v>0</v>
      </c>
      <c r="AG3511" s="2">
        <f t="shared" si="432"/>
        <v>27.5</v>
      </c>
      <c r="AJ3511" s="2">
        <f t="shared" si="427"/>
        <v>0</v>
      </c>
      <c r="AK3511" s="2">
        <f t="shared" si="433"/>
        <v>27.5</v>
      </c>
      <c r="AL3511" s="5">
        <f t="shared" si="431"/>
        <v>0.5</v>
      </c>
    </row>
    <row r="3512" spans="1:38" x14ac:dyDescent="0.2">
      <c r="A3512" s="2">
        <v>2026</v>
      </c>
      <c r="B3512" s="2">
        <v>1</v>
      </c>
      <c r="D3512" s="2" t="s">
        <v>2772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0"/>
        <v>0.6</v>
      </c>
      <c r="Z3512" s="2" t="s">
        <v>118</v>
      </c>
      <c r="AA3512" s="2" t="s">
        <v>191</v>
      </c>
      <c r="AF3512" s="2">
        <f t="shared" si="426"/>
        <v>0</v>
      </c>
      <c r="AG3512" s="2">
        <f t="shared" si="432"/>
        <v>106.80000000000001</v>
      </c>
      <c r="AJ3512" s="2">
        <f t="shared" si="427"/>
        <v>0</v>
      </c>
      <c r="AK3512" s="2">
        <f t="shared" si="433"/>
        <v>160.19999999999999</v>
      </c>
      <c r="AL3512" s="5">
        <f t="shared" si="431"/>
        <v>0.6</v>
      </c>
    </row>
    <row r="3513" spans="1:38" x14ac:dyDescent="0.2">
      <c r="A3513" s="2">
        <v>2026</v>
      </c>
      <c r="B3513" s="2">
        <v>1</v>
      </c>
      <c r="D3513" s="2" t="s">
        <v>2772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0"/>
        <v>0.5</v>
      </c>
      <c r="Z3513" s="2" t="s">
        <v>118</v>
      </c>
      <c r="AA3513" s="2" t="s">
        <v>191</v>
      </c>
      <c r="AF3513" s="2">
        <f t="shared" si="426"/>
        <v>0</v>
      </c>
      <c r="AG3513" s="2">
        <f t="shared" si="432"/>
        <v>37.5</v>
      </c>
      <c r="AJ3513" s="2">
        <f t="shared" si="427"/>
        <v>0</v>
      </c>
      <c r="AK3513" s="2">
        <f t="shared" si="433"/>
        <v>37.5</v>
      </c>
      <c r="AL3513" s="5">
        <f t="shared" si="431"/>
        <v>0.5</v>
      </c>
    </row>
    <row r="3514" spans="1:38" x14ac:dyDescent="0.2">
      <c r="A3514" s="2">
        <v>2026</v>
      </c>
      <c r="B3514" s="2">
        <v>4</v>
      </c>
      <c r="D3514" s="2" t="s">
        <v>2773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0"/>
        <v>0.6</v>
      </c>
      <c r="Z3514" s="2" t="s">
        <v>118</v>
      </c>
      <c r="AA3514" s="2" t="s">
        <v>191</v>
      </c>
      <c r="AF3514" s="2">
        <f t="shared" si="426"/>
        <v>0</v>
      </c>
      <c r="AG3514" s="2">
        <f t="shared" si="432"/>
        <v>72</v>
      </c>
      <c r="AJ3514" s="2">
        <f t="shared" si="427"/>
        <v>0</v>
      </c>
      <c r="AK3514" s="2">
        <f t="shared" si="433"/>
        <v>108</v>
      </c>
      <c r="AL3514" s="5">
        <f t="shared" si="431"/>
        <v>0.6</v>
      </c>
    </row>
    <row r="3515" spans="1:38" x14ac:dyDescent="0.2">
      <c r="A3515" s="2">
        <v>2026</v>
      </c>
      <c r="B3515" s="2">
        <v>4</v>
      </c>
      <c r="D3515" s="2" t="s">
        <v>2773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0"/>
        <v>0.5</v>
      </c>
      <c r="Z3515" s="2" t="s">
        <v>118</v>
      </c>
      <c r="AA3515" s="2" t="s">
        <v>191</v>
      </c>
      <c r="AF3515" s="2">
        <f t="shared" si="426"/>
        <v>0</v>
      </c>
      <c r="AG3515" s="2">
        <f t="shared" si="432"/>
        <v>20.625</v>
      </c>
      <c r="AJ3515" s="2">
        <f t="shared" si="427"/>
        <v>0</v>
      </c>
      <c r="AK3515" s="2">
        <f t="shared" si="433"/>
        <v>20.625</v>
      </c>
      <c r="AL3515" s="5">
        <f t="shared" si="431"/>
        <v>0.5</v>
      </c>
    </row>
    <row r="3516" spans="1:38" x14ac:dyDescent="0.2">
      <c r="A3516" s="2">
        <v>2026</v>
      </c>
      <c r="B3516" s="2">
        <v>4</v>
      </c>
      <c r="D3516" s="2" t="s">
        <v>2774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0"/>
        <v>0.6</v>
      </c>
      <c r="Z3516" s="2" t="s">
        <v>118</v>
      </c>
      <c r="AA3516" s="2" t="s">
        <v>191</v>
      </c>
      <c r="AF3516" s="2">
        <f t="shared" si="426"/>
        <v>0</v>
      </c>
      <c r="AG3516" s="2">
        <f t="shared" si="432"/>
        <v>48</v>
      </c>
      <c r="AJ3516" s="2">
        <f t="shared" si="427"/>
        <v>0</v>
      </c>
      <c r="AK3516" s="2">
        <f t="shared" si="433"/>
        <v>72</v>
      </c>
      <c r="AL3516" s="5">
        <f t="shared" si="431"/>
        <v>0.6</v>
      </c>
    </row>
    <row r="3517" spans="1:38" x14ac:dyDescent="0.2">
      <c r="A3517" s="2">
        <v>2026</v>
      </c>
      <c r="B3517" s="2">
        <v>4</v>
      </c>
      <c r="D3517" s="2" t="s">
        <v>2774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0"/>
        <v>0.5</v>
      </c>
      <c r="Z3517" s="2" t="s">
        <v>118</v>
      </c>
      <c r="AA3517" s="2" t="s">
        <v>191</v>
      </c>
      <c r="AF3517" s="2">
        <f t="shared" si="426"/>
        <v>0</v>
      </c>
      <c r="AG3517" s="2">
        <f t="shared" si="432"/>
        <v>27.5</v>
      </c>
      <c r="AJ3517" s="2">
        <f t="shared" si="427"/>
        <v>0</v>
      </c>
      <c r="AK3517" s="2">
        <f t="shared" si="433"/>
        <v>27.5</v>
      </c>
      <c r="AL3517" s="5">
        <f t="shared" si="431"/>
        <v>0.5</v>
      </c>
    </row>
    <row r="3518" spans="1:38" x14ac:dyDescent="0.2">
      <c r="A3518" s="2">
        <v>2026</v>
      </c>
      <c r="B3518" s="2">
        <v>1</v>
      </c>
      <c r="D3518" s="2" t="s">
        <v>1401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3227</v>
      </c>
      <c r="J3518" s="2" t="s">
        <v>3226</v>
      </c>
      <c r="K3518" s="2">
        <v>913814877</v>
      </c>
      <c r="L3518" s="2" t="s">
        <v>202</v>
      </c>
      <c r="M3518" s="2" t="s">
        <v>40</v>
      </c>
      <c r="O3518" s="2" t="s">
        <v>3222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0"/>
        <v>0.6</v>
      </c>
      <c r="Z3518" s="2" t="s">
        <v>118</v>
      </c>
      <c r="AA3518" s="2" t="s">
        <v>191</v>
      </c>
      <c r="AF3518" s="2">
        <f t="shared" si="426"/>
        <v>0</v>
      </c>
      <c r="AG3518" s="2">
        <f t="shared" si="432"/>
        <v>22</v>
      </c>
      <c r="AJ3518" s="2">
        <f t="shared" si="427"/>
        <v>0</v>
      </c>
      <c r="AK3518" s="2">
        <f t="shared" si="433"/>
        <v>33</v>
      </c>
      <c r="AL3518" s="5">
        <f t="shared" si="431"/>
        <v>0.6</v>
      </c>
    </row>
    <row r="3519" spans="1:38" x14ac:dyDescent="0.2">
      <c r="A3519" s="2">
        <v>2026</v>
      </c>
      <c r="B3519" s="2">
        <v>1</v>
      </c>
      <c r="D3519" s="2" t="s">
        <v>1401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3227</v>
      </c>
      <c r="J3519" s="2" t="s">
        <v>3226</v>
      </c>
      <c r="K3519" s="2">
        <v>913814877</v>
      </c>
      <c r="L3519" s="2" t="s">
        <v>202</v>
      </c>
      <c r="M3519" s="2" t="s">
        <v>40</v>
      </c>
      <c r="O3519" s="2" t="s">
        <v>3222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0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32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2775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2776</v>
      </c>
      <c r="L3520" s="2" t="s">
        <v>134</v>
      </c>
      <c r="M3520" s="2" t="s">
        <v>81</v>
      </c>
      <c r="O3520" s="2" t="s">
        <v>2777</v>
      </c>
      <c r="P3520" s="2" t="s">
        <v>1041</v>
      </c>
      <c r="Q3520" s="2" t="s">
        <v>1272</v>
      </c>
      <c r="R3520" s="2" t="s">
        <v>1273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0"/>
        <v>0.40327485380116956</v>
      </c>
      <c r="Z3520" s="2" t="s">
        <v>3237</v>
      </c>
      <c r="AA3520" s="2" t="s">
        <v>1044</v>
      </c>
      <c r="AB3520" s="2" t="s">
        <v>1274</v>
      </c>
      <c r="AC3520" s="2" t="s">
        <v>1041</v>
      </c>
      <c r="AF3520" s="2">
        <f t="shared" si="426"/>
        <v>0</v>
      </c>
      <c r="AJ3520" s="2">
        <f t="shared" si="427"/>
        <v>0</v>
      </c>
      <c r="AK3520" s="2">
        <f t="shared" si="433"/>
        <v>275.83999999999997</v>
      </c>
      <c r="AL3520" s="5">
        <f t="shared" si="431"/>
        <v>0.40327485380116956</v>
      </c>
    </row>
    <row r="3521" spans="1:38" x14ac:dyDescent="0.2">
      <c r="A3521" s="2">
        <v>2026</v>
      </c>
      <c r="B3521" s="2">
        <v>4</v>
      </c>
      <c r="D3521" s="2" t="s">
        <v>1052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1053</v>
      </c>
      <c r="J3521" s="2" t="s">
        <v>1054</v>
      </c>
      <c r="L3521" s="2" t="s">
        <v>340</v>
      </c>
      <c r="M3521" s="2" t="s">
        <v>40</v>
      </c>
      <c r="O3521" s="2" t="s">
        <v>2778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0"/>
        <v>0.6</v>
      </c>
      <c r="Z3521" s="2" t="s">
        <v>118</v>
      </c>
      <c r="AA3521" s="2" t="s">
        <v>191</v>
      </c>
      <c r="AF3521" s="2">
        <f t="shared" si="426"/>
        <v>0</v>
      </c>
      <c r="AG3521" s="2">
        <f t="shared" ref="AG3521:AG3532" si="434">W3521</f>
        <v>24</v>
      </c>
      <c r="AJ3521" s="2">
        <f t="shared" si="427"/>
        <v>0</v>
      </c>
      <c r="AK3521" s="2">
        <f t="shared" si="433"/>
        <v>36</v>
      </c>
      <c r="AL3521" s="5">
        <f t="shared" si="431"/>
        <v>0.6</v>
      </c>
    </row>
    <row r="3522" spans="1:38" x14ac:dyDescent="0.2">
      <c r="A3522" s="2">
        <v>2026</v>
      </c>
      <c r="B3522" s="2">
        <v>4</v>
      </c>
      <c r="D3522" s="2" t="s">
        <v>1052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1053</v>
      </c>
      <c r="J3522" s="2" t="s">
        <v>1054</v>
      </c>
      <c r="L3522" s="2" t="s">
        <v>340</v>
      </c>
      <c r="M3522" s="2" t="s">
        <v>40</v>
      </c>
      <c r="O3522" s="2" t="s">
        <v>2778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5">T3522*50%</f>
        <v>55</v>
      </c>
      <c r="X3522" s="5">
        <f t="shared" si="430"/>
        <v>0.5</v>
      </c>
      <c r="Z3522" s="2" t="s">
        <v>118</v>
      </c>
      <c r="AA3522" s="2" t="s">
        <v>191</v>
      </c>
      <c r="AF3522" s="2">
        <f t="shared" si="426"/>
        <v>0</v>
      </c>
      <c r="AG3522" s="2">
        <f t="shared" si="434"/>
        <v>55</v>
      </c>
      <c r="AJ3522" s="2">
        <f t="shared" si="427"/>
        <v>0</v>
      </c>
      <c r="AK3522" s="2">
        <f t="shared" si="433"/>
        <v>55</v>
      </c>
      <c r="AL3522" s="5">
        <f t="shared" si="431"/>
        <v>0.5</v>
      </c>
    </row>
    <row r="3523" spans="1:38" x14ac:dyDescent="0.2">
      <c r="A3523" s="2">
        <v>2026</v>
      </c>
      <c r="B3523" s="2">
        <v>3</v>
      </c>
      <c r="C3523" s="2" t="s">
        <v>3331</v>
      </c>
      <c r="D3523" s="2" t="s">
        <v>2158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5"/>
        <v>25</v>
      </c>
      <c r="X3523" s="5">
        <f t="shared" si="430"/>
        <v>0.5</v>
      </c>
      <c r="Z3523" s="2" t="s">
        <v>118</v>
      </c>
      <c r="AA3523" s="2" t="s">
        <v>191</v>
      </c>
      <c r="AF3523" s="2">
        <f t="shared" ref="AF3523:AF3586" si="436">AJ3523</f>
        <v>0</v>
      </c>
      <c r="AG3523" s="2">
        <f t="shared" si="434"/>
        <v>25</v>
      </c>
      <c r="AJ3523" s="2">
        <f t="shared" ref="AJ3523:AJ3586" si="437">AI3523*T3523</f>
        <v>0</v>
      </c>
      <c r="AK3523" s="2">
        <f t="shared" si="433"/>
        <v>25</v>
      </c>
      <c r="AL3523" s="5">
        <f t="shared" si="431"/>
        <v>0.5</v>
      </c>
    </row>
    <row r="3524" spans="1:38" x14ac:dyDescent="0.2">
      <c r="A3524" s="2">
        <v>2026</v>
      </c>
      <c r="B3524" s="2">
        <v>4</v>
      </c>
      <c r="D3524" s="2" t="s">
        <v>2779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8">(T3524-W3524)/T3524</f>
        <v>0.6</v>
      </c>
      <c r="Z3524" s="2" t="s">
        <v>118</v>
      </c>
      <c r="AA3524" s="2" t="s">
        <v>191</v>
      </c>
      <c r="AF3524" s="2">
        <f t="shared" si="436"/>
        <v>0</v>
      </c>
      <c r="AG3524" s="2">
        <f t="shared" si="434"/>
        <v>149.6</v>
      </c>
      <c r="AJ3524" s="2">
        <f t="shared" si="437"/>
        <v>0</v>
      </c>
      <c r="AK3524" s="2">
        <f t="shared" si="433"/>
        <v>224.4</v>
      </c>
      <c r="AL3524" s="5">
        <f t="shared" si="431"/>
        <v>0.6</v>
      </c>
    </row>
    <row r="3525" spans="1:38" x14ac:dyDescent="0.2">
      <c r="A3525" s="2">
        <v>2026</v>
      </c>
      <c r="B3525" s="2">
        <v>4</v>
      </c>
      <c r="D3525" s="2" t="s">
        <v>2779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8"/>
        <v>0.5</v>
      </c>
      <c r="Z3525" s="2" t="s">
        <v>118</v>
      </c>
      <c r="AA3525" s="2" t="s">
        <v>191</v>
      </c>
      <c r="AF3525" s="2">
        <f t="shared" si="436"/>
        <v>0</v>
      </c>
      <c r="AG3525" s="2">
        <f t="shared" si="434"/>
        <v>110</v>
      </c>
      <c r="AJ3525" s="2">
        <f t="shared" si="437"/>
        <v>0</v>
      </c>
      <c r="AK3525" s="2">
        <f t="shared" si="433"/>
        <v>110</v>
      </c>
      <c r="AL3525" s="5">
        <f t="shared" si="431"/>
        <v>0.5</v>
      </c>
    </row>
    <row r="3526" spans="1:38" x14ac:dyDescent="0.2">
      <c r="A3526" s="2">
        <v>2026</v>
      </c>
      <c r="B3526" s="2">
        <v>1</v>
      </c>
      <c r="D3526" s="2" t="s">
        <v>1589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8"/>
        <v>0.6</v>
      </c>
      <c r="Z3526" s="2" t="s">
        <v>118</v>
      </c>
      <c r="AA3526" s="2" t="s">
        <v>191</v>
      </c>
      <c r="AF3526" s="2">
        <f t="shared" si="436"/>
        <v>0</v>
      </c>
      <c r="AG3526" s="2">
        <f t="shared" si="434"/>
        <v>20</v>
      </c>
      <c r="AJ3526" s="2">
        <f t="shared" si="437"/>
        <v>0</v>
      </c>
      <c r="AK3526" s="2">
        <f t="shared" si="433"/>
        <v>30</v>
      </c>
      <c r="AL3526" s="5">
        <f t="shared" si="431"/>
        <v>0.6</v>
      </c>
    </row>
    <row r="3527" spans="1:38" x14ac:dyDescent="0.2">
      <c r="A3527" s="2">
        <v>2026</v>
      </c>
      <c r="B3527" s="2">
        <v>1</v>
      </c>
      <c r="D3527" s="2" t="s">
        <v>1589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8"/>
        <v>0.5</v>
      </c>
      <c r="Z3527" s="2" t="s">
        <v>118</v>
      </c>
      <c r="AA3527" s="2" t="s">
        <v>191</v>
      </c>
      <c r="AF3527" s="2">
        <f t="shared" si="436"/>
        <v>0</v>
      </c>
      <c r="AG3527" s="2">
        <f t="shared" si="434"/>
        <v>31.25</v>
      </c>
      <c r="AJ3527" s="2">
        <f t="shared" si="437"/>
        <v>0</v>
      </c>
      <c r="AK3527" s="2">
        <f t="shared" si="433"/>
        <v>31.25</v>
      </c>
      <c r="AL3527" s="5">
        <f t="shared" si="431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8"/>
        <v>0.6</v>
      </c>
      <c r="Z3528" s="2" t="s">
        <v>118</v>
      </c>
      <c r="AA3528" s="2" t="s">
        <v>191</v>
      </c>
      <c r="AF3528" s="2">
        <f t="shared" si="436"/>
        <v>0</v>
      </c>
      <c r="AG3528" s="2">
        <f t="shared" si="434"/>
        <v>20</v>
      </c>
      <c r="AJ3528" s="2">
        <f t="shared" si="437"/>
        <v>0</v>
      </c>
      <c r="AK3528" s="2">
        <f t="shared" si="433"/>
        <v>30</v>
      </c>
      <c r="AL3528" s="5">
        <f t="shared" si="431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8"/>
        <v>0.5</v>
      </c>
      <c r="Z3529" s="2" t="s">
        <v>118</v>
      </c>
      <c r="AA3529" s="2" t="s">
        <v>191</v>
      </c>
      <c r="AF3529" s="2">
        <f t="shared" si="436"/>
        <v>0</v>
      </c>
      <c r="AG3529" s="2">
        <f t="shared" si="434"/>
        <v>75</v>
      </c>
      <c r="AJ3529" s="2">
        <f t="shared" si="437"/>
        <v>0</v>
      </c>
      <c r="AK3529" s="2">
        <f t="shared" si="433"/>
        <v>75</v>
      </c>
      <c r="AL3529" s="5">
        <f t="shared" si="431"/>
        <v>0.5</v>
      </c>
    </row>
    <row r="3530" spans="1:38" x14ac:dyDescent="0.2">
      <c r="A3530" s="2">
        <v>2026</v>
      </c>
      <c r="B3530" s="2">
        <v>2</v>
      </c>
      <c r="D3530" s="2" t="s">
        <v>2161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8"/>
        <v>0.6</v>
      </c>
      <c r="Z3530" s="2" t="s">
        <v>118</v>
      </c>
      <c r="AA3530" s="2" t="s">
        <v>191</v>
      </c>
      <c r="AF3530" s="2">
        <f t="shared" si="436"/>
        <v>0</v>
      </c>
      <c r="AG3530" s="2">
        <f t="shared" si="434"/>
        <v>96</v>
      </c>
      <c r="AJ3530" s="2">
        <f t="shared" si="437"/>
        <v>0</v>
      </c>
      <c r="AK3530" s="2">
        <f t="shared" si="433"/>
        <v>144</v>
      </c>
      <c r="AL3530" s="5">
        <f t="shared" si="431"/>
        <v>0.6</v>
      </c>
    </row>
    <row r="3531" spans="1:38" x14ac:dyDescent="0.2">
      <c r="A3531" s="2">
        <v>2026</v>
      </c>
      <c r="B3531" s="2">
        <v>2</v>
      </c>
      <c r="D3531" s="2" t="s">
        <v>2161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8"/>
        <v>0.5</v>
      </c>
      <c r="Z3531" s="2" t="s">
        <v>118</v>
      </c>
      <c r="AA3531" s="2" t="s">
        <v>191</v>
      </c>
      <c r="AF3531" s="2">
        <f t="shared" si="436"/>
        <v>0</v>
      </c>
      <c r="AG3531" s="2">
        <f t="shared" si="434"/>
        <v>200</v>
      </c>
      <c r="AJ3531" s="2">
        <f t="shared" si="437"/>
        <v>0</v>
      </c>
      <c r="AK3531" s="2">
        <f t="shared" si="433"/>
        <v>200</v>
      </c>
      <c r="AL3531" s="5">
        <f t="shared" si="431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8"/>
        <v>0.6</v>
      </c>
      <c r="Z3532" s="2" t="s">
        <v>118</v>
      </c>
      <c r="AA3532" s="2" t="s">
        <v>191</v>
      </c>
      <c r="AF3532" s="2">
        <f t="shared" si="436"/>
        <v>0</v>
      </c>
      <c r="AG3532" s="2">
        <f t="shared" si="434"/>
        <v>44</v>
      </c>
      <c r="AJ3532" s="2">
        <f t="shared" si="437"/>
        <v>0</v>
      </c>
      <c r="AK3532" s="2">
        <f t="shared" si="433"/>
        <v>66</v>
      </c>
      <c r="AL3532" s="5">
        <f t="shared" si="431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8"/>
        <v>1</v>
      </c>
      <c r="Z3533" s="2" t="s">
        <v>170</v>
      </c>
      <c r="AA3533" s="2" t="s">
        <v>170</v>
      </c>
      <c r="AF3533" s="2">
        <f t="shared" si="436"/>
        <v>0</v>
      </c>
      <c r="AJ3533" s="2">
        <f t="shared" si="437"/>
        <v>0</v>
      </c>
      <c r="AK3533" s="2">
        <f t="shared" si="433"/>
        <v>39.39</v>
      </c>
      <c r="AL3533" s="5">
        <f t="shared" si="431"/>
        <v>1</v>
      </c>
    </row>
    <row r="3534" spans="1:38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2749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8"/>
        <v>0.23333333333333334</v>
      </c>
      <c r="Z3534" s="2" t="s">
        <v>170</v>
      </c>
      <c r="AA3534" s="2" t="s">
        <v>170</v>
      </c>
      <c r="AF3534" s="2">
        <f t="shared" si="436"/>
        <v>0</v>
      </c>
      <c r="AG3534" s="2">
        <v>23</v>
      </c>
      <c r="AJ3534" s="2">
        <f t="shared" si="437"/>
        <v>0</v>
      </c>
      <c r="AK3534" s="2">
        <f t="shared" si="433"/>
        <v>7</v>
      </c>
      <c r="AL3534" s="5">
        <f t="shared" si="431"/>
        <v>0.23333333333333334</v>
      </c>
    </row>
    <row r="3535" spans="1:38" x14ac:dyDescent="0.2">
      <c r="A3535" s="2">
        <v>2026</v>
      </c>
      <c r="B3535" s="2">
        <v>3</v>
      </c>
      <c r="D3535" s="2" t="s">
        <v>2565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8"/>
        <v>1</v>
      </c>
      <c r="Z3535" s="2" t="s">
        <v>170</v>
      </c>
      <c r="AA3535" s="2" t="s">
        <v>170</v>
      </c>
      <c r="AF3535" s="2">
        <f t="shared" si="436"/>
        <v>0</v>
      </c>
      <c r="AJ3535" s="2">
        <f t="shared" si="437"/>
        <v>0</v>
      </c>
      <c r="AK3535" s="2">
        <f t="shared" si="433"/>
        <v>15</v>
      </c>
      <c r="AL3535" s="5">
        <f t="shared" si="431"/>
        <v>1</v>
      </c>
    </row>
    <row r="3536" spans="1:38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2678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8"/>
        <v>1</v>
      </c>
      <c r="Z3536" s="2" t="s">
        <v>170</v>
      </c>
      <c r="AA3536" s="2" t="s">
        <v>170</v>
      </c>
      <c r="AF3536" s="2">
        <f t="shared" si="436"/>
        <v>0</v>
      </c>
      <c r="AJ3536" s="2">
        <f t="shared" si="437"/>
        <v>0</v>
      </c>
      <c r="AK3536" s="2">
        <f t="shared" si="433"/>
        <v>5</v>
      </c>
      <c r="AL3536" s="5">
        <f t="shared" si="431"/>
        <v>1</v>
      </c>
    </row>
    <row r="3537" spans="1:38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2621</v>
      </c>
      <c r="P3537" s="2" t="s">
        <v>85</v>
      </c>
      <c r="Q3537" s="2" t="s">
        <v>1214</v>
      </c>
      <c r="R3537" s="2" t="s">
        <v>1215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8"/>
        <v>1</v>
      </c>
      <c r="Z3537" s="2" t="s">
        <v>3237</v>
      </c>
      <c r="AA3537" s="2" t="s">
        <v>88</v>
      </c>
      <c r="AB3537" s="2" t="s">
        <v>91</v>
      </c>
      <c r="AC3537" s="2" t="s">
        <v>85</v>
      </c>
      <c r="AF3537" s="2">
        <f t="shared" si="436"/>
        <v>0</v>
      </c>
      <c r="AJ3537" s="2">
        <f t="shared" si="437"/>
        <v>0</v>
      </c>
      <c r="AK3537" s="2">
        <f t="shared" si="433"/>
        <v>15.4</v>
      </c>
      <c r="AL3537" s="5">
        <f t="shared" si="431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8"/>
        <v>1</v>
      </c>
      <c r="Z3538" s="2" t="s">
        <v>170</v>
      </c>
      <c r="AA3538" s="2" t="s">
        <v>170</v>
      </c>
      <c r="AF3538" s="2">
        <f t="shared" si="436"/>
        <v>0</v>
      </c>
      <c r="AJ3538" s="2">
        <f t="shared" si="437"/>
        <v>0</v>
      </c>
      <c r="AK3538" s="2">
        <f t="shared" si="433"/>
        <v>5</v>
      </c>
      <c r="AL3538" s="5">
        <f t="shared" si="431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6"/>
        <v>0</v>
      </c>
      <c r="AJ3539" s="2">
        <f t="shared" si="437"/>
        <v>0</v>
      </c>
    </row>
    <row r="3540" spans="1:38" x14ac:dyDescent="0.2">
      <c r="A3540" s="2">
        <v>2026</v>
      </c>
      <c r="B3540" s="2">
        <v>3</v>
      </c>
      <c r="D3540" s="2" t="s">
        <v>1667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6"/>
        <v>0</v>
      </c>
      <c r="AJ3540" s="2">
        <f t="shared" si="437"/>
        <v>0</v>
      </c>
    </row>
    <row r="3541" spans="1:38" x14ac:dyDescent="0.2">
      <c r="A3541" s="2">
        <v>2026</v>
      </c>
      <c r="B3541" s="2">
        <v>3</v>
      </c>
      <c r="D3541" s="2" t="s">
        <v>1359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1360</v>
      </c>
      <c r="L3541" s="2" t="s">
        <v>419</v>
      </c>
      <c r="M3541" s="2" t="s">
        <v>40</v>
      </c>
      <c r="P3541" s="2" t="s">
        <v>188</v>
      </c>
      <c r="Q3541" s="2" t="s">
        <v>1312</v>
      </c>
      <c r="R3541" s="2" t="s">
        <v>1313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9">(T3541-W3541)/T3541</f>
        <v>1</v>
      </c>
      <c r="Z3541" s="2" t="s">
        <v>118</v>
      </c>
      <c r="AA3541" s="2" t="s">
        <v>1314</v>
      </c>
      <c r="AF3541" s="2">
        <f t="shared" si="436"/>
        <v>0</v>
      </c>
      <c r="AJ3541" s="2">
        <f t="shared" si="437"/>
        <v>0</v>
      </c>
      <c r="AK3541" s="2">
        <f t="shared" si="433"/>
        <v>111</v>
      </c>
      <c r="AL3541" s="5">
        <f t="shared" si="431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2780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9"/>
        <v>2.000401846171453E-16</v>
      </c>
      <c r="Z3542" s="2" t="s">
        <v>3237</v>
      </c>
      <c r="AA3542" s="2" t="s">
        <v>97</v>
      </c>
      <c r="AB3542" s="2" t="s">
        <v>77</v>
      </c>
      <c r="AC3542" s="2" t="s">
        <v>94</v>
      </c>
      <c r="AF3542" s="2">
        <f t="shared" si="436"/>
        <v>0</v>
      </c>
      <c r="AJ3542" s="2">
        <f t="shared" si="437"/>
        <v>0</v>
      </c>
      <c r="AK3542" s="2">
        <f t="shared" si="433"/>
        <v>0</v>
      </c>
      <c r="AL3542" s="5">
        <f t="shared" si="431"/>
        <v>2.000401846171453E-16</v>
      </c>
    </row>
    <row r="3543" spans="1:38" x14ac:dyDescent="0.2">
      <c r="A3543" s="2">
        <v>2026</v>
      </c>
      <c r="B3543" s="2">
        <v>3</v>
      </c>
      <c r="D3543" s="2" t="s">
        <v>2735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9"/>
        <v>0</v>
      </c>
      <c r="Z3543" s="2" t="s">
        <v>3237</v>
      </c>
      <c r="AA3543" s="2" t="s">
        <v>97</v>
      </c>
      <c r="AB3543" s="2" t="s">
        <v>77</v>
      </c>
      <c r="AC3543" s="2" t="s">
        <v>94</v>
      </c>
      <c r="AF3543" s="2">
        <f t="shared" si="436"/>
        <v>0</v>
      </c>
      <c r="AJ3543" s="2">
        <f t="shared" si="437"/>
        <v>0</v>
      </c>
      <c r="AK3543" s="2">
        <f t="shared" si="433"/>
        <v>0</v>
      </c>
      <c r="AL3543" s="5">
        <f t="shared" si="431"/>
        <v>0</v>
      </c>
    </row>
    <row r="3544" spans="1:38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2749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9"/>
        <v>0</v>
      </c>
      <c r="Z3544" s="2" t="s">
        <v>3237</v>
      </c>
      <c r="AA3544" s="2" t="s">
        <v>97</v>
      </c>
      <c r="AB3544" s="2" t="s">
        <v>77</v>
      </c>
      <c r="AC3544" s="2" t="s">
        <v>94</v>
      </c>
      <c r="AF3544" s="2">
        <f t="shared" si="436"/>
        <v>0</v>
      </c>
      <c r="AG3544" s="2">
        <v>1.48</v>
      </c>
      <c r="AH3544" s="2">
        <v>1.48</v>
      </c>
      <c r="AJ3544" s="2">
        <f t="shared" si="437"/>
        <v>0</v>
      </c>
      <c r="AK3544" s="2">
        <f t="shared" si="433"/>
        <v>0</v>
      </c>
      <c r="AL3544" s="5">
        <f t="shared" si="431"/>
        <v>0</v>
      </c>
    </row>
    <row r="3545" spans="1:38" x14ac:dyDescent="0.2">
      <c r="A3545" s="2">
        <v>2026</v>
      </c>
      <c r="B3545" s="2">
        <v>3</v>
      </c>
      <c r="D3545" s="2" t="s">
        <v>2731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9"/>
        <v>0</v>
      </c>
      <c r="Z3545" s="2" t="s">
        <v>3237</v>
      </c>
      <c r="AA3545" s="2" t="s">
        <v>97</v>
      </c>
      <c r="AB3545" s="2" t="s">
        <v>77</v>
      </c>
      <c r="AC3545" s="2" t="s">
        <v>94</v>
      </c>
      <c r="AF3545" s="2">
        <f t="shared" si="436"/>
        <v>0</v>
      </c>
      <c r="AJ3545" s="2">
        <f t="shared" si="437"/>
        <v>0</v>
      </c>
      <c r="AK3545" s="2">
        <f t="shared" si="433"/>
        <v>0</v>
      </c>
      <c r="AL3545" s="5">
        <f t="shared" si="431"/>
        <v>0</v>
      </c>
    </row>
    <row r="3546" spans="1:38" x14ac:dyDescent="0.2">
      <c r="A3546" s="2">
        <v>2026</v>
      </c>
      <c r="B3546" s="2">
        <v>3</v>
      </c>
      <c r="D3546" s="2" t="s">
        <v>1153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2486</v>
      </c>
      <c r="J3546" s="2" t="s">
        <v>1477</v>
      </c>
      <c r="K3546" s="2">
        <v>938183284</v>
      </c>
      <c r="L3546" s="2" t="s">
        <v>134</v>
      </c>
      <c r="M3546" s="2" t="s">
        <v>110</v>
      </c>
      <c r="O3546" s="2" t="s">
        <v>2742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9"/>
        <v>0</v>
      </c>
      <c r="Z3546" s="2" t="s">
        <v>3237</v>
      </c>
      <c r="AA3546" s="2" t="s">
        <v>97</v>
      </c>
      <c r="AB3546" s="2" t="s">
        <v>77</v>
      </c>
      <c r="AC3546" s="2" t="s">
        <v>94</v>
      </c>
      <c r="AF3546" s="2">
        <f t="shared" si="436"/>
        <v>0</v>
      </c>
      <c r="AJ3546" s="2">
        <f t="shared" si="437"/>
        <v>0</v>
      </c>
      <c r="AK3546" s="2">
        <f t="shared" si="433"/>
        <v>0</v>
      </c>
      <c r="AL3546" s="5">
        <f t="shared" si="431"/>
        <v>0</v>
      </c>
    </row>
    <row r="3547" spans="1:38" x14ac:dyDescent="0.2">
      <c r="A3547" s="2">
        <v>2026</v>
      </c>
      <c r="B3547" s="2">
        <v>3</v>
      </c>
      <c r="C3547" s="2" t="s">
        <v>3331</v>
      </c>
      <c r="D3547" s="2" t="s">
        <v>1165</v>
      </c>
      <c r="E3547" s="2" t="s">
        <v>754</v>
      </c>
      <c r="G3547" s="2">
        <v>508199280</v>
      </c>
      <c r="H3547" s="2" t="s">
        <v>40</v>
      </c>
      <c r="I3547" s="2" t="s">
        <v>1166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3237</v>
      </c>
      <c r="AA3547" s="2" t="s">
        <v>97</v>
      </c>
      <c r="AB3547" s="2" t="s">
        <v>77</v>
      </c>
      <c r="AC3547" s="2" t="s">
        <v>94</v>
      </c>
      <c r="AF3547" s="2">
        <f t="shared" si="436"/>
        <v>0</v>
      </c>
      <c r="AJ3547" s="2">
        <f t="shared" si="437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0">(T3548-W3548)/T3548</f>
        <v>0</v>
      </c>
      <c r="Z3548" s="2" t="s">
        <v>3237</v>
      </c>
      <c r="AA3548" s="2" t="s">
        <v>97</v>
      </c>
      <c r="AB3548" s="2" t="s">
        <v>77</v>
      </c>
      <c r="AC3548" s="2" t="s">
        <v>94</v>
      </c>
      <c r="AF3548" s="2">
        <f t="shared" si="436"/>
        <v>0</v>
      </c>
      <c r="AJ3548" s="2">
        <f t="shared" si="437"/>
        <v>0</v>
      </c>
      <c r="AK3548" s="2">
        <f t="shared" si="433"/>
        <v>0</v>
      </c>
      <c r="AL3548" s="5">
        <f t="shared" si="431"/>
        <v>0</v>
      </c>
    </row>
    <row r="3549" spans="1:38" x14ac:dyDescent="0.2">
      <c r="A3549" s="2">
        <v>2026</v>
      </c>
      <c r="B3549" s="2">
        <v>3</v>
      </c>
      <c r="D3549" s="2" t="s">
        <v>2737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0"/>
        <v>0</v>
      </c>
      <c r="Z3549" s="2" t="s">
        <v>3237</v>
      </c>
      <c r="AA3549" s="2" t="s">
        <v>97</v>
      </c>
      <c r="AB3549" s="2" t="s">
        <v>77</v>
      </c>
      <c r="AC3549" s="2" t="s">
        <v>94</v>
      </c>
      <c r="AF3549" s="2">
        <f t="shared" si="436"/>
        <v>0</v>
      </c>
      <c r="AJ3549" s="2">
        <f t="shared" si="437"/>
        <v>0</v>
      </c>
      <c r="AK3549" s="2">
        <f t="shared" si="433"/>
        <v>0</v>
      </c>
      <c r="AL3549" s="5">
        <f t="shared" si="431"/>
        <v>0</v>
      </c>
    </row>
    <row r="3550" spans="1:38" x14ac:dyDescent="0.2">
      <c r="A3550" s="2">
        <v>2026</v>
      </c>
      <c r="B3550" s="2">
        <v>3</v>
      </c>
      <c r="D3550" s="2" t="s">
        <v>2565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0"/>
        <v>0</v>
      </c>
      <c r="Z3550" s="2" t="s">
        <v>3237</v>
      </c>
      <c r="AA3550" s="2" t="s">
        <v>97</v>
      </c>
      <c r="AB3550" s="2" t="s">
        <v>77</v>
      </c>
      <c r="AC3550" s="2" t="s">
        <v>94</v>
      </c>
      <c r="AF3550" s="2">
        <f t="shared" si="436"/>
        <v>0</v>
      </c>
      <c r="AJ3550" s="2">
        <f t="shared" si="437"/>
        <v>0</v>
      </c>
      <c r="AK3550" s="2">
        <f t="shared" si="433"/>
        <v>0</v>
      </c>
      <c r="AL3550" s="5">
        <f t="shared" si="431"/>
        <v>0</v>
      </c>
    </row>
    <row r="3551" spans="1:38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0"/>
        <v>0</v>
      </c>
      <c r="Z3551" s="2" t="s">
        <v>3237</v>
      </c>
      <c r="AA3551" s="2" t="s">
        <v>97</v>
      </c>
      <c r="AB3551" s="2" t="s">
        <v>77</v>
      </c>
      <c r="AC3551" s="2" t="s">
        <v>94</v>
      </c>
      <c r="AF3551" s="2">
        <f t="shared" si="436"/>
        <v>0</v>
      </c>
      <c r="AJ3551" s="2">
        <f t="shared" si="437"/>
        <v>0</v>
      </c>
      <c r="AK3551" s="2">
        <f t="shared" si="433"/>
        <v>0</v>
      </c>
      <c r="AL3551" s="5">
        <f t="shared" si="431"/>
        <v>0</v>
      </c>
    </row>
    <row r="3552" spans="1:38" x14ac:dyDescent="0.2">
      <c r="A3552" s="2">
        <v>2026</v>
      </c>
      <c r="B3552" s="2">
        <v>3</v>
      </c>
      <c r="D3552" s="2" t="s">
        <v>999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0"/>
        <v>0</v>
      </c>
      <c r="Z3552" s="2" t="s">
        <v>3237</v>
      </c>
      <c r="AA3552" s="2" t="s">
        <v>97</v>
      </c>
      <c r="AB3552" s="2" t="s">
        <v>77</v>
      </c>
      <c r="AC3552" s="2" t="s">
        <v>94</v>
      </c>
      <c r="AF3552" s="2">
        <f t="shared" si="436"/>
        <v>0</v>
      </c>
      <c r="AJ3552" s="2">
        <f t="shared" si="437"/>
        <v>0</v>
      </c>
      <c r="AK3552" s="2">
        <f t="shared" si="433"/>
        <v>0</v>
      </c>
      <c r="AL3552" s="5">
        <f t="shared" si="431"/>
        <v>0</v>
      </c>
    </row>
    <row r="3553" spans="1:38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0"/>
        <v>0</v>
      </c>
      <c r="Z3553" s="2" t="s">
        <v>3237</v>
      </c>
      <c r="AA3553" s="2" t="s">
        <v>97</v>
      </c>
      <c r="AB3553" s="2" t="s">
        <v>77</v>
      </c>
      <c r="AC3553" s="2" t="s">
        <v>94</v>
      </c>
      <c r="AF3553" s="2">
        <f t="shared" si="436"/>
        <v>0</v>
      </c>
      <c r="AJ3553" s="2">
        <f t="shared" si="437"/>
        <v>0</v>
      </c>
      <c r="AK3553" s="2">
        <f t="shared" si="433"/>
        <v>0</v>
      </c>
      <c r="AL3553" s="5">
        <f t="shared" si="431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2718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0"/>
        <v>0</v>
      </c>
      <c r="Z3554" s="2" t="s">
        <v>3237</v>
      </c>
      <c r="AA3554" s="2" t="s">
        <v>97</v>
      </c>
      <c r="AB3554" s="2" t="s">
        <v>77</v>
      </c>
      <c r="AC3554" s="2" t="s">
        <v>94</v>
      </c>
      <c r="AF3554" s="2">
        <f t="shared" si="436"/>
        <v>0</v>
      </c>
      <c r="AJ3554" s="2">
        <f t="shared" si="437"/>
        <v>0</v>
      </c>
      <c r="AK3554" s="2">
        <f t="shared" si="433"/>
        <v>0</v>
      </c>
      <c r="AL3554" s="5">
        <f t="shared" si="431"/>
        <v>0</v>
      </c>
    </row>
    <row r="3555" spans="1:38" x14ac:dyDescent="0.2">
      <c r="A3555" s="2">
        <v>2026</v>
      </c>
      <c r="B3555" s="2">
        <v>3</v>
      </c>
      <c r="D3555" s="2" t="s">
        <v>1560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1561</v>
      </c>
      <c r="J3555" s="2" t="s">
        <v>1562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0"/>
        <v>0</v>
      </c>
      <c r="Z3555" s="2" t="s">
        <v>3237</v>
      </c>
      <c r="AA3555" s="2" t="s">
        <v>97</v>
      </c>
      <c r="AB3555" s="2" t="s">
        <v>77</v>
      </c>
      <c r="AC3555" s="2" t="s">
        <v>94</v>
      </c>
      <c r="AF3555" s="2">
        <f t="shared" si="436"/>
        <v>0</v>
      </c>
      <c r="AJ3555" s="2">
        <f t="shared" si="437"/>
        <v>0</v>
      </c>
      <c r="AK3555" s="2">
        <f t="shared" si="433"/>
        <v>0</v>
      </c>
      <c r="AL3555" s="5">
        <f t="shared" si="431"/>
        <v>0</v>
      </c>
    </row>
    <row r="3556" spans="1:38" x14ac:dyDescent="0.2">
      <c r="A3556" s="2">
        <v>2026</v>
      </c>
      <c r="B3556" s="2">
        <v>3</v>
      </c>
      <c r="D3556" s="2" t="s">
        <v>2722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0"/>
        <v>0</v>
      </c>
      <c r="Z3556" s="2" t="s">
        <v>3237</v>
      </c>
      <c r="AA3556" s="2" t="s">
        <v>97</v>
      </c>
      <c r="AB3556" s="2" t="s">
        <v>77</v>
      </c>
      <c r="AC3556" s="2" t="s">
        <v>94</v>
      </c>
      <c r="AF3556" s="2">
        <f t="shared" si="436"/>
        <v>0</v>
      </c>
      <c r="AJ3556" s="2">
        <f t="shared" si="437"/>
        <v>0</v>
      </c>
      <c r="AK3556" s="2">
        <f t="shared" si="433"/>
        <v>0</v>
      </c>
      <c r="AL3556" s="5">
        <f t="shared" si="431"/>
        <v>0</v>
      </c>
    </row>
    <row r="3557" spans="1:38" x14ac:dyDescent="0.2">
      <c r="A3557" s="2">
        <v>2026</v>
      </c>
      <c r="B3557" s="2">
        <v>3</v>
      </c>
      <c r="D3557" s="2" t="s">
        <v>2151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0"/>
        <v>0</v>
      </c>
      <c r="Z3557" s="2" t="s">
        <v>3237</v>
      </c>
      <c r="AA3557" s="2" t="s">
        <v>97</v>
      </c>
      <c r="AB3557" s="2" t="s">
        <v>77</v>
      </c>
      <c r="AC3557" s="2" t="s">
        <v>94</v>
      </c>
      <c r="AF3557" s="2">
        <f t="shared" si="436"/>
        <v>0</v>
      </c>
      <c r="AJ3557" s="2">
        <f t="shared" si="437"/>
        <v>0</v>
      </c>
      <c r="AK3557" s="2">
        <f t="shared" si="433"/>
        <v>0</v>
      </c>
      <c r="AL3557" s="5">
        <f t="shared" si="431"/>
        <v>0</v>
      </c>
    </row>
    <row r="3558" spans="1:38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0"/>
        <v>0</v>
      </c>
      <c r="Z3558" s="2" t="s">
        <v>3237</v>
      </c>
      <c r="AA3558" s="2" t="s">
        <v>97</v>
      </c>
      <c r="AB3558" s="2" t="s">
        <v>77</v>
      </c>
      <c r="AC3558" s="2" t="s">
        <v>94</v>
      </c>
      <c r="AF3558" s="2">
        <f t="shared" si="436"/>
        <v>0</v>
      </c>
      <c r="AJ3558" s="2">
        <f t="shared" si="437"/>
        <v>0</v>
      </c>
      <c r="AK3558" s="2">
        <f t="shared" si="433"/>
        <v>0</v>
      </c>
      <c r="AL3558" s="5">
        <f t="shared" si="431"/>
        <v>0</v>
      </c>
    </row>
    <row r="3559" spans="1:38" x14ac:dyDescent="0.2">
      <c r="A3559" s="2">
        <v>2026</v>
      </c>
      <c r="B3559" s="2">
        <v>3</v>
      </c>
      <c r="D3559" s="2" t="s">
        <v>1259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0"/>
        <v>0</v>
      </c>
      <c r="Z3559" s="2" t="s">
        <v>3237</v>
      </c>
      <c r="AA3559" s="2" t="s">
        <v>97</v>
      </c>
      <c r="AB3559" s="2" t="s">
        <v>77</v>
      </c>
      <c r="AC3559" s="2" t="s">
        <v>94</v>
      </c>
      <c r="AF3559" s="2">
        <f t="shared" si="436"/>
        <v>0</v>
      </c>
      <c r="AJ3559" s="2">
        <f t="shared" si="437"/>
        <v>0</v>
      </c>
      <c r="AK3559" s="2">
        <f t="shared" si="433"/>
        <v>0</v>
      </c>
      <c r="AL3559" s="5">
        <f t="shared" si="431"/>
        <v>0</v>
      </c>
    </row>
    <row r="3560" spans="1:38" x14ac:dyDescent="0.2">
      <c r="A3560" s="2">
        <v>2026</v>
      </c>
      <c r="B3560" s="2">
        <v>3</v>
      </c>
      <c r="D3560" s="2" t="s">
        <v>1260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0"/>
        <v>0</v>
      </c>
      <c r="Z3560" s="2" t="s">
        <v>3237</v>
      </c>
      <c r="AA3560" s="2" t="s">
        <v>97</v>
      </c>
      <c r="AB3560" s="2" t="s">
        <v>77</v>
      </c>
      <c r="AC3560" s="2" t="s">
        <v>94</v>
      </c>
      <c r="AF3560" s="2">
        <f t="shared" si="436"/>
        <v>0</v>
      </c>
      <c r="AJ3560" s="2">
        <f t="shared" si="437"/>
        <v>0</v>
      </c>
      <c r="AK3560" s="2">
        <f t="shared" si="433"/>
        <v>0</v>
      </c>
      <c r="AL3560" s="5">
        <f t="shared" si="431"/>
        <v>0</v>
      </c>
    </row>
    <row r="3561" spans="1:38" x14ac:dyDescent="0.2">
      <c r="A3561" s="2">
        <v>2026</v>
      </c>
      <c r="B3561" s="2">
        <v>3</v>
      </c>
      <c r="D3561" s="2" t="s">
        <v>1056</v>
      </c>
      <c r="E3561" s="2" t="s">
        <v>184</v>
      </c>
      <c r="F3561" s="2" t="s">
        <v>1057</v>
      </c>
      <c r="G3561" s="2">
        <v>500199523</v>
      </c>
      <c r="H3561" s="2" t="s">
        <v>291</v>
      </c>
      <c r="I3561" s="2" t="s">
        <v>294</v>
      </c>
      <c r="J3561" s="2" t="s">
        <v>1058</v>
      </c>
      <c r="L3561" s="2" t="s">
        <v>294</v>
      </c>
      <c r="M3561" s="2" t="s">
        <v>81</v>
      </c>
      <c r="O3561" s="2" t="s">
        <v>2781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0"/>
        <v>0</v>
      </c>
      <c r="Z3561" s="2" t="s">
        <v>3237</v>
      </c>
      <c r="AA3561" s="2" t="s">
        <v>97</v>
      </c>
      <c r="AB3561" s="2" t="s">
        <v>77</v>
      </c>
      <c r="AC3561" s="2" t="s">
        <v>94</v>
      </c>
      <c r="AF3561" s="2">
        <f t="shared" si="436"/>
        <v>0</v>
      </c>
      <c r="AJ3561" s="2">
        <f t="shared" si="437"/>
        <v>0</v>
      </c>
      <c r="AK3561" s="2">
        <f t="shared" si="433"/>
        <v>0</v>
      </c>
      <c r="AL3561" s="5">
        <f t="shared" si="431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3143</v>
      </c>
      <c r="L3562" s="2" t="s">
        <v>178</v>
      </c>
      <c r="M3562" s="2" t="s">
        <v>41</v>
      </c>
      <c r="O3562" s="2" t="s">
        <v>2739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0"/>
        <v>0</v>
      </c>
      <c r="Z3562" s="2" t="s">
        <v>3237</v>
      </c>
      <c r="AA3562" s="2" t="s">
        <v>97</v>
      </c>
      <c r="AB3562" s="2" t="s">
        <v>77</v>
      </c>
      <c r="AC3562" s="2" t="s">
        <v>94</v>
      </c>
      <c r="AF3562" s="2">
        <f t="shared" si="436"/>
        <v>0</v>
      </c>
      <c r="AJ3562" s="2">
        <f t="shared" si="437"/>
        <v>0</v>
      </c>
      <c r="AK3562" s="2">
        <f t="shared" si="433"/>
        <v>0</v>
      </c>
      <c r="AL3562" s="5">
        <f t="shared" si="431"/>
        <v>0</v>
      </c>
    </row>
    <row r="3563" spans="1:38" x14ac:dyDescent="0.2">
      <c r="A3563" s="2">
        <v>2026</v>
      </c>
      <c r="B3563" s="2">
        <v>3</v>
      </c>
      <c r="D3563" s="2" t="s">
        <v>2733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0"/>
        <v>0</v>
      </c>
      <c r="Z3563" s="2" t="s">
        <v>3237</v>
      </c>
      <c r="AA3563" s="2" t="s">
        <v>97</v>
      </c>
      <c r="AB3563" s="2" t="s">
        <v>77</v>
      </c>
      <c r="AC3563" s="2" t="s">
        <v>94</v>
      </c>
      <c r="AF3563" s="2">
        <f t="shared" si="436"/>
        <v>0</v>
      </c>
      <c r="AJ3563" s="2">
        <f t="shared" si="437"/>
        <v>0</v>
      </c>
      <c r="AK3563" s="2">
        <f t="shared" si="433"/>
        <v>0</v>
      </c>
      <c r="AL3563" s="5">
        <f t="shared" si="431"/>
        <v>0</v>
      </c>
    </row>
    <row r="3564" spans="1:38" x14ac:dyDescent="0.2">
      <c r="A3564" s="2">
        <v>2026</v>
      </c>
      <c r="B3564" s="2">
        <v>3</v>
      </c>
      <c r="D3564" s="2" t="s">
        <v>1422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2419</v>
      </c>
      <c r="J3564" s="2" t="s">
        <v>2420</v>
      </c>
      <c r="L3564" s="2" t="s">
        <v>202</v>
      </c>
      <c r="M3564" s="2" t="s">
        <v>81</v>
      </c>
      <c r="O3564" s="2" t="s">
        <v>2726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0"/>
        <v>0</v>
      </c>
      <c r="Z3564" s="2" t="s">
        <v>3237</v>
      </c>
      <c r="AA3564" s="2" t="s">
        <v>97</v>
      </c>
      <c r="AB3564" s="2" t="s">
        <v>77</v>
      </c>
      <c r="AC3564" s="2" t="s">
        <v>94</v>
      </c>
      <c r="AF3564" s="2">
        <f t="shared" si="436"/>
        <v>0</v>
      </c>
      <c r="AJ3564" s="2">
        <f t="shared" si="437"/>
        <v>0</v>
      </c>
      <c r="AK3564" s="2">
        <f t="shared" si="433"/>
        <v>0</v>
      </c>
      <c r="AL3564" s="5">
        <f t="shared" si="431"/>
        <v>0</v>
      </c>
    </row>
    <row r="3565" spans="1:38" x14ac:dyDescent="0.2">
      <c r="A3565" s="2">
        <v>2026</v>
      </c>
      <c r="B3565" s="2">
        <v>3</v>
      </c>
      <c r="D3565" s="2" t="s">
        <v>1423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1276</v>
      </c>
      <c r="J3565" s="2" t="s">
        <v>2402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0"/>
        <v>0</v>
      </c>
      <c r="Z3565" s="2" t="s">
        <v>3237</v>
      </c>
      <c r="AA3565" s="2" t="s">
        <v>97</v>
      </c>
      <c r="AB3565" s="2" t="s">
        <v>77</v>
      </c>
      <c r="AC3565" s="2" t="s">
        <v>94</v>
      </c>
      <c r="AF3565" s="2">
        <f t="shared" si="436"/>
        <v>0</v>
      </c>
      <c r="AJ3565" s="2">
        <f t="shared" si="437"/>
        <v>0</v>
      </c>
      <c r="AK3565" s="2">
        <f t="shared" si="433"/>
        <v>0</v>
      </c>
      <c r="AL3565" s="5">
        <f t="shared" si="431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2716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0"/>
        <v>0</v>
      </c>
      <c r="Z3566" s="2" t="s">
        <v>3237</v>
      </c>
      <c r="AA3566" s="2" t="s">
        <v>97</v>
      </c>
      <c r="AB3566" s="2" t="s">
        <v>77</v>
      </c>
      <c r="AC3566" s="2" t="s">
        <v>94</v>
      </c>
      <c r="AF3566" s="2">
        <f t="shared" si="436"/>
        <v>0</v>
      </c>
      <c r="AG3566" s="2">
        <v>1.48</v>
      </c>
      <c r="AH3566" s="2">
        <v>1.48</v>
      </c>
      <c r="AJ3566" s="2">
        <f t="shared" si="437"/>
        <v>0</v>
      </c>
      <c r="AK3566" s="2">
        <f t="shared" si="433"/>
        <v>0</v>
      </c>
      <c r="AL3566" s="5">
        <f t="shared" si="431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0"/>
        <v>0</v>
      </c>
      <c r="Z3567" s="2" t="s">
        <v>3237</v>
      </c>
      <c r="AA3567" s="2" t="s">
        <v>97</v>
      </c>
      <c r="AB3567" s="2" t="s">
        <v>77</v>
      </c>
      <c r="AC3567" s="2" t="s">
        <v>94</v>
      </c>
      <c r="AF3567" s="2">
        <f t="shared" si="436"/>
        <v>0</v>
      </c>
      <c r="AJ3567" s="2">
        <f t="shared" si="437"/>
        <v>0</v>
      </c>
      <c r="AK3567" s="2">
        <f t="shared" si="433"/>
        <v>0</v>
      </c>
      <c r="AL3567" s="5">
        <f t="shared" ref="AL3567:AL3630" si="441">(T3567-W3567)/T3567</f>
        <v>0</v>
      </c>
    </row>
    <row r="3568" spans="1:38" x14ac:dyDescent="0.2">
      <c r="A3568" s="2">
        <v>2026</v>
      </c>
      <c r="B3568" s="2">
        <v>3</v>
      </c>
      <c r="D3568" s="2" t="s">
        <v>2567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0"/>
        <v>0</v>
      </c>
      <c r="Z3568" s="2" t="s">
        <v>3237</v>
      </c>
      <c r="AA3568" s="2" t="s">
        <v>97</v>
      </c>
      <c r="AB3568" s="2" t="s">
        <v>77</v>
      </c>
      <c r="AC3568" s="2" t="s">
        <v>94</v>
      </c>
      <c r="AF3568" s="2">
        <f t="shared" si="436"/>
        <v>0</v>
      </c>
      <c r="AJ3568" s="2">
        <f t="shared" si="437"/>
        <v>0</v>
      </c>
      <c r="AK3568" s="2">
        <f t="shared" si="433"/>
        <v>0</v>
      </c>
      <c r="AL3568" s="5">
        <f t="shared" si="441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0"/>
        <v>0</v>
      </c>
      <c r="Z3569" s="2" t="s">
        <v>3237</v>
      </c>
      <c r="AA3569" s="2" t="s">
        <v>97</v>
      </c>
      <c r="AB3569" s="2" t="s">
        <v>77</v>
      </c>
      <c r="AC3569" s="2" t="s">
        <v>94</v>
      </c>
      <c r="AF3569" s="2">
        <f t="shared" si="436"/>
        <v>0</v>
      </c>
      <c r="AJ3569" s="2">
        <f t="shared" si="437"/>
        <v>0</v>
      </c>
      <c r="AK3569" s="2">
        <f t="shared" si="433"/>
        <v>0</v>
      </c>
      <c r="AL3569" s="5">
        <f t="shared" si="441"/>
        <v>0</v>
      </c>
    </row>
    <row r="3570" spans="1:38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2717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0"/>
        <v>0</v>
      </c>
      <c r="Z3570" s="2" t="s">
        <v>3237</v>
      </c>
      <c r="AA3570" s="2" t="s">
        <v>97</v>
      </c>
      <c r="AB3570" s="2" t="s">
        <v>77</v>
      </c>
      <c r="AC3570" s="2" t="s">
        <v>94</v>
      </c>
      <c r="AF3570" s="2">
        <f t="shared" si="436"/>
        <v>0</v>
      </c>
      <c r="AG3570" s="2">
        <v>1.48</v>
      </c>
      <c r="AH3570" s="2">
        <v>1.48</v>
      </c>
      <c r="AJ3570" s="2">
        <f t="shared" si="437"/>
        <v>0</v>
      </c>
      <c r="AK3570" s="2">
        <f t="shared" si="433"/>
        <v>0</v>
      </c>
      <c r="AL3570" s="5">
        <f t="shared" si="441"/>
        <v>0</v>
      </c>
    </row>
    <row r="3571" spans="1:38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0"/>
        <v>0</v>
      </c>
      <c r="Z3571" s="2" t="s">
        <v>3237</v>
      </c>
      <c r="AA3571" s="2" t="s">
        <v>97</v>
      </c>
      <c r="AB3571" s="2" t="s">
        <v>77</v>
      </c>
      <c r="AC3571" s="2" t="s">
        <v>94</v>
      </c>
      <c r="AF3571" s="2">
        <f t="shared" si="436"/>
        <v>0</v>
      </c>
      <c r="AJ3571" s="2">
        <f t="shared" si="437"/>
        <v>0</v>
      </c>
      <c r="AK3571" s="2">
        <f t="shared" si="433"/>
        <v>0</v>
      </c>
      <c r="AL3571" s="5">
        <f t="shared" si="441"/>
        <v>0</v>
      </c>
    </row>
    <row r="3572" spans="1:38" x14ac:dyDescent="0.2">
      <c r="A3572" s="2">
        <v>2026</v>
      </c>
      <c r="B3572" s="2">
        <v>3</v>
      </c>
      <c r="D3572" s="2" t="s">
        <v>1128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1129</v>
      </c>
      <c r="J3572" s="2" t="s">
        <v>1130</v>
      </c>
      <c r="L3572" s="2" t="s">
        <v>462</v>
      </c>
      <c r="M3572" s="2" t="s">
        <v>81</v>
      </c>
      <c r="O3572" s="2" t="s">
        <v>2730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0"/>
        <v>0</v>
      </c>
      <c r="Z3572" s="2" t="s">
        <v>3237</v>
      </c>
      <c r="AA3572" s="2" t="s">
        <v>97</v>
      </c>
      <c r="AB3572" s="2" t="s">
        <v>77</v>
      </c>
      <c r="AC3572" s="2" t="s">
        <v>94</v>
      </c>
      <c r="AF3572" s="2">
        <f t="shared" si="436"/>
        <v>0</v>
      </c>
      <c r="AJ3572" s="2">
        <f t="shared" si="437"/>
        <v>0</v>
      </c>
      <c r="AK3572" s="2">
        <f t="shared" si="433"/>
        <v>0</v>
      </c>
      <c r="AL3572" s="5">
        <f t="shared" si="441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0"/>
        <v>1</v>
      </c>
      <c r="Z3573" s="2" t="s">
        <v>120</v>
      </c>
      <c r="AA3573" s="2" t="s">
        <v>3392</v>
      </c>
      <c r="AF3573" s="2">
        <f t="shared" si="436"/>
        <v>0</v>
      </c>
      <c r="AJ3573" s="2">
        <f t="shared" si="437"/>
        <v>0</v>
      </c>
      <c r="AK3573" s="2">
        <f t="shared" si="433"/>
        <v>576</v>
      </c>
      <c r="AL3573" s="5">
        <f t="shared" si="441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2707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0"/>
        <v>1</v>
      </c>
      <c r="Z3574" s="2" t="s">
        <v>120</v>
      </c>
      <c r="AA3574" s="2" t="s">
        <v>3392</v>
      </c>
      <c r="AF3574" s="2">
        <f t="shared" si="436"/>
        <v>0</v>
      </c>
      <c r="AJ3574" s="2">
        <f t="shared" si="437"/>
        <v>0</v>
      </c>
      <c r="AK3574" s="2">
        <f t="shared" ref="AK3574:AK3637" si="442">T3574-W3574</f>
        <v>200</v>
      </c>
      <c r="AL3574" s="5">
        <f t="shared" si="441"/>
        <v>1</v>
      </c>
    </row>
    <row r="3575" spans="1:38" x14ac:dyDescent="0.2">
      <c r="A3575" s="2">
        <v>2026</v>
      </c>
      <c r="B3575" s="2">
        <v>3</v>
      </c>
      <c r="C3575" s="2" t="s">
        <v>3438</v>
      </c>
      <c r="D3575" s="2" t="s">
        <v>2782</v>
      </c>
      <c r="E3575" s="2" t="s">
        <v>109</v>
      </c>
      <c r="F3575" s="2" t="s">
        <v>39</v>
      </c>
      <c r="L3575" s="2" t="s">
        <v>2446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0"/>
        <v>1</v>
      </c>
      <c r="Z3575" s="2" t="s">
        <v>105</v>
      </c>
      <c r="AA3575" s="2" t="s">
        <v>3440</v>
      </c>
      <c r="AB3575" s="2" t="s">
        <v>3441</v>
      </c>
      <c r="AC3575" s="2" t="s">
        <v>115</v>
      </c>
      <c r="AF3575" s="2">
        <f t="shared" si="436"/>
        <v>0</v>
      </c>
      <c r="AJ3575" s="2">
        <f t="shared" si="437"/>
        <v>0</v>
      </c>
      <c r="AK3575" s="2">
        <f t="shared" si="442"/>
        <v>180</v>
      </c>
      <c r="AL3575" s="5">
        <f t="shared" si="441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0"/>
        <v>1</v>
      </c>
      <c r="Z3576" s="2" t="s">
        <v>120</v>
      </c>
      <c r="AA3576" s="2" t="s">
        <v>3392</v>
      </c>
      <c r="AF3576" s="2">
        <f t="shared" si="436"/>
        <v>0</v>
      </c>
      <c r="AJ3576" s="2">
        <f t="shared" si="437"/>
        <v>0</v>
      </c>
      <c r="AK3576" s="2">
        <f t="shared" si="442"/>
        <v>180</v>
      </c>
      <c r="AL3576" s="5">
        <f t="shared" si="441"/>
        <v>1</v>
      </c>
    </row>
    <row r="3577" spans="1:38" x14ac:dyDescent="0.2">
      <c r="A3577" s="2">
        <v>2026</v>
      </c>
      <c r="B3577" s="2">
        <v>3</v>
      </c>
      <c r="D3577" s="2" t="s">
        <v>2057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0"/>
        <v>1</v>
      </c>
      <c r="Z3577" s="2" t="s">
        <v>120</v>
      </c>
      <c r="AA3577" s="2" t="s">
        <v>3392</v>
      </c>
      <c r="AF3577" s="2">
        <f t="shared" si="436"/>
        <v>0</v>
      </c>
      <c r="AJ3577" s="2">
        <f t="shared" si="437"/>
        <v>0</v>
      </c>
      <c r="AK3577" s="2">
        <f t="shared" si="442"/>
        <v>67.2</v>
      </c>
      <c r="AL3577" s="5">
        <f t="shared" si="441"/>
        <v>1</v>
      </c>
    </row>
    <row r="3578" spans="1:38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2783</v>
      </c>
      <c r="P3578" s="2" t="s">
        <v>115</v>
      </c>
      <c r="Q3578" s="2" t="s">
        <v>2784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40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6"/>
        <v>0</v>
      </c>
      <c r="AG3578" s="2">
        <v>6.55</v>
      </c>
      <c r="AJ3578" s="2">
        <f t="shared" si="437"/>
        <v>0</v>
      </c>
      <c r="AK3578" s="2">
        <f t="shared" si="442"/>
        <v>12.439999999999998</v>
      </c>
      <c r="AL3578" s="5">
        <f t="shared" si="441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2785</v>
      </c>
      <c r="P3579" s="2" t="s">
        <v>115</v>
      </c>
      <c r="Q3579" s="16" t="s">
        <v>711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0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6"/>
        <v>0</v>
      </c>
      <c r="AG3579" s="2">
        <v>1244.2444</v>
      </c>
      <c r="AJ3579" s="2">
        <f t="shared" si="437"/>
        <v>0</v>
      </c>
      <c r="AK3579" s="2">
        <f t="shared" si="442"/>
        <v>445.75559999999996</v>
      </c>
      <c r="AL3579" s="5">
        <f t="shared" si="441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2786</v>
      </c>
      <c r="P3580" s="2" t="s">
        <v>115</v>
      </c>
      <c r="Q3580" s="2" t="s">
        <v>2305</v>
      </c>
      <c r="R3580" s="2" t="s">
        <v>2306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3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6"/>
        <v>0</v>
      </c>
      <c r="AG3580" s="2">
        <v>136.38999999999999</v>
      </c>
      <c r="AH3580" s="2">
        <v>282.11399999999998</v>
      </c>
      <c r="AJ3580" s="2">
        <f t="shared" si="437"/>
        <v>0</v>
      </c>
      <c r="AK3580" s="2">
        <f t="shared" si="442"/>
        <v>117.51000000000002</v>
      </c>
      <c r="AL3580" s="5">
        <f t="shared" si="441"/>
        <v>0.46282000787711702</v>
      </c>
    </row>
    <row r="3581" spans="1:38" x14ac:dyDescent="0.2">
      <c r="A3581" s="2">
        <v>2026</v>
      </c>
      <c r="B3581" s="2">
        <v>3</v>
      </c>
      <c r="D3581" s="2" t="s">
        <v>2057</v>
      </c>
      <c r="G3581" s="2">
        <v>514960337</v>
      </c>
      <c r="H3581" s="2" t="s">
        <v>291</v>
      </c>
      <c r="I3581" s="2" t="s">
        <v>2787</v>
      </c>
      <c r="M3581" s="2" t="s">
        <v>40</v>
      </c>
      <c r="O3581" s="2" t="s">
        <v>2788</v>
      </c>
      <c r="P3581" s="2" t="s">
        <v>115</v>
      </c>
      <c r="Q3581" s="2" t="s">
        <v>2010</v>
      </c>
      <c r="R3581" s="2" t="s">
        <v>2011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3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6"/>
        <v>0</v>
      </c>
      <c r="AG3581" s="2">
        <v>7.9024999999999999</v>
      </c>
      <c r="AJ3581" s="2">
        <f t="shared" si="437"/>
        <v>0</v>
      </c>
      <c r="AK3581" s="2">
        <f t="shared" si="442"/>
        <v>5.43</v>
      </c>
      <c r="AL3581" s="5">
        <f t="shared" si="441"/>
        <v>0.14659827213822893</v>
      </c>
    </row>
    <row r="3582" spans="1:38" x14ac:dyDescent="0.2">
      <c r="A3582" s="2">
        <v>2026</v>
      </c>
      <c r="B3582" s="2">
        <v>3</v>
      </c>
      <c r="D3582" s="2" t="s">
        <v>1012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1013</v>
      </c>
      <c r="J3582" s="2" t="s">
        <v>1014</v>
      </c>
      <c r="L3582" s="2" t="s">
        <v>294</v>
      </c>
      <c r="P3582" s="2" t="s">
        <v>115</v>
      </c>
      <c r="Q3582" s="2" t="s">
        <v>1521</v>
      </c>
      <c r="R3582" s="2" t="s">
        <v>1522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3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6"/>
        <v>0</v>
      </c>
      <c r="AG3582" s="2">
        <v>11.246700000000001</v>
      </c>
      <c r="AJ3582" s="2">
        <f t="shared" si="437"/>
        <v>0</v>
      </c>
      <c r="AK3582" s="2">
        <f t="shared" si="442"/>
        <v>9.1433</v>
      </c>
      <c r="AL3582" s="5">
        <f t="shared" si="441"/>
        <v>0.44842079450711131</v>
      </c>
    </row>
    <row r="3583" spans="1:38" x14ac:dyDescent="0.2">
      <c r="A3583" s="2">
        <v>2026</v>
      </c>
      <c r="B3583" s="2">
        <v>4</v>
      </c>
      <c r="D3583" s="2" t="s">
        <v>2789</v>
      </c>
      <c r="G3583" s="2">
        <v>219031614</v>
      </c>
      <c r="I3583" s="2" t="s">
        <v>2207</v>
      </c>
      <c r="M3583" s="2" t="s">
        <v>40</v>
      </c>
      <c r="O3583" s="2" t="s">
        <v>2790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3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6"/>
        <v>0</v>
      </c>
      <c r="AG3583" s="2">
        <v>35.931699999999999</v>
      </c>
      <c r="AJ3583" s="2">
        <f t="shared" si="437"/>
        <v>0</v>
      </c>
      <c r="AK3583" s="2">
        <f t="shared" si="442"/>
        <v>85.316600000000008</v>
      </c>
      <c r="AL3583" s="5">
        <f t="shared" si="441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2791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3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6"/>
        <v>0</v>
      </c>
      <c r="AG3584" s="2">
        <v>5.33</v>
      </c>
      <c r="AJ3584" s="2">
        <f t="shared" si="437"/>
        <v>0</v>
      </c>
      <c r="AK3584" s="2">
        <f t="shared" si="442"/>
        <v>17.91</v>
      </c>
      <c r="AL3584" s="5">
        <f t="shared" si="441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2792</v>
      </c>
      <c r="P3585" s="2" t="s">
        <v>115</v>
      </c>
      <c r="Q3585" s="2" t="s">
        <v>2793</v>
      </c>
      <c r="R3585" s="2" t="s">
        <v>2794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3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6"/>
        <v>0</v>
      </c>
      <c r="AG3585" s="2">
        <f>20.48+0.33</f>
        <v>20.81</v>
      </c>
      <c r="AJ3585" s="2">
        <f t="shared" si="437"/>
        <v>0</v>
      </c>
      <c r="AK3585" s="2">
        <f t="shared" si="442"/>
        <v>22.2</v>
      </c>
      <c r="AL3585" s="5">
        <f t="shared" si="441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2792</v>
      </c>
      <c r="P3586" s="2" t="s">
        <v>115</v>
      </c>
      <c r="Q3586" s="2" t="s">
        <v>2795</v>
      </c>
      <c r="R3586" s="2" t="s">
        <v>2495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3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6"/>
        <v>0</v>
      </c>
      <c r="AG3586" s="2">
        <f>63.89+1.02</f>
        <v>64.91</v>
      </c>
      <c r="AJ3586" s="2">
        <f t="shared" si="437"/>
        <v>0</v>
      </c>
      <c r="AK3586" s="2">
        <f t="shared" si="442"/>
        <v>69.259999999999991</v>
      </c>
      <c r="AL3586" s="5">
        <f t="shared" si="441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3"/>
        <v>0.5</v>
      </c>
      <c r="Z3587" s="2" t="s">
        <v>118</v>
      </c>
      <c r="AA3587" s="2" t="s">
        <v>191</v>
      </c>
      <c r="AF3587" s="2">
        <f t="shared" ref="AF3587:AF3650" si="444">AJ3587</f>
        <v>0</v>
      </c>
      <c r="AG3587" s="2">
        <f>W3587</f>
        <v>100</v>
      </c>
      <c r="AJ3587" s="2">
        <f t="shared" ref="AJ3587:AJ3650" si="445">AI3587*T3587</f>
        <v>0</v>
      </c>
      <c r="AK3587" s="2">
        <f t="shared" si="442"/>
        <v>100</v>
      </c>
      <c r="AL3587" s="5">
        <f t="shared" si="441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2484</v>
      </c>
      <c r="J3588" s="2" t="s">
        <v>3132</v>
      </c>
      <c r="K3588" s="2">
        <v>965864665</v>
      </c>
      <c r="L3588" s="2" t="s">
        <v>345</v>
      </c>
      <c r="M3588" s="2" t="s">
        <v>40</v>
      </c>
      <c r="O3588" s="2" t="s">
        <v>2796</v>
      </c>
      <c r="P3588" s="2" t="s">
        <v>115</v>
      </c>
      <c r="Q3588" s="2" t="s">
        <v>1254</v>
      </c>
      <c r="R3588" s="2" t="s">
        <v>1255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3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44"/>
        <v>0</v>
      </c>
      <c r="AG3588" s="2">
        <v>183.26</v>
      </c>
      <c r="AJ3588" s="2">
        <f t="shared" si="445"/>
        <v>0</v>
      </c>
      <c r="AK3588" s="2">
        <f t="shared" si="442"/>
        <v>151.26999999999998</v>
      </c>
      <c r="AL3588" s="5">
        <f t="shared" si="441"/>
        <v>0.45218664992676288</v>
      </c>
    </row>
    <row r="3589" spans="1:38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2797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6">23.042*S3589</f>
        <v>46.084000000000003</v>
      </c>
      <c r="X3589" s="5">
        <f t="shared" si="443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44"/>
        <v>0</v>
      </c>
      <c r="AG3589" s="2">
        <v>22.2</v>
      </c>
      <c r="AJ3589" s="2">
        <f t="shared" si="445"/>
        <v>0</v>
      </c>
      <c r="AK3589" s="2">
        <f t="shared" si="442"/>
        <v>51.816000000000003</v>
      </c>
      <c r="AL3589" s="5">
        <f t="shared" si="441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2798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6"/>
        <v>23.042000000000002</v>
      </c>
      <c r="X3590" s="5">
        <f t="shared" si="443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44"/>
        <v>0</v>
      </c>
      <c r="AG3590" s="2">
        <v>22.2</v>
      </c>
      <c r="AJ3590" s="2">
        <f t="shared" si="445"/>
        <v>0</v>
      </c>
      <c r="AK3590" s="2">
        <f t="shared" si="442"/>
        <v>25.908000000000001</v>
      </c>
      <c r="AL3590" s="5">
        <f t="shared" si="441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2799</v>
      </c>
      <c r="R3591" s="2" t="s">
        <v>2800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3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44"/>
        <v>0</v>
      </c>
      <c r="AG3591" s="2">
        <f>249.84+4</f>
        <v>253.84</v>
      </c>
      <c r="AJ3591" s="2">
        <f t="shared" si="445"/>
        <v>0</v>
      </c>
      <c r="AK3591" s="2">
        <f t="shared" si="442"/>
        <v>270.81999999999994</v>
      </c>
      <c r="AL3591" s="5">
        <f t="shared" si="441"/>
        <v>0.51618190828345967</v>
      </c>
    </row>
    <row r="3592" spans="1:38" x14ac:dyDescent="0.2">
      <c r="A3592" s="2">
        <v>2026</v>
      </c>
      <c r="B3592" s="2">
        <v>4</v>
      </c>
      <c r="D3592" s="2" t="s">
        <v>2327</v>
      </c>
      <c r="M3592" s="2" t="s">
        <v>40</v>
      </c>
      <c r="O3592" s="2" t="s">
        <v>2801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3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44"/>
        <v>0</v>
      </c>
      <c r="AG3592" s="2">
        <v>30.22</v>
      </c>
      <c r="AJ3592" s="2">
        <f t="shared" si="445"/>
        <v>0</v>
      </c>
      <c r="AK3592" s="2">
        <f t="shared" si="442"/>
        <v>33.24</v>
      </c>
      <c r="AL3592" s="5">
        <f t="shared" si="441"/>
        <v>0.52379451623069651</v>
      </c>
    </row>
    <row r="3593" spans="1:38" x14ac:dyDescent="0.2">
      <c r="A3593" s="2">
        <v>2026</v>
      </c>
      <c r="B3593" s="2">
        <v>3</v>
      </c>
      <c r="D3593" s="2" t="s">
        <v>2774</v>
      </c>
      <c r="M3593" s="2" t="s">
        <v>40</v>
      </c>
      <c r="O3593" s="2" t="s">
        <v>2802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3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44"/>
        <v>0</v>
      </c>
      <c r="AG3593" s="2">
        <v>342.22</v>
      </c>
      <c r="AJ3593" s="2">
        <f t="shared" si="445"/>
        <v>0</v>
      </c>
      <c r="AK3593" s="2">
        <f t="shared" si="442"/>
        <v>354.09659999999997</v>
      </c>
      <c r="AL3593" s="5">
        <f t="shared" si="441"/>
        <v>0.50635864435864431</v>
      </c>
    </row>
    <row r="3594" spans="1:38" x14ac:dyDescent="0.2">
      <c r="A3594" s="2">
        <v>2026</v>
      </c>
      <c r="B3594" s="2">
        <v>4</v>
      </c>
      <c r="D3594" s="2" t="s">
        <v>2803</v>
      </c>
      <c r="M3594" s="2" t="s">
        <v>40</v>
      </c>
      <c r="O3594" s="2" t="s">
        <v>2804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3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44"/>
        <v>0</v>
      </c>
      <c r="AG3594" s="2">
        <v>342.22</v>
      </c>
      <c r="AJ3594" s="2">
        <f t="shared" si="445"/>
        <v>0</v>
      </c>
      <c r="AK3594" s="2">
        <f t="shared" si="442"/>
        <v>354.09659999999997</v>
      </c>
      <c r="AL3594" s="5">
        <f t="shared" si="441"/>
        <v>0.50635864435864431</v>
      </c>
    </row>
    <row r="3595" spans="1:38" x14ac:dyDescent="0.2">
      <c r="A3595" s="2">
        <v>2026</v>
      </c>
      <c r="B3595" s="2">
        <v>4</v>
      </c>
      <c r="D3595" s="2" t="s">
        <v>2805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2806</v>
      </c>
      <c r="J3595" s="2" t="s">
        <v>2807</v>
      </c>
      <c r="L3595" s="2" t="s">
        <v>202</v>
      </c>
      <c r="M3595" s="2" t="s">
        <v>40</v>
      </c>
      <c r="O3595" s="2" t="s">
        <v>2808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3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44"/>
        <v>0</v>
      </c>
      <c r="AG3595" s="2">
        <v>342.22</v>
      </c>
      <c r="AJ3595" s="2">
        <f t="shared" si="445"/>
        <v>0</v>
      </c>
      <c r="AK3595" s="2">
        <f t="shared" si="442"/>
        <v>354.09659999999997</v>
      </c>
      <c r="AL3595" s="5">
        <f t="shared" si="441"/>
        <v>0.50635864435864431</v>
      </c>
    </row>
    <row r="3596" spans="1:38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2809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3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44"/>
        <v>0</v>
      </c>
      <c r="AJ3596" s="2">
        <f t="shared" si="445"/>
        <v>0</v>
      </c>
      <c r="AK3596" s="2">
        <f t="shared" si="442"/>
        <v>352.72999999999996</v>
      </c>
      <c r="AL3596" s="5">
        <f t="shared" si="441"/>
        <v>0.50440440440440437</v>
      </c>
    </row>
    <row r="3597" spans="1:38" x14ac:dyDescent="0.2">
      <c r="A3597" s="2">
        <v>2026</v>
      </c>
      <c r="B3597" s="2">
        <v>4</v>
      </c>
      <c r="D3597" s="2" t="s">
        <v>2612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2613</v>
      </c>
      <c r="K3597" s="2">
        <v>935402550</v>
      </c>
      <c r="L3597" s="2" t="s">
        <v>113</v>
      </c>
      <c r="M3597" s="2" t="s">
        <v>40</v>
      </c>
      <c r="O3597" s="2" t="s">
        <v>2614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3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44"/>
        <v>0</v>
      </c>
      <c r="AG3597" s="2">
        <v>346.57</v>
      </c>
      <c r="AJ3597" s="2">
        <f t="shared" si="445"/>
        <v>0</v>
      </c>
      <c r="AK3597" s="2">
        <f t="shared" si="442"/>
        <v>352.72999999999996</v>
      </c>
      <c r="AL3597" s="5">
        <f t="shared" si="441"/>
        <v>0.50440440440440437</v>
      </c>
    </row>
    <row r="3598" spans="1:38" x14ac:dyDescent="0.2">
      <c r="A3598" s="2">
        <v>2026</v>
      </c>
      <c r="B3598" s="2">
        <v>4</v>
      </c>
      <c r="D3598" s="2" t="s">
        <v>2615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2616</v>
      </c>
      <c r="J3598" s="2" t="s">
        <v>2617</v>
      </c>
      <c r="K3598" s="2">
        <v>912183782</v>
      </c>
      <c r="L3598" s="2" t="s">
        <v>202</v>
      </c>
      <c r="M3598" s="2" t="s">
        <v>40</v>
      </c>
      <c r="O3598" s="2" t="s">
        <v>2618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3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44"/>
        <v>0</v>
      </c>
      <c r="AG3598" s="2">
        <v>346.57</v>
      </c>
      <c r="AJ3598" s="2">
        <f t="shared" si="445"/>
        <v>0</v>
      </c>
      <c r="AK3598" s="2">
        <f t="shared" si="442"/>
        <v>352.72999999999996</v>
      </c>
      <c r="AL3598" s="5">
        <f t="shared" si="441"/>
        <v>0.50440440440440437</v>
      </c>
    </row>
    <row r="3599" spans="1:38" x14ac:dyDescent="0.2">
      <c r="A3599" s="2">
        <v>2026</v>
      </c>
      <c r="B3599" s="2">
        <v>4</v>
      </c>
      <c r="D3599" s="2" t="s">
        <v>2622</v>
      </c>
      <c r="M3599" s="2" t="s">
        <v>40</v>
      </c>
      <c r="O3599" s="2" t="s">
        <v>2810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3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44"/>
        <v>0</v>
      </c>
      <c r="AJ3599" s="2">
        <f t="shared" si="445"/>
        <v>0</v>
      </c>
      <c r="AK3599" s="2">
        <f t="shared" si="442"/>
        <v>352.72999999999996</v>
      </c>
      <c r="AL3599" s="5">
        <f t="shared" si="441"/>
        <v>0.50440440440440437</v>
      </c>
    </row>
    <row r="3600" spans="1:38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2783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43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44"/>
        <v>0</v>
      </c>
      <c r="AJ3600" s="2">
        <f t="shared" si="445"/>
        <v>0</v>
      </c>
      <c r="AK3600" s="2">
        <f t="shared" si="442"/>
        <v>229.38000000000005</v>
      </c>
      <c r="AL3600" s="5">
        <f t="shared" si="441"/>
        <v>0.39826373817171634</v>
      </c>
    </row>
    <row r="3601" spans="1:38" x14ac:dyDescent="0.2">
      <c r="A3601" s="2">
        <v>2026</v>
      </c>
      <c r="B3601" s="2">
        <v>4</v>
      </c>
      <c r="D3601" s="2" t="s">
        <v>1606</v>
      </c>
      <c r="M3601" s="2" t="s">
        <v>40</v>
      </c>
      <c r="O3601" s="2" t="s">
        <v>2811</v>
      </c>
      <c r="P3601" s="2" t="s">
        <v>115</v>
      </c>
      <c r="Q3601" s="2" t="s">
        <v>1203</v>
      </c>
      <c r="R3601" s="2" t="s">
        <v>1204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3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44"/>
        <v>0</v>
      </c>
      <c r="AG3601" s="2">
        <f>167.92</f>
        <v>167.92</v>
      </c>
      <c r="AJ3601" s="2">
        <f t="shared" si="445"/>
        <v>0</v>
      </c>
      <c r="AK3601" s="2">
        <f t="shared" si="442"/>
        <v>188.89000000000001</v>
      </c>
      <c r="AL3601" s="5">
        <f t="shared" si="441"/>
        <v>0.5293853871808526</v>
      </c>
    </row>
    <row r="3602" spans="1:38" x14ac:dyDescent="0.2">
      <c r="A3602" s="2">
        <v>2026</v>
      </c>
      <c r="B3602" s="2">
        <v>4</v>
      </c>
      <c r="D3602" s="2" t="s">
        <v>2803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3"/>
        <v>0.6</v>
      </c>
      <c r="Z3602" s="2" t="s">
        <v>118</v>
      </c>
      <c r="AA3602" s="2" t="s">
        <v>191</v>
      </c>
      <c r="AF3602" s="2">
        <f t="shared" si="444"/>
        <v>0</v>
      </c>
      <c r="AG3602" s="2">
        <f>W3602</f>
        <v>36.800000000000004</v>
      </c>
      <c r="AJ3602" s="2">
        <f t="shared" si="445"/>
        <v>0</v>
      </c>
      <c r="AK3602" s="2">
        <f t="shared" si="442"/>
        <v>55.199999999999996</v>
      </c>
      <c r="AL3602" s="5">
        <f t="shared" si="441"/>
        <v>0.6</v>
      </c>
    </row>
    <row r="3603" spans="1:38" x14ac:dyDescent="0.2">
      <c r="A3603" s="2">
        <v>2026</v>
      </c>
      <c r="B3603" s="2">
        <v>4</v>
      </c>
      <c r="D3603" s="2" t="s">
        <v>2291</v>
      </c>
      <c r="M3603" s="2" t="s">
        <v>40</v>
      </c>
      <c r="O3603" s="2" t="s">
        <v>2812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3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44"/>
        <v>0</v>
      </c>
      <c r="AG3603" s="2">
        <f>231.78+0.96</f>
        <v>232.74</v>
      </c>
      <c r="AJ3603" s="2">
        <f t="shared" si="445"/>
        <v>0</v>
      </c>
      <c r="AK3603" s="2">
        <f t="shared" si="442"/>
        <v>256.08</v>
      </c>
      <c r="AL3603" s="5">
        <f t="shared" si="441"/>
        <v>0.52387381858352766</v>
      </c>
    </row>
    <row r="3604" spans="1:38" x14ac:dyDescent="0.2">
      <c r="A3604" s="2">
        <v>2026</v>
      </c>
      <c r="B3604" s="2">
        <v>4</v>
      </c>
      <c r="D3604" s="2" t="s">
        <v>1003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1004</v>
      </c>
      <c r="J3604" s="2" t="s">
        <v>1005</v>
      </c>
      <c r="K3604" s="2">
        <v>917233128</v>
      </c>
      <c r="L3604" s="2" t="s">
        <v>100</v>
      </c>
      <c r="M3604" s="2" t="s">
        <v>40</v>
      </c>
      <c r="O3604" s="2" t="s">
        <v>2611</v>
      </c>
      <c r="P3604" s="2" t="s">
        <v>115</v>
      </c>
      <c r="Q3604" s="2" t="s">
        <v>1662</v>
      </c>
      <c r="R3604" s="2" t="s">
        <v>1663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3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44"/>
        <v>0</v>
      </c>
      <c r="AG3604" s="2">
        <v>565.755</v>
      </c>
      <c r="AJ3604" s="2">
        <f t="shared" si="445"/>
        <v>0</v>
      </c>
      <c r="AK3604" s="2">
        <f t="shared" si="442"/>
        <v>1279.1445000000001</v>
      </c>
      <c r="AL3604" s="5">
        <f t="shared" si="441"/>
        <v>0.69334083148138115</v>
      </c>
    </row>
    <row r="3605" spans="1:38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2813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3"/>
        <v>0.66809046530951399</v>
      </c>
      <c r="Z3605" s="2" t="s">
        <v>118</v>
      </c>
      <c r="AF3605" s="2">
        <f t="shared" si="444"/>
        <v>0</v>
      </c>
      <c r="AG3605" s="2">
        <v>255.65</v>
      </c>
      <c r="AJ3605" s="2">
        <f t="shared" si="445"/>
        <v>0</v>
      </c>
      <c r="AK3605" s="2">
        <f t="shared" si="442"/>
        <v>514.59</v>
      </c>
      <c r="AL3605" s="5">
        <f t="shared" si="441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2814</v>
      </c>
      <c r="P3606" s="2" t="s">
        <v>115</v>
      </c>
      <c r="Q3606" s="2" t="s">
        <v>2494</v>
      </c>
      <c r="R3606" s="2" t="s">
        <v>2495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3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44"/>
        <v>0</v>
      </c>
      <c r="AG3606" s="2">
        <v>102.88249999999999</v>
      </c>
      <c r="AJ3606" s="2">
        <f t="shared" si="445"/>
        <v>0</v>
      </c>
      <c r="AK3606" s="2">
        <f t="shared" si="442"/>
        <v>112.075</v>
      </c>
      <c r="AL3606" s="5">
        <f t="shared" si="441"/>
        <v>0.52137606996650543</v>
      </c>
    </row>
    <row r="3607" spans="1:38" x14ac:dyDescent="0.2">
      <c r="A3607" s="2">
        <v>2026</v>
      </c>
      <c r="B3607" s="2">
        <v>4</v>
      </c>
      <c r="D3607" s="2" t="s">
        <v>1606</v>
      </c>
      <c r="M3607" s="2" t="s">
        <v>40</v>
      </c>
      <c r="O3607" s="2" t="s">
        <v>2811</v>
      </c>
      <c r="P3607" s="2" t="s">
        <v>115</v>
      </c>
      <c r="Q3607" s="2" t="s">
        <v>2815</v>
      </c>
      <c r="R3607" s="2" t="s">
        <v>2816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3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44"/>
        <v>0</v>
      </c>
      <c r="AG3607" s="2">
        <v>42.436799999999998</v>
      </c>
      <c r="AJ3607" s="2">
        <f t="shared" si="445"/>
        <v>0</v>
      </c>
      <c r="AK3607" s="2">
        <f t="shared" si="442"/>
        <v>46.603200000000008</v>
      </c>
      <c r="AL3607" s="5">
        <f t="shared" si="441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2817</v>
      </c>
      <c r="R3608" s="2" t="s">
        <v>2818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3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44"/>
        <v>0</v>
      </c>
      <c r="AG3608" s="2">
        <v>42.436799999999998</v>
      </c>
      <c r="AJ3608" s="2">
        <f t="shared" si="445"/>
        <v>0</v>
      </c>
      <c r="AK3608" s="2">
        <f t="shared" si="442"/>
        <v>11.613199999999999</v>
      </c>
      <c r="AL3608" s="5">
        <f t="shared" si="441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2792</v>
      </c>
      <c r="P3609" s="2" t="s">
        <v>115</v>
      </c>
      <c r="Q3609" s="2" t="s">
        <v>2819</v>
      </c>
      <c r="R3609" s="2" t="s">
        <v>2820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3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44"/>
        <v>0</v>
      </c>
      <c r="AG3609" s="2">
        <f>15.49+0.25</f>
        <v>15.74</v>
      </c>
      <c r="AJ3609" s="2">
        <f t="shared" si="445"/>
        <v>0</v>
      </c>
      <c r="AK3609" s="2">
        <f t="shared" si="442"/>
        <v>16.79</v>
      </c>
      <c r="AL3609" s="5">
        <f t="shared" si="441"/>
        <v>0.51613894866277277</v>
      </c>
    </row>
    <row r="3610" spans="1:38" x14ac:dyDescent="0.2">
      <c r="A3610" s="2">
        <v>2026</v>
      </c>
      <c r="B3610" s="2">
        <v>4</v>
      </c>
      <c r="D3610" s="2" t="s">
        <v>1597</v>
      </c>
      <c r="M3610" s="2" t="s">
        <v>40</v>
      </c>
      <c r="O3610" s="2" t="s">
        <v>2821</v>
      </c>
      <c r="P3610" s="2" t="s">
        <v>115</v>
      </c>
      <c r="Q3610" s="2" t="s">
        <v>1598</v>
      </c>
      <c r="R3610" s="2" t="s">
        <v>1599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3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44"/>
        <v>0</v>
      </c>
      <c r="AG3610" s="2">
        <v>21.32</v>
      </c>
      <c r="AJ3610" s="2">
        <f t="shared" si="445"/>
        <v>0</v>
      </c>
      <c r="AK3610" s="2">
        <f t="shared" si="442"/>
        <v>25.270000000000003</v>
      </c>
      <c r="AL3610" s="5">
        <f t="shared" si="441"/>
        <v>0.54239107104528872</v>
      </c>
    </row>
    <row r="3611" spans="1:38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2822</v>
      </c>
      <c r="P3611" s="2" t="s">
        <v>115</v>
      </c>
      <c r="Q3611" s="2" t="s">
        <v>2823</v>
      </c>
      <c r="R3611" s="2" t="s">
        <v>2824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3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44"/>
        <v>0</v>
      </c>
      <c r="AG3611" s="2">
        <v>19.5167</v>
      </c>
      <c r="AJ3611" s="2">
        <f t="shared" si="445"/>
        <v>0</v>
      </c>
      <c r="AK3611" s="2">
        <f t="shared" si="442"/>
        <v>21.823300000000003</v>
      </c>
      <c r="AL3611" s="5">
        <f t="shared" si="441"/>
        <v>0.52789791969037259</v>
      </c>
    </row>
    <row r="3612" spans="1:38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2825</v>
      </c>
      <c r="P3612" s="2" t="s">
        <v>115</v>
      </c>
      <c r="Q3612" s="2" t="s">
        <v>981</v>
      </c>
      <c r="R3612" s="2" t="s">
        <v>982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44"/>
        <v>0</v>
      </c>
      <c r="AJ3612" s="2">
        <f t="shared" si="445"/>
        <v>0</v>
      </c>
      <c r="AK3612" s="2">
        <f t="shared" si="442"/>
        <v>-83.46</v>
      </c>
      <c r="AL3612" s="5">
        <f t="shared" si="441"/>
        <v>1</v>
      </c>
    </row>
    <row r="3613" spans="1:38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1336</v>
      </c>
      <c r="R3613" s="2" t="s">
        <v>1337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7">(T3613-W3613)/T3613</f>
        <v>1</v>
      </c>
      <c r="Z3613" s="2" t="s">
        <v>118</v>
      </c>
      <c r="AF3613" s="2">
        <f t="shared" si="444"/>
        <v>0</v>
      </c>
      <c r="AJ3613" s="2">
        <f t="shared" si="445"/>
        <v>0</v>
      </c>
      <c r="AK3613" s="2">
        <f t="shared" si="442"/>
        <v>140.24</v>
      </c>
      <c r="AL3613" s="5">
        <f t="shared" si="441"/>
        <v>1</v>
      </c>
    </row>
    <row r="3614" spans="1:38" x14ac:dyDescent="0.2">
      <c r="A3614" s="2">
        <v>2026</v>
      </c>
      <c r="B3614" s="2">
        <v>4</v>
      </c>
      <c r="D3614" s="2" t="s">
        <v>1442</v>
      </c>
      <c r="P3614" s="2" t="s">
        <v>115</v>
      </c>
      <c r="Q3614" s="2" t="s">
        <v>1910</v>
      </c>
      <c r="R3614" s="2" t="s">
        <v>1911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7"/>
        <v>1</v>
      </c>
      <c r="Z3614" s="2" t="s">
        <v>118</v>
      </c>
      <c r="AF3614" s="2">
        <f t="shared" si="444"/>
        <v>0</v>
      </c>
      <c r="AJ3614" s="2">
        <f t="shared" si="445"/>
        <v>0</v>
      </c>
      <c r="AK3614" s="2">
        <f t="shared" si="442"/>
        <v>1031.94</v>
      </c>
      <c r="AL3614" s="5">
        <f t="shared" si="441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2510</v>
      </c>
      <c r="R3615" s="2" t="s">
        <v>2511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7"/>
        <v>1</v>
      </c>
      <c r="Z3615" s="2" t="s">
        <v>118</v>
      </c>
      <c r="AF3615" s="2">
        <f t="shared" si="444"/>
        <v>0</v>
      </c>
      <c r="AJ3615" s="2">
        <f t="shared" si="445"/>
        <v>0</v>
      </c>
      <c r="AK3615" s="2">
        <f t="shared" si="442"/>
        <v>1594.72</v>
      </c>
      <c r="AL3615" s="5">
        <f t="shared" si="441"/>
        <v>1</v>
      </c>
    </row>
    <row r="3616" spans="1:38" x14ac:dyDescent="0.2">
      <c r="A3616" s="2">
        <v>2026</v>
      </c>
      <c r="B3616" s="2">
        <v>4</v>
      </c>
      <c r="C3616" s="2" t="s">
        <v>3330</v>
      </c>
      <c r="D3616" s="2" t="s">
        <v>1165</v>
      </c>
      <c r="E3616" s="2" t="s">
        <v>754</v>
      </c>
      <c r="G3616" s="2">
        <v>508199280</v>
      </c>
      <c r="H3616" s="2" t="s">
        <v>40</v>
      </c>
      <c r="I3616" s="2" t="s">
        <v>1166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7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44"/>
        <v>0</v>
      </c>
      <c r="AJ3616" s="2">
        <f t="shared" si="445"/>
        <v>0</v>
      </c>
      <c r="AK3616" s="2">
        <f t="shared" si="442"/>
        <v>5320.6</v>
      </c>
      <c r="AL3616" s="5">
        <f t="shared" si="441"/>
        <v>0.33274546591619764</v>
      </c>
    </row>
    <row r="3617" spans="1:38" x14ac:dyDescent="0.2">
      <c r="A3617" s="2">
        <v>2026</v>
      </c>
      <c r="B3617" s="2">
        <v>4</v>
      </c>
      <c r="D3617" s="2" t="s">
        <v>3270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2654</v>
      </c>
      <c r="L3617" s="2" t="s">
        <v>399</v>
      </c>
      <c r="M3617" s="2" t="s">
        <v>40</v>
      </c>
      <c r="O3617" s="2" t="s">
        <v>3271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7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44"/>
        <v>0</v>
      </c>
      <c r="AJ3617" s="2">
        <f t="shared" si="445"/>
        <v>0</v>
      </c>
      <c r="AK3617" s="2">
        <f t="shared" si="442"/>
        <v>4004.8500000000004</v>
      </c>
      <c r="AL3617" s="5">
        <f t="shared" si="441"/>
        <v>0.26716811207471652</v>
      </c>
    </row>
    <row r="3618" spans="1:38" x14ac:dyDescent="0.2">
      <c r="A3618" s="2">
        <v>2026</v>
      </c>
      <c r="B3618" s="2">
        <v>4</v>
      </c>
      <c r="C3618" s="2" t="s">
        <v>3330</v>
      </c>
      <c r="D3618" s="2" t="s">
        <v>1165</v>
      </c>
      <c r="E3618" s="2" t="s">
        <v>754</v>
      </c>
      <c r="G3618" s="2">
        <v>508199280</v>
      </c>
      <c r="H3618" s="2" t="s">
        <v>40</v>
      </c>
      <c r="I3618" s="2" t="s">
        <v>1166</v>
      </c>
      <c r="L3618" s="2" t="s">
        <v>294</v>
      </c>
      <c r="M3618" s="2" t="s">
        <v>40</v>
      </c>
      <c r="P3618" s="2" t="s">
        <v>115</v>
      </c>
      <c r="Q3618" s="2" t="s">
        <v>958</v>
      </c>
      <c r="R3618" s="2" t="s">
        <v>959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7"/>
        <v>0.27561814109742444</v>
      </c>
      <c r="Z3618" s="2" t="s">
        <v>105</v>
      </c>
      <c r="AA3618" s="2" t="s">
        <v>617</v>
      </c>
      <c r="AB3618" s="2" t="s">
        <v>960</v>
      </c>
      <c r="AC3618" s="2" t="s">
        <v>115</v>
      </c>
      <c r="AF3618" s="2">
        <f t="shared" si="444"/>
        <v>0</v>
      </c>
      <c r="AG3618" s="2">
        <f>6193.4+275.33</f>
        <v>6468.73</v>
      </c>
      <c r="AJ3618" s="2">
        <f t="shared" si="445"/>
        <v>0</v>
      </c>
      <c r="AK3618" s="2">
        <f t="shared" si="442"/>
        <v>2461.2700000000004</v>
      </c>
      <c r="AL3618" s="5">
        <f t="shared" si="441"/>
        <v>0.27561814109742444</v>
      </c>
    </row>
    <row r="3619" spans="1:38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2826</v>
      </c>
      <c r="P3619" s="2" t="s">
        <v>115</v>
      </c>
      <c r="Q3619" s="2" t="s">
        <v>958</v>
      </c>
      <c r="R3619" s="2" t="s">
        <v>959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7"/>
        <v>0.27561814109742444</v>
      </c>
      <c r="Z3619" s="2" t="s">
        <v>105</v>
      </c>
      <c r="AA3619" s="2" t="s">
        <v>617</v>
      </c>
      <c r="AB3619" s="2" t="s">
        <v>960</v>
      </c>
      <c r="AC3619" s="2" t="s">
        <v>115</v>
      </c>
      <c r="AF3619" s="2">
        <f t="shared" si="444"/>
        <v>0</v>
      </c>
      <c r="AG3619" s="2">
        <v>6468.73</v>
      </c>
      <c r="AJ3619" s="2">
        <f t="shared" si="445"/>
        <v>0</v>
      </c>
      <c r="AK3619" s="2">
        <f t="shared" si="442"/>
        <v>2461.2700000000004</v>
      </c>
      <c r="AL3619" s="5">
        <f t="shared" si="441"/>
        <v>0.27561814109742444</v>
      </c>
    </row>
    <row r="3620" spans="1:38" x14ac:dyDescent="0.2">
      <c r="A3620" s="2">
        <v>2026</v>
      </c>
      <c r="B3620" s="2">
        <v>4</v>
      </c>
      <c r="C3620" s="2" t="s">
        <v>3330</v>
      </c>
      <c r="D3620" s="2" t="s">
        <v>1165</v>
      </c>
      <c r="E3620" s="2" t="s">
        <v>754</v>
      </c>
      <c r="G3620" s="2">
        <v>508199280</v>
      </c>
      <c r="H3620" s="2" t="s">
        <v>40</v>
      </c>
      <c r="I3620" s="2" t="s">
        <v>1166</v>
      </c>
      <c r="L3620" s="2" t="s">
        <v>294</v>
      </c>
      <c r="M3620" s="2" t="s">
        <v>40</v>
      </c>
      <c r="P3620" s="2" t="s">
        <v>115</v>
      </c>
      <c r="Q3620" s="2" t="s">
        <v>1585</v>
      </c>
      <c r="R3620" s="2" t="s">
        <v>1586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7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44"/>
        <v>0</v>
      </c>
      <c r="AG3620" s="2">
        <f>4893.23+171</f>
        <v>5064.2299999999996</v>
      </c>
      <c r="AJ3620" s="2">
        <f t="shared" si="445"/>
        <v>0</v>
      </c>
      <c r="AK3620" s="2">
        <f t="shared" si="442"/>
        <v>2275.7700000000004</v>
      </c>
      <c r="AL3620" s="5">
        <f t="shared" si="441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2827</v>
      </c>
      <c r="P3621" s="2" t="s">
        <v>115</v>
      </c>
      <c r="Q3621" s="2" t="s">
        <v>1585</v>
      </c>
      <c r="R3621" s="2" t="s">
        <v>1586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7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44"/>
        <v>0</v>
      </c>
      <c r="AG3621" s="2">
        <f>4893.23+171</f>
        <v>5064.2299999999996</v>
      </c>
      <c r="AJ3621" s="2">
        <f t="shared" si="445"/>
        <v>0</v>
      </c>
      <c r="AK3621" s="2">
        <f t="shared" si="442"/>
        <v>1925.7700000000004</v>
      </c>
      <c r="AL3621" s="5">
        <f t="shared" si="441"/>
        <v>0.27550357653791135</v>
      </c>
    </row>
    <row r="3622" spans="1:38" x14ac:dyDescent="0.2">
      <c r="A3622" s="2">
        <v>2026</v>
      </c>
      <c r="B3622" s="2">
        <v>4</v>
      </c>
      <c r="D3622" s="2" t="s">
        <v>2057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2787</v>
      </c>
      <c r="J3622" s="2" t="s">
        <v>2828</v>
      </c>
      <c r="K3622" s="2">
        <v>914732950</v>
      </c>
      <c r="L3622" s="2" t="s">
        <v>481</v>
      </c>
      <c r="M3622" s="2" t="s">
        <v>40</v>
      </c>
      <c r="O3622" s="2" t="s">
        <v>2829</v>
      </c>
      <c r="P3622" s="2" t="s">
        <v>1611</v>
      </c>
      <c r="Q3622" s="2" t="s">
        <v>1609</v>
      </c>
      <c r="R3622" s="2" t="s">
        <v>1610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7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1611</v>
      </c>
      <c r="AF3622" s="2">
        <f t="shared" si="444"/>
        <v>0</v>
      </c>
      <c r="AG3622" s="2">
        <v>10.15</v>
      </c>
      <c r="AJ3622" s="2">
        <f t="shared" si="445"/>
        <v>0</v>
      </c>
      <c r="AK3622" s="2">
        <f t="shared" si="442"/>
        <v>58.71</v>
      </c>
      <c r="AL3622" s="5">
        <f t="shared" si="441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1615</v>
      </c>
      <c r="Q3623" s="2" t="s">
        <v>2830</v>
      </c>
      <c r="R3623" s="2" t="s">
        <v>2831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7"/>
        <v>1</v>
      </c>
      <c r="Z3623" s="2" t="s">
        <v>105</v>
      </c>
      <c r="AA3623" s="2" t="s">
        <v>265</v>
      </c>
      <c r="AB3623" s="2" t="s">
        <v>1098</v>
      </c>
      <c r="AC3623" s="2" t="s">
        <v>1615</v>
      </c>
      <c r="AF3623" s="2">
        <f t="shared" si="444"/>
        <v>0</v>
      </c>
      <c r="AJ3623" s="2">
        <f t="shared" si="445"/>
        <v>0</v>
      </c>
      <c r="AK3623" s="2">
        <f t="shared" si="442"/>
        <v>9215</v>
      </c>
      <c r="AL3623" s="5">
        <f t="shared" si="441"/>
        <v>1</v>
      </c>
    </row>
    <row r="3624" spans="1:38" x14ac:dyDescent="0.2">
      <c r="A3624" s="2">
        <v>2026</v>
      </c>
      <c r="B3624" s="2">
        <v>4</v>
      </c>
      <c r="D3624" s="2" t="s">
        <v>1628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2832</v>
      </c>
      <c r="J3624" s="2" t="s">
        <v>2833</v>
      </c>
      <c r="L3624" s="2" t="s">
        <v>113</v>
      </c>
      <c r="M3624" s="2" t="s">
        <v>110</v>
      </c>
      <c r="O3624" s="2" t="s">
        <v>2834</v>
      </c>
      <c r="P3624" s="2" t="s">
        <v>283</v>
      </c>
      <c r="Q3624" s="2" t="s">
        <v>1208</v>
      </c>
      <c r="R3624" s="2" t="s">
        <v>1209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7"/>
        <v>0.50380622837370237</v>
      </c>
      <c r="Z3624" s="2" t="s">
        <v>3237</v>
      </c>
      <c r="AA3624" s="2" t="s">
        <v>72</v>
      </c>
      <c r="AB3624" s="2" t="s">
        <v>120</v>
      </c>
      <c r="AC3624" s="2" t="s">
        <v>120</v>
      </c>
      <c r="AF3624" s="2">
        <f t="shared" si="444"/>
        <v>0</v>
      </c>
      <c r="AG3624" s="2">
        <v>14.34</v>
      </c>
      <c r="AJ3624" s="2">
        <f t="shared" si="445"/>
        <v>0</v>
      </c>
      <c r="AK3624" s="2">
        <f t="shared" si="442"/>
        <v>29.119999999999997</v>
      </c>
      <c r="AL3624" s="5">
        <f t="shared" si="441"/>
        <v>0.50380622837370237</v>
      </c>
    </row>
    <row r="3625" spans="1:38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2835</v>
      </c>
      <c r="R3625" s="2" t="s">
        <v>2836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7"/>
        <v>1</v>
      </c>
      <c r="Z3625" s="2" t="s">
        <v>3237</v>
      </c>
      <c r="AA3625" s="2" t="s">
        <v>579</v>
      </c>
      <c r="AB3625" s="2" t="s">
        <v>120</v>
      </c>
      <c r="AC3625" s="2" t="s">
        <v>1331</v>
      </c>
      <c r="AF3625" s="2">
        <f t="shared" si="444"/>
        <v>0</v>
      </c>
      <c r="AJ3625" s="2">
        <f t="shared" si="445"/>
        <v>0</v>
      </c>
      <c r="AK3625" s="2">
        <f t="shared" si="442"/>
        <v>11.2</v>
      </c>
      <c r="AL3625" s="5">
        <f t="shared" si="441"/>
        <v>1</v>
      </c>
    </row>
    <row r="3626" spans="1:38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2837</v>
      </c>
      <c r="R3626" s="2" t="s">
        <v>2838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7"/>
        <v>1</v>
      </c>
      <c r="Z3626" s="2" t="s">
        <v>3237</v>
      </c>
      <c r="AA3626" s="2" t="s">
        <v>579</v>
      </c>
      <c r="AB3626" s="2" t="s">
        <v>120</v>
      </c>
      <c r="AC3626" s="2" t="s">
        <v>1331</v>
      </c>
      <c r="AF3626" s="2">
        <f t="shared" si="444"/>
        <v>0</v>
      </c>
      <c r="AJ3626" s="2">
        <f t="shared" si="445"/>
        <v>0</v>
      </c>
      <c r="AK3626" s="2">
        <f t="shared" si="442"/>
        <v>88.8</v>
      </c>
      <c r="AL3626" s="5">
        <f t="shared" si="441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2839</v>
      </c>
      <c r="P3627" s="2" t="s">
        <v>283</v>
      </c>
      <c r="Q3627" s="2" t="s">
        <v>1787</v>
      </c>
      <c r="R3627" s="2" t="s">
        <v>1788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7"/>
        <v>0.26733668341708544</v>
      </c>
      <c r="Z3627" s="2" t="s">
        <v>105</v>
      </c>
      <c r="AA3627" s="2" t="s">
        <v>388</v>
      </c>
      <c r="AB3627" s="2" t="s">
        <v>1334</v>
      </c>
      <c r="AC3627" s="2" t="s">
        <v>1331</v>
      </c>
      <c r="AF3627" s="2">
        <f t="shared" si="444"/>
        <v>0</v>
      </c>
      <c r="AG3627" s="2">
        <v>1458</v>
      </c>
      <c r="AJ3627" s="2">
        <f t="shared" si="445"/>
        <v>0</v>
      </c>
      <c r="AK3627" s="2">
        <f t="shared" si="442"/>
        <v>532</v>
      </c>
      <c r="AL3627" s="5">
        <f t="shared" si="441"/>
        <v>0.26733668341708544</v>
      </c>
    </row>
    <row r="3628" spans="1:38" x14ac:dyDescent="0.2">
      <c r="A3628" s="2">
        <v>2026</v>
      </c>
      <c r="B3628" s="2">
        <v>4</v>
      </c>
      <c r="D3628" s="2" t="s">
        <v>2840</v>
      </c>
      <c r="P3628" s="2" t="s">
        <v>283</v>
      </c>
      <c r="Q3628" s="2" t="s">
        <v>1787</v>
      </c>
      <c r="R3628" s="2" t="s">
        <v>1788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7"/>
        <v>1</v>
      </c>
      <c r="Z3628" s="2" t="s">
        <v>105</v>
      </c>
      <c r="AF3628" s="2">
        <f t="shared" si="444"/>
        <v>0</v>
      </c>
      <c r="AJ3628" s="2">
        <f t="shared" si="445"/>
        <v>0</v>
      </c>
      <c r="AK3628" s="2">
        <f t="shared" si="442"/>
        <v>1990</v>
      </c>
      <c r="AL3628" s="5">
        <f t="shared" si="441"/>
        <v>1</v>
      </c>
    </row>
    <row r="3629" spans="1:38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1787</v>
      </c>
      <c r="R3629" s="2" t="s">
        <v>1788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7"/>
        <v>1</v>
      </c>
      <c r="Z3629" s="2" t="s">
        <v>105</v>
      </c>
      <c r="AF3629" s="2">
        <f t="shared" si="444"/>
        <v>0</v>
      </c>
      <c r="AJ3629" s="2">
        <f t="shared" si="445"/>
        <v>0</v>
      </c>
      <c r="AK3629" s="2">
        <f t="shared" si="442"/>
        <v>1791</v>
      </c>
      <c r="AL3629" s="5">
        <f t="shared" si="441"/>
        <v>1</v>
      </c>
    </row>
    <row r="3630" spans="1:38" x14ac:dyDescent="0.2">
      <c r="A3630" s="2">
        <v>2026</v>
      </c>
      <c r="B3630" s="2">
        <v>4</v>
      </c>
      <c r="D3630" s="2" t="s">
        <v>2760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2761</v>
      </c>
      <c r="J3630" s="2" t="s">
        <v>2762</v>
      </c>
      <c r="K3630" s="2">
        <v>962332957</v>
      </c>
      <c r="L3630" s="2" t="s">
        <v>113</v>
      </c>
      <c r="M3630" s="2" t="s">
        <v>110</v>
      </c>
      <c r="O3630" s="2" t="s">
        <v>2841</v>
      </c>
      <c r="P3630" s="2" t="s">
        <v>283</v>
      </c>
      <c r="Q3630" s="2" t="s">
        <v>1787</v>
      </c>
      <c r="R3630" s="2" t="s">
        <v>1788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7"/>
        <v>0.26733668341708544</v>
      </c>
      <c r="Z3630" s="2" t="s">
        <v>105</v>
      </c>
      <c r="AA3630" s="2" t="s">
        <v>388</v>
      </c>
      <c r="AB3630" s="2" t="s">
        <v>1334</v>
      </c>
      <c r="AC3630" s="2" t="s">
        <v>1331</v>
      </c>
      <c r="AF3630" s="2">
        <f t="shared" si="444"/>
        <v>0</v>
      </c>
      <c r="AG3630" s="2">
        <v>1458</v>
      </c>
      <c r="AJ3630" s="2">
        <f t="shared" si="445"/>
        <v>0</v>
      </c>
      <c r="AK3630" s="2">
        <f t="shared" si="442"/>
        <v>532</v>
      </c>
      <c r="AL3630" s="5">
        <f t="shared" si="441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2839</v>
      </c>
      <c r="P3631" s="2" t="s">
        <v>283</v>
      </c>
      <c r="Q3631" s="2" t="s">
        <v>1332</v>
      </c>
      <c r="R3631" s="2" t="s">
        <v>1333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7"/>
        <v>0.20703517587939699</v>
      </c>
      <c r="Z3631" s="2" t="s">
        <v>105</v>
      </c>
      <c r="AA3631" s="2" t="s">
        <v>388</v>
      </c>
      <c r="AB3631" s="2" t="s">
        <v>1334</v>
      </c>
      <c r="AC3631" s="2" t="s">
        <v>1331</v>
      </c>
      <c r="AF3631" s="2">
        <f t="shared" si="444"/>
        <v>0</v>
      </c>
      <c r="AG3631" s="2">
        <v>1578</v>
      </c>
      <c r="AJ3631" s="2">
        <f t="shared" si="445"/>
        <v>0</v>
      </c>
      <c r="AK3631" s="2">
        <f t="shared" si="442"/>
        <v>412</v>
      </c>
      <c r="AL3631" s="5">
        <f t="shared" ref="AL3631:AL3699" si="448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1332</v>
      </c>
      <c r="R3632" s="2" t="s">
        <v>1333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7"/>
        <v>0.18449612403100776</v>
      </c>
      <c r="Z3632" s="2" t="s">
        <v>105</v>
      </c>
      <c r="AA3632" s="2" t="s">
        <v>388</v>
      </c>
      <c r="AB3632" s="2" t="s">
        <v>1334</v>
      </c>
      <c r="AC3632" s="2" t="s">
        <v>1331</v>
      </c>
      <c r="AF3632" s="2">
        <f t="shared" si="444"/>
        <v>0</v>
      </c>
      <c r="AJ3632" s="2">
        <f t="shared" si="445"/>
        <v>0</v>
      </c>
      <c r="AK3632" s="2">
        <f t="shared" si="442"/>
        <v>357</v>
      </c>
      <c r="AL3632" s="5">
        <f t="shared" si="448"/>
        <v>0.18449612403100776</v>
      </c>
    </row>
    <row r="3633" spans="1:38" x14ac:dyDescent="0.2">
      <c r="A3633" s="2">
        <v>2026</v>
      </c>
      <c r="B3633" s="2">
        <v>4</v>
      </c>
      <c r="D3633" s="2" t="s">
        <v>1580</v>
      </c>
      <c r="E3633" s="2" t="s">
        <v>754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1288</v>
      </c>
      <c r="R3633" s="2" t="s">
        <v>1289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7"/>
        <v>1</v>
      </c>
      <c r="Z3633" s="2" t="s">
        <v>105</v>
      </c>
      <c r="AA3633" s="2" t="s">
        <v>1581</v>
      </c>
      <c r="AB3633" s="2" t="s">
        <v>389</v>
      </c>
      <c r="AC3633" s="2" t="s">
        <v>1331</v>
      </c>
      <c r="AF3633" s="2">
        <f t="shared" si="444"/>
        <v>0</v>
      </c>
      <c r="AJ3633" s="2">
        <f t="shared" si="445"/>
        <v>0</v>
      </c>
      <c r="AK3633" s="2">
        <f t="shared" si="442"/>
        <v>250</v>
      </c>
      <c r="AL3633" s="5">
        <f t="shared" si="448"/>
        <v>1</v>
      </c>
    </row>
    <row r="3634" spans="1:38" x14ac:dyDescent="0.2">
      <c r="A3634" s="2">
        <v>2026</v>
      </c>
      <c r="B3634" s="2">
        <v>4</v>
      </c>
      <c r="D3634" s="2" t="s">
        <v>2842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2843</v>
      </c>
      <c r="J3634" s="2" t="s">
        <v>2844</v>
      </c>
      <c r="K3634" s="2">
        <v>918896903</v>
      </c>
      <c r="L3634" s="2" t="s">
        <v>100</v>
      </c>
      <c r="M3634" s="2" t="s">
        <v>41</v>
      </c>
      <c r="O3634" s="2" t="s">
        <v>2845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7"/>
        <v>0.22680412371134015</v>
      </c>
      <c r="Z3634" s="2" t="s">
        <v>3237</v>
      </c>
      <c r="AA3634" s="2" t="s">
        <v>72</v>
      </c>
      <c r="AB3634" s="2" t="s">
        <v>120</v>
      </c>
      <c r="AC3634" s="2" t="s">
        <v>120</v>
      </c>
      <c r="AF3634" s="2">
        <f t="shared" si="444"/>
        <v>0</v>
      </c>
      <c r="AG3634" s="2">
        <v>299.25</v>
      </c>
      <c r="AJ3634" s="2">
        <f t="shared" si="445"/>
        <v>0</v>
      </c>
      <c r="AK3634" s="2">
        <f t="shared" si="442"/>
        <v>87.779999999999973</v>
      </c>
      <c r="AL3634" s="5">
        <f t="shared" si="448"/>
        <v>0.22680412371134015</v>
      </c>
    </row>
    <row r="3635" spans="1:38" x14ac:dyDescent="0.2">
      <c r="A3635" s="2">
        <v>2026</v>
      </c>
      <c r="B3635" s="2">
        <v>4</v>
      </c>
      <c r="D3635" s="2" t="s">
        <v>2842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2843</v>
      </c>
      <c r="J3635" s="2" t="s">
        <v>2844</v>
      </c>
      <c r="K3635" s="2">
        <v>918896903</v>
      </c>
      <c r="L3635" s="2" t="s">
        <v>100</v>
      </c>
      <c r="M3635" s="2" t="s">
        <v>41</v>
      </c>
      <c r="O3635" s="2" t="s">
        <v>2845</v>
      </c>
      <c r="P3635" s="2" t="s">
        <v>283</v>
      </c>
      <c r="Q3635" s="2" t="s">
        <v>1000</v>
      </c>
      <c r="R3635" s="2" t="s">
        <v>1001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7"/>
        <v>0.38144329896907209</v>
      </c>
      <c r="Z3635" s="2" t="s">
        <v>3237</v>
      </c>
      <c r="AA3635" s="2" t="s">
        <v>72</v>
      </c>
      <c r="AB3635" s="2" t="s">
        <v>120</v>
      </c>
      <c r="AC3635" s="2" t="s">
        <v>120</v>
      </c>
      <c r="AF3635" s="2">
        <f t="shared" si="444"/>
        <v>0</v>
      </c>
      <c r="AG3635" s="2">
        <v>77.400000000000006</v>
      </c>
      <c r="AJ3635" s="2">
        <f t="shared" si="445"/>
        <v>0</v>
      </c>
      <c r="AK3635" s="2">
        <f t="shared" si="442"/>
        <v>47.72999999999999</v>
      </c>
      <c r="AL3635" s="5">
        <f t="shared" si="448"/>
        <v>0.38144329896907209</v>
      </c>
    </row>
    <row r="3636" spans="1:38" x14ac:dyDescent="0.2">
      <c r="A3636" s="2">
        <v>2026</v>
      </c>
      <c r="B3636" s="2">
        <v>4</v>
      </c>
      <c r="D3636" s="2" t="s">
        <v>2529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3237</v>
      </c>
      <c r="AA3636" s="2" t="s">
        <v>46</v>
      </c>
      <c r="AB3636" s="2" t="s">
        <v>61</v>
      </c>
      <c r="AC3636" s="2" t="s">
        <v>3343</v>
      </c>
      <c r="AF3636" s="2">
        <f t="shared" si="444"/>
        <v>0</v>
      </c>
      <c r="AJ3636" s="2">
        <f t="shared" si="445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1560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1561</v>
      </c>
      <c r="J3637" s="2" t="s">
        <v>1562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3237</v>
      </c>
      <c r="AA3637" s="2" t="s">
        <v>46</v>
      </c>
      <c r="AB3637" s="2" t="s">
        <v>61</v>
      </c>
      <c r="AC3637" s="2" t="s">
        <v>3343</v>
      </c>
      <c r="AF3637" s="2">
        <f t="shared" si="444"/>
        <v>0</v>
      </c>
      <c r="AJ3637" s="2">
        <f t="shared" si="445"/>
        <v>0</v>
      </c>
      <c r="AK3637" s="2">
        <f t="shared" si="442"/>
        <v>109.80200000000002</v>
      </c>
      <c r="AL3637" s="5">
        <f t="shared" si="448"/>
        <v>0.27450500000000005</v>
      </c>
    </row>
    <row r="3638" spans="1:38" x14ac:dyDescent="0.2">
      <c r="A3638" s="2">
        <v>2026</v>
      </c>
      <c r="B3638" s="2">
        <v>4</v>
      </c>
      <c r="D3638" s="2" t="s">
        <v>2529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3237</v>
      </c>
      <c r="AA3638" s="2" t="s">
        <v>46</v>
      </c>
      <c r="AB3638" s="2" t="s">
        <v>61</v>
      </c>
      <c r="AC3638" s="2" t="s">
        <v>3343</v>
      </c>
      <c r="AF3638" s="2">
        <f t="shared" si="444"/>
        <v>0</v>
      </c>
      <c r="AJ3638" s="2">
        <f t="shared" si="445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2846</v>
      </c>
      <c r="E3639" s="2" t="s">
        <v>38</v>
      </c>
      <c r="G3639" s="2">
        <v>184822033</v>
      </c>
      <c r="I3639" s="2" t="s">
        <v>2847</v>
      </c>
      <c r="L3639" s="2" t="s">
        <v>462</v>
      </c>
      <c r="M3639" s="2" t="s">
        <v>110</v>
      </c>
      <c r="O3639" s="2" t="s">
        <v>2848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9">(T3639-W3639)/T3639</f>
        <v>0.42321428571428571</v>
      </c>
      <c r="Z3639" s="2" t="s">
        <v>3237</v>
      </c>
      <c r="AA3639" s="2" t="s">
        <v>46</v>
      </c>
      <c r="AB3639" s="2" t="s">
        <v>47</v>
      </c>
      <c r="AC3639" s="2" t="s">
        <v>48</v>
      </c>
      <c r="AF3639" s="2">
        <f t="shared" si="444"/>
        <v>0</v>
      </c>
      <c r="AG3639" s="2">
        <v>14.535</v>
      </c>
      <c r="AH3639" s="2">
        <v>25.2</v>
      </c>
      <c r="AJ3639" s="2">
        <f t="shared" si="445"/>
        <v>0</v>
      </c>
      <c r="AK3639" s="2">
        <f t="shared" ref="AK3639:AK3701" si="450">T3639-W3639</f>
        <v>10.664999999999999</v>
      </c>
      <c r="AL3639" s="5">
        <f t="shared" si="448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2849</v>
      </c>
      <c r="P3640" s="2" t="s">
        <v>43</v>
      </c>
      <c r="Q3640" s="2" t="s">
        <v>1107</v>
      </c>
      <c r="R3640" s="2" t="s">
        <v>1108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9"/>
        <v>0.52380952380952384</v>
      </c>
      <c r="Z3640" s="2" t="s">
        <v>3237</v>
      </c>
      <c r="AA3640" s="2" t="s">
        <v>46</v>
      </c>
      <c r="AB3640" s="2" t="s">
        <v>47</v>
      </c>
      <c r="AC3640" s="2" t="s">
        <v>48</v>
      </c>
      <c r="AF3640" s="2">
        <f t="shared" si="444"/>
        <v>0</v>
      </c>
      <c r="AG3640" s="2">
        <v>10</v>
      </c>
      <c r="AH3640" s="2">
        <v>21</v>
      </c>
      <c r="AJ3640" s="2">
        <f t="shared" si="445"/>
        <v>0</v>
      </c>
      <c r="AK3640" s="2">
        <f t="shared" si="450"/>
        <v>11</v>
      </c>
      <c r="AL3640" s="5">
        <f t="shared" si="448"/>
        <v>0.52380952380952384</v>
      </c>
    </row>
    <row r="3641" spans="1:38" x14ac:dyDescent="0.2">
      <c r="A3641" s="2">
        <v>2026</v>
      </c>
      <c r="B3641" s="2">
        <v>4</v>
      </c>
      <c r="D3641" s="2" t="s">
        <v>2846</v>
      </c>
      <c r="E3641" s="2" t="s">
        <v>38</v>
      </c>
      <c r="G3641" s="2">
        <v>184822033</v>
      </c>
      <c r="I3641" s="2" t="s">
        <v>2850</v>
      </c>
      <c r="L3641" s="2" t="s">
        <v>462</v>
      </c>
      <c r="M3641" s="2" t="s">
        <v>110</v>
      </c>
      <c r="O3641" s="2" t="s">
        <v>2851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49"/>
        <v>0.4919047619047619</v>
      </c>
      <c r="Z3641" s="2" t="s">
        <v>3237</v>
      </c>
      <c r="AA3641" s="2" t="s">
        <v>46</v>
      </c>
      <c r="AB3641" s="2" t="s">
        <v>47</v>
      </c>
      <c r="AC3641" s="2" t="s">
        <v>48</v>
      </c>
      <c r="AF3641" s="2">
        <f t="shared" si="444"/>
        <v>0</v>
      </c>
      <c r="AG3641" s="2">
        <v>10.67</v>
      </c>
      <c r="AH3641" s="2">
        <v>21</v>
      </c>
      <c r="AJ3641" s="2">
        <f t="shared" si="445"/>
        <v>0</v>
      </c>
      <c r="AK3641" s="2">
        <f t="shared" si="450"/>
        <v>10.33</v>
      </c>
      <c r="AL3641" s="5">
        <f t="shared" si="448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2852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9"/>
        <v>0.46762608695652175</v>
      </c>
      <c r="Z3642" s="2" t="s">
        <v>3237</v>
      </c>
      <c r="AA3642" s="2" t="s">
        <v>76</v>
      </c>
      <c r="AB3642" s="2" t="s">
        <v>77</v>
      </c>
      <c r="AC3642" s="2" t="s">
        <v>78</v>
      </c>
      <c r="AF3642" s="2">
        <f t="shared" si="444"/>
        <v>0</v>
      </c>
      <c r="AG3642" s="2">
        <v>122.446</v>
      </c>
      <c r="AH3642" s="2">
        <v>230</v>
      </c>
      <c r="AJ3642" s="2">
        <f t="shared" si="445"/>
        <v>0</v>
      </c>
      <c r="AK3642" s="2">
        <f t="shared" si="450"/>
        <v>107.554</v>
      </c>
      <c r="AL3642" s="5">
        <f t="shared" si="448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2852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9"/>
        <v>0</v>
      </c>
      <c r="Z3643" s="2" t="s">
        <v>3237</v>
      </c>
      <c r="AA3643" s="2" t="s">
        <v>97</v>
      </c>
      <c r="AB3643" s="2" t="s">
        <v>77</v>
      </c>
      <c r="AC3643" s="2" t="s">
        <v>94</v>
      </c>
      <c r="AF3643" s="2">
        <f t="shared" si="444"/>
        <v>0</v>
      </c>
      <c r="AG3643" s="2">
        <v>1.48</v>
      </c>
      <c r="AH3643" s="2">
        <v>1.48</v>
      </c>
      <c r="AJ3643" s="2">
        <f t="shared" si="445"/>
        <v>0</v>
      </c>
      <c r="AK3643" s="2">
        <f t="shared" si="450"/>
        <v>0</v>
      </c>
      <c r="AL3643" s="5">
        <f t="shared" si="448"/>
        <v>0</v>
      </c>
    </row>
    <row r="3644" spans="1:38" x14ac:dyDescent="0.2">
      <c r="A3644" s="2">
        <v>2026</v>
      </c>
      <c r="B3644" s="2">
        <v>4</v>
      </c>
      <c r="D3644" s="2" t="s">
        <v>983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1">6.6267*S3644</f>
        <v>6.6266999999999996</v>
      </c>
      <c r="X3644" s="5">
        <f t="shared" si="449"/>
        <v>0.49025384615384621</v>
      </c>
      <c r="Z3644" s="2" t="s">
        <v>3237</v>
      </c>
      <c r="AA3644" s="2" t="s">
        <v>46</v>
      </c>
      <c r="AB3644" s="2" t="s">
        <v>47</v>
      </c>
      <c r="AC3644" s="2" t="s">
        <v>48</v>
      </c>
      <c r="AF3644" s="2">
        <f t="shared" si="444"/>
        <v>0</v>
      </c>
      <c r="AG3644" s="2">
        <v>6.6266999999999996</v>
      </c>
      <c r="AH3644" s="2">
        <v>12</v>
      </c>
      <c r="AJ3644" s="2">
        <f t="shared" si="445"/>
        <v>0</v>
      </c>
      <c r="AK3644" s="2">
        <f t="shared" si="450"/>
        <v>6.3733000000000004</v>
      </c>
      <c r="AL3644" s="5">
        <f t="shared" si="448"/>
        <v>0.49025384615384621</v>
      </c>
    </row>
    <row r="3645" spans="1:38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1"/>
        <v>19.880099999999999</v>
      </c>
      <c r="X3645" s="5">
        <f t="shared" si="449"/>
        <v>0.49025384615384621</v>
      </c>
      <c r="Z3645" s="2" t="s">
        <v>3237</v>
      </c>
      <c r="AA3645" s="2" t="s">
        <v>46</v>
      </c>
      <c r="AB3645" s="2" t="s">
        <v>47</v>
      </c>
      <c r="AC3645" s="2" t="s">
        <v>48</v>
      </c>
      <c r="AF3645" s="2">
        <f t="shared" si="444"/>
        <v>0</v>
      </c>
      <c r="AG3645" s="2">
        <v>6.6266999999999996</v>
      </c>
      <c r="AH3645" s="2">
        <v>12</v>
      </c>
      <c r="AJ3645" s="2">
        <f t="shared" si="445"/>
        <v>0</v>
      </c>
      <c r="AK3645" s="2">
        <f t="shared" si="450"/>
        <v>19.119900000000001</v>
      </c>
      <c r="AL3645" s="5">
        <f t="shared" si="448"/>
        <v>0.49025384615384621</v>
      </c>
    </row>
    <row r="3646" spans="1:38" x14ac:dyDescent="0.2">
      <c r="A3646" s="2">
        <v>2026</v>
      </c>
      <c r="B3646" s="2">
        <v>4</v>
      </c>
      <c r="D3646" s="2" t="s">
        <v>1018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2546</v>
      </c>
      <c r="L3646" s="2" t="s">
        <v>100</v>
      </c>
      <c r="M3646" s="2" t="s">
        <v>81</v>
      </c>
      <c r="O3646" s="2" t="s">
        <v>2853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1"/>
        <v>6.6266999999999996</v>
      </c>
      <c r="X3646" s="5">
        <f t="shared" si="449"/>
        <v>0.65485937500000002</v>
      </c>
      <c r="Z3646" s="2" t="s">
        <v>3237</v>
      </c>
      <c r="AA3646" s="2" t="s">
        <v>46</v>
      </c>
      <c r="AB3646" s="2" t="s">
        <v>47</v>
      </c>
      <c r="AC3646" s="2" t="s">
        <v>48</v>
      </c>
      <c r="AF3646" s="2">
        <f t="shared" si="444"/>
        <v>0</v>
      </c>
      <c r="AG3646" s="2">
        <v>6.6266999999999996</v>
      </c>
      <c r="AH3646" s="2">
        <v>12</v>
      </c>
      <c r="AJ3646" s="2">
        <f t="shared" si="445"/>
        <v>0</v>
      </c>
      <c r="AK3646" s="2">
        <f t="shared" si="450"/>
        <v>12.5733</v>
      </c>
      <c r="AL3646" s="5">
        <f t="shared" si="448"/>
        <v>0.65485937500000002</v>
      </c>
    </row>
    <row r="3647" spans="1:38" x14ac:dyDescent="0.2">
      <c r="A3647" s="2">
        <v>2026</v>
      </c>
      <c r="B3647" s="2">
        <v>4</v>
      </c>
      <c r="D3647" s="2" t="s">
        <v>2854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1"/>
        <v>6.6266999999999996</v>
      </c>
      <c r="X3647" s="5">
        <f t="shared" si="449"/>
        <v>0.44777500000000003</v>
      </c>
      <c r="Z3647" s="2" t="s">
        <v>3237</v>
      </c>
      <c r="AA3647" s="2" t="s">
        <v>46</v>
      </c>
      <c r="AB3647" s="2" t="s">
        <v>47</v>
      </c>
      <c r="AC3647" s="2" t="s">
        <v>48</v>
      </c>
      <c r="AF3647" s="2">
        <f t="shared" si="444"/>
        <v>0</v>
      </c>
      <c r="AG3647" s="2">
        <v>6.6266999999999996</v>
      </c>
      <c r="AH3647" s="2">
        <v>12</v>
      </c>
      <c r="AJ3647" s="2">
        <f t="shared" si="445"/>
        <v>0</v>
      </c>
      <c r="AK3647" s="2">
        <f t="shared" si="450"/>
        <v>5.3733000000000004</v>
      </c>
      <c r="AL3647" s="5">
        <f t="shared" si="448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1"/>
        <v>13.253399999999999</v>
      </c>
      <c r="X3648" s="5">
        <f t="shared" si="449"/>
        <v>0.44777500000000003</v>
      </c>
      <c r="Z3648" s="2" t="s">
        <v>3237</v>
      </c>
      <c r="AA3648" s="2" t="s">
        <v>46</v>
      </c>
      <c r="AB3648" s="2" t="s">
        <v>47</v>
      </c>
      <c r="AC3648" s="2" t="s">
        <v>48</v>
      </c>
      <c r="AF3648" s="2">
        <f t="shared" si="444"/>
        <v>0</v>
      </c>
      <c r="AG3648" s="2">
        <v>6.6266999999999996</v>
      </c>
      <c r="AH3648" s="2">
        <v>12</v>
      </c>
      <c r="AJ3648" s="2">
        <f t="shared" si="445"/>
        <v>0</v>
      </c>
      <c r="AK3648" s="2">
        <f t="shared" si="450"/>
        <v>10.746600000000001</v>
      </c>
      <c r="AL3648" s="5">
        <f t="shared" si="448"/>
        <v>0.44777500000000003</v>
      </c>
    </row>
    <row r="3649" spans="1:38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2855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1"/>
        <v>13.253399999999999</v>
      </c>
      <c r="X3649" s="5">
        <f t="shared" si="449"/>
        <v>0.44777500000000003</v>
      </c>
      <c r="Z3649" s="2" t="s">
        <v>3237</v>
      </c>
      <c r="AA3649" s="2" t="s">
        <v>46</v>
      </c>
      <c r="AB3649" s="2" t="s">
        <v>47</v>
      </c>
      <c r="AC3649" s="2" t="s">
        <v>48</v>
      </c>
      <c r="AF3649" s="2">
        <f t="shared" si="444"/>
        <v>0</v>
      </c>
      <c r="AG3649" s="2">
        <v>6.6266999999999996</v>
      </c>
      <c r="AH3649" s="2">
        <v>12</v>
      </c>
      <c r="AJ3649" s="2">
        <f t="shared" si="445"/>
        <v>0</v>
      </c>
      <c r="AK3649" s="2">
        <f t="shared" si="450"/>
        <v>10.746600000000001</v>
      </c>
      <c r="AL3649" s="5">
        <f t="shared" si="448"/>
        <v>0.44777500000000003</v>
      </c>
    </row>
    <row r="3650" spans="1:38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1367</v>
      </c>
      <c r="R3650" s="2" t="s">
        <v>1368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49"/>
        <v>0.71491228070175439</v>
      </c>
      <c r="Z3650" s="2" t="s">
        <v>3237</v>
      </c>
      <c r="AA3650" s="2" t="s">
        <v>46</v>
      </c>
      <c r="AB3650" s="2" t="s">
        <v>47</v>
      </c>
      <c r="AC3650" s="2" t="s">
        <v>48</v>
      </c>
      <c r="AF3650" s="2">
        <f t="shared" si="444"/>
        <v>0</v>
      </c>
      <c r="AJ3650" s="2">
        <f t="shared" si="445"/>
        <v>0</v>
      </c>
      <c r="AK3650" s="2">
        <f t="shared" si="450"/>
        <v>48.900000000000006</v>
      </c>
      <c r="AL3650" s="5">
        <f t="shared" si="448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2">11.295*S3651</f>
        <v>11.295</v>
      </c>
      <c r="X3651" s="5">
        <f t="shared" si="449"/>
        <v>0.68624999999999992</v>
      </c>
      <c r="Z3651" s="2" t="s">
        <v>3237</v>
      </c>
      <c r="AA3651" s="2" t="s">
        <v>46</v>
      </c>
      <c r="AB3651" s="2" t="s">
        <v>47</v>
      </c>
      <c r="AC3651" s="2" t="s">
        <v>48</v>
      </c>
      <c r="AF3651" s="2">
        <f t="shared" ref="AF3651:AF3714" si="453">AJ3651</f>
        <v>0</v>
      </c>
      <c r="AJ3651" s="2">
        <f t="shared" ref="AJ3651:AJ3714" si="454">AI3651*T3651</f>
        <v>0</v>
      </c>
      <c r="AK3651" s="2">
        <f t="shared" si="450"/>
        <v>24.704999999999998</v>
      </c>
      <c r="AL3651" s="5">
        <f t="shared" si="448"/>
        <v>0.68624999999999992</v>
      </c>
    </row>
    <row r="3652" spans="1:38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2"/>
        <v>22.59</v>
      </c>
      <c r="X3652" s="5">
        <f t="shared" si="449"/>
        <v>0.68624999999999992</v>
      </c>
      <c r="Z3652" s="2" t="s">
        <v>3237</v>
      </c>
      <c r="AA3652" s="2" t="s">
        <v>46</v>
      </c>
      <c r="AB3652" s="2" t="s">
        <v>47</v>
      </c>
      <c r="AC3652" s="2" t="s">
        <v>48</v>
      </c>
      <c r="AF3652" s="2">
        <f t="shared" si="453"/>
        <v>0</v>
      </c>
      <c r="AJ3652" s="2">
        <f t="shared" si="454"/>
        <v>0</v>
      </c>
      <c r="AK3652" s="2">
        <f t="shared" si="450"/>
        <v>49.41</v>
      </c>
      <c r="AL3652" s="5">
        <f t="shared" si="448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2856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9"/>
        <v>0.46762608695652175</v>
      </c>
      <c r="Z3653" s="2" t="s">
        <v>3237</v>
      </c>
      <c r="AA3653" s="2" t="s">
        <v>76</v>
      </c>
      <c r="AB3653" s="2" t="s">
        <v>77</v>
      </c>
      <c r="AC3653" s="2" t="s">
        <v>78</v>
      </c>
      <c r="AF3653" s="2">
        <f t="shared" si="453"/>
        <v>0</v>
      </c>
      <c r="AG3653" s="2">
        <v>122.446</v>
      </c>
      <c r="AH3653" s="2">
        <v>230</v>
      </c>
      <c r="AJ3653" s="2">
        <f t="shared" si="454"/>
        <v>0</v>
      </c>
      <c r="AK3653" s="2">
        <f t="shared" si="450"/>
        <v>107.554</v>
      </c>
      <c r="AL3653" s="5">
        <f t="shared" si="448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2857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9"/>
        <v>0.31428571428571428</v>
      </c>
      <c r="Z3654" s="2" t="s">
        <v>3237</v>
      </c>
      <c r="AA3654" s="2" t="s">
        <v>46</v>
      </c>
      <c r="AB3654" s="2" t="s">
        <v>47</v>
      </c>
      <c r="AC3654" s="2" t="s">
        <v>48</v>
      </c>
      <c r="AF3654" s="2">
        <f t="shared" si="453"/>
        <v>0</v>
      </c>
      <c r="AG3654" s="2">
        <v>14.4</v>
      </c>
      <c r="AH3654" s="2">
        <v>21</v>
      </c>
      <c r="AJ3654" s="2">
        <f t="shared" si="454"/>
        <v>0</v>
      </c>
      <c r="AK3654" s="2">
        <f t="shared" si="450"/>
        <v>6.6</v>
      </c>
      <c r="AL3654" s="5">
        <f t="shared" si="448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2856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9"/>
        <v>0</v>
      </c>
      <c r="Z3655" s="2" t="s">
        <v>3237</v>
      </c>
      <c r="AA3655" s="2" t="s">
        <v>97</v>
      </c>
      <c r="AB3655" s="2" t="s">
        <v>77</v>
      </c>
      <c r="AC3655" s="2" t="s">
        <v>94</v>
      </c>
      <c r="AF3655" s="2">
        <f t="shared" si="453"/>
        <v>0</v>
      </c>
      <c r="AG3655" s="2">
        <v>1.48</v>
      </c>
      <c r="AH3655" s="2">
        <v>1.48</v>
      </c>
      <c r="AJ3655" s="2">
        <f t="shared" si="454"/>
        <v>0</v>
      </c>
      <c r="AK3655" s="2">
        <f t="shared" si="450"/>
        <v>0</v>
      </c>
      <c r="AL3655" s="5">
        <f t="shared" si="448"/>
        <v>0</v>
      </c>
    </row>
    <row r="3656" spans="1:38" x14ac:dyDescent="0.2">
      <c r="A3656" s="2">
        <v>2026</v>
      </c>
      <c r="B3656" s="2">
        <v>4</v>
      </c>
      <c r="D3656" s="2" t="s">
        <v>983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9"/>
        <v>0.58491111111111116</v>
      </c>
      <c r="Z3656" s="2" t="s">
        <v>3237</v>
      </c>
      <c r="AA3656" s="2" t="s">
        <v>46</v>
      </c>
      <c r="AB3656" s="2" t="s">
        <v>47</v>
      </c>
      <c r="AC3656" s="2" t="s">
        <v>48</v>
      </c>
      <c r="AF3656" s="2">
        <f t="shared" si="453"/>
        <v>0</v>
      </c>
      <c r="AG3656" s="2">
        <v>3.7357999999999998</v>
      </c>
      <c r="AH3656" s="2">
        <v>9</v>
      </c>
      <c r="AJ3656" s="2">
        <f t="shared" si="454"/>
        <v>0</v>
      </c>
      <c r="AK3656" s="2">
        <f t="shared" si="450"/>
        <v>5.2642000000000007</v>
      </c>
      <c r="AL3656" s="5">
        <f t="shared" si="448"/>
        <v>0.58491111111111116</v>
      </c>
    </row>
    <row r="3657" spans="1:38" x14ac:dyDescent="0.2">
      <c r="A3657" s="2">
        <v>2026</v>
      </c>
      <c r="B3657" s="2">
        <v>4</v>
      </c>
      <c r="D3657" s="2" t="s">
        <v>2854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9"/>
        <v>0.58491111111111116</v>
      </c>
      <c r="Z3657" s="2" t="s">
        <v>3237</v>
      </c>
      <c r="AA3657" s="2" t="s">
        <v>46</v>
      </c>
      <c r="AB3657" s="2" t="s">
        <v>47</v>
      </c>
      <c r="AC3657" s="2" t="s">
        <v>48</v>
      </c>
      <c r="AF3657" s="2">
        <f t="shared" si="453"/>
        <v>0</v>
      </c>
      <c r="AG3657" s="2">
        <v>3.7357999999999998</v>
      </c>
      <c r="AH3657" s="2">
        <v>9</v>
      </c>
      <c r="AJ3657" s="2">
        <f t="shared" si="454"/>
        <v>0</v>
      </c>
      <c r="AK3657" s="2">
        <f t="shared" si="450"/>
        <v>5.2642000000000007</v>
      </c>
      <c r="AL3657" s="5">
        <f t="shared" si="448"/>
        <v>0.58491111111111116</v>
      </c>
    </row>
    <row r="3658" spans="1:38" x14ac:dyDescent="0.2">
      <c r="A3658" s="2">
        <v>2026</v>
      </c>
      <c r="B3658" s="2">
        <v>4</v>
      </c>
      <c r="D3658" s="2" t="s">
        <v>2846</v>
      </c>
      <c r="E3658" s="2" t="s">
        <v>38</v>
      </c>
      <c r="G3658" s="2">
        <v>184822033</v>
      </c>
      <c r="I3658" s="2" t="s">
        <v>2850</v>
      </c>
      <c r="L3658" s="2" t="s">
        <v>462</v>
      </c>
      <c r="M3658" s="2" t="s">
        <v>110</v>
      </c>
      <c r="O3658" s="2" t="s">
        <v>2848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9"/>
        <v>0.50950925925925927</v>
      </c>
      <c r="Z3658" s="2" t="s">
        <v>3237</v>
      </c>
      <c r="AA3658" s="2" t="s">
        <v>46</v>
      </c>
      <c r="AB3658" s="2" t="s">
        <v>47</v>
      </c>
      <c r="AC3658" s="2" t="s">
        <v>48</v>
      </c>
      <c r="AF3658" s="2">
        <f t="shared" si="453"/>
        <v>0</v>
      </c>
      <c r="AG3658" s="2">
        <v>5.2972999999999999</v>
      </c>
      <c r="AH3658" s="2">
        <v>10.8</v>
      </c>
      <c r="AJ3658" s="2">
        <f t="shared" si="454"/>
        <v>0</v>
      </c>
      <c r="AK3658" s="2">
        <f t="shared" si="450"/>
        <v>5.5027000000000008</v>
      </c>
      <c r="AL3658" s="5">
        <f t="shared" si="448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2849</v>
      </c>
      <c r="P3659" s="2" t="s">
        <v>43</v>
      </c>
      <c r="Q3659" s="2" t="s">
        <v>2858</v>
      </c>
      <c r="R3659" s="2" t="s">
        <v>2859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9"/>
        <v>0.57566666666666666</v>
      </c>
      <c r="Z3659" s="2" t="s">
        <v>3237</v>
      </c>
      <c r="AA3659" s="2" t="s">
        <v>46</v>
      </c>
      <c r="AB3659" s="2" t="s">
        <v>47</v>
      </c>
      <c r="AC3659" s="2" t="s">
        <v>48</v>
      </c>
      <c r="AF3659" s="2">
        <f t="shared" si="453"/>
        <v>0</v>
      </c>
      <c r="AG3659" s="2">
        <v>12.73</v>
      </c>
      <c r="AH3659" s="2">
        <v>30</v>
      </c>
      <c r="AJ3659" s="2">
        <f t="shared" si="454"/>
        <v>0</v>
      </c>
      <c r="AK3659" s="2">
        <f t="shared" si="450"/>
        <v>17.27</v>
      </c>
      <c r="AL3659" s="5">
        <f t="shared" si="448"/>
        <v>0.57566666666666666</v>
      </c>
    </row>
    <row r="3660" spans="1:38" x14ac:dyDescent="0.2">
      <c r="A3660" s="2">
        <v>2026</v>
      </c>
      <c r="B3660" s="2">
        <v>4</v>
      </c>
      <c r="D3660" s="2" t="s">
        <v>1895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49"/>
        <v>0.47233333333333333</v>
      </c>
      <c r="Z3660" s="2" t="s">
        <v>3237</v>
      </c>
      <c r="AA3660" s="2" t="s">
        <v>46</v>
      </c>
      <c r="AB3660" s="2" t="s">
        <v>57</v>
      </c>
      <c r="AC3660" s="2" t="s">
        <v>58</v>
      </c>
      <c r="AF3660" s="2">
        <f t="shared" si="453"/>
        <v>0</v>
      </c>
      <c r="AJ3660" s="2">
        <f t="shared" si="454"/>
        <v>0</v>
      </c>
      <c r="AK3660" s="2">
        <f t="shared" si="450"/>
        <v>14.17</v>
      </c>
      <c r="AL3660" s="5">
        <f t="shared" si="448"/>
        <v>0.47233333333333333</v>
      </c>
    </row>
    <row r="3661" spans="1:38" x14ac:dyDescent="0.2">
      <c r="A3661" s="2">
        <v>2026</v>
      </c>
      <c r="B3661" s="2">
        <v>4</v>
      </c>
      <c r="D3661" s="2" t="s">
        <v>2524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2525</v>
      </c>
      <c r="J3661" s="2" t="s">
        <v>2526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49"/>
        <v>0.47734374999999996</v>
      </c>
      <c r="Z3661" s="2" t="s">
        <v>3237</v>
      </c>
      <c r="AA3661" s="2" t="s">
        <v>46</v>
      </c>
      <c r="AB3661" s="2" t="s">
        <v>57</v>
      </c>
      <c r="AC3661" s="2" t="s">
        <v>58</v>
      </c>
      <c r="AF3661" s="2">
        <f t="shared" si="453"/>
        <v>0</v>
      </c>
      <c r="AJ3661" s="2">
        <f t="shared" si="454"/>
        <v>0</v>
      </c>
      <c r="AK3661" s="2">
        <f t="shared" si="450"/>
        <v>9.1649999999999991</v>
      </c>
      <c r="AL3661" s="5">
        <f t="shared" si="448"/>
        <v>0.47734374999999996</v>
      </c>
    </row>
    <row r="3662" spans="1:38" x14ac:dyDescent="0.2">
      <c r="A3662" s="2">
        <v>2026</v>
      </c>
      <c r="B3662" s="2">
        <v>4</v>
      </c>
      <c r="D3662" s="2" t="s">
        <v>2524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2525</v>
      </c>
      <c r="J3662" s="2" t="s">
        <v>2526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49"/>
        <v>0.46823076923076917</v>
      </c>
      <c r="Z3662" s="2" t="s">
        <v>3237</v>
      </c>
      <c r="AA3662" s="2" t="s">
        <v>46</v>
      </c>
      <c r="AB3662" s="2" t="s">
        <v>57</v>
      </c>
      <c r="AC3662" s="2" t="s">
        <v>58</v>
      </c>
      <c r="AF3662" s="2">
        <f t="shared" si="453"/>
        <v>0</v>
      </c>
      <c r="AJ3662" s="2">
        <f t="shared" si="454"/>
        <v>0</v>
      </c>
      <c r="AK3662" s="2">
        <f t="shared" si="450"/>
        <v>10.956599999999998</v>
      </c>
      <c r="AL3662" s="5">
        <f t="shared" si="448"/>
        <v>0.46823076923076917</v>
      </c>
    </row>
    <row r="3663" spans="1:38" x14ac:dyDescent="0.2">
      <c r="A3663" s="2">
        <v>2026</v>
      </c>
      <c r="B3663" s="2">
        <v>3</v>
      </c>
      <c r="D3663" s="2" t="s">
        <v>2860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9"/>
        <v>0.44777500000000003</v>
      </c>
      <c r="Z3663" s="2" t="s">
        <v>3237</v>
      </c>
      <c r="AA3663" s="2" t="s">
        <v>46</v>
      </c>
      <c r="AB3663" s="2" t="s">
        <v>47</v>
      </c>
      <c r="AC3663" s="2" t="s">
        <v>48</v>
      </c>
      <c r="AF3663" s="2">
        <f t="shared" si="453"/>
        <v>0</v>
      </c>
      <c r="AG3663" s="2">
        <v>6.6266999999999996</v>
      </c>
      <c r="AH3663" s="2">
        <v>12</v>
      </c>
      <c r="AJ3663" s="2">
        <f t="shared" si="454"/>
        <v>0</v>
      </c>
      <c r="AK3663" s="2">
        <f t="shared" si="450"/>
        <v>5.3733000000000004</v>
      </c>
      <c r="AL3663" s="5">
        <f t="shared" si="448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9"/>
        <v>0.49849305555555556</v>
      </c>
      <c r="Z3664" s="2" t="s">
        <v>3237</v>
      </c>
      <c r="AA3664" s="2" t="s">
        <v>46</v>
      </c>
      <c r="AB3664" s="2" t="s">
        <v>57</v>
      </c>
      <c r="AC3664" s="2" t="s">
        <v>58</v>
      </c>
      <c r="AF3664" s="2">
        <f t="shared" si="453"/>
        <v>0</v>
      </c>
      <c r="AG3664" s="2">
        <v>7.2217000000000002</v>
      </c>
      <c r="AH3664" s="2">
        <v>14.4</v>
      </c>
      <c r="AJ3664" s="2">
        <f t="shared" si="454"/>
        <v>0</v>
      </c>
      <c r="AK3664" s="2">
        <f t="shared" si="450"/>
        <v>7.1783000000000001</v>
      </c>
      <c r="AL3664" s="5">
        <f t="shared" si="448"/>
        <v>0.49849305555555556</v>
      </c>
    </row>
    <row r="3665" spans="1:38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2861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9"/>
        <v>0.49849305555555556</v>
      </c>
      <c r="Z3665" s="2" t="s">
        <v>3237</v>
      </c>
      <c r="AA3665" s="2" t="s">
        <v>46</v>
      </c>
      <c r="AB3665" s="2" t="s">
        <v>57</v>
      </c>
      <c r="AC3665" s="2" t="s">
        <v>58</v>
      </c>
      <c r="AF3665" s="2">
        <f t="shared" si="453"/>
        <v>0</v>
      </c>
      <c r="AG3665" s="2">
        <v>7.2217000000000002</v>
      </c>
      <c r="AH3665" s="2">
        <v>14.4</v>
      </c>
      <c r="AJ3665" s="2">
        <f t="shared" si="454"/>
        <v>0</v>
      </c>
      <c r="AK3665" s="2">
        <f t="shared" si="450"/>
        <v>7.1783000000000001</v>
      </c>
      <c r="AL3665" s="5">
        <f t="shared" si="448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55">9.075*S3666</f>
        <v>9.0749999999999993</v>
      </c>
      <c r="X3666" s="5">
        <f t="shared" si="449"/>
        <v>0.47844827586206895</v>
      </c>
      <c r="Z3666" s="2" t="s">
        <v>3237</v>
      </c>
      <c r="AA3666" s="2" t="s">
        <v>46</v>
      </c>
      <c r="AB3666" s="2" t="s">
        <v>57</v>
      </c>
      <c r="AC3666" s="2" t="s">
        <v>58</v>
      </c>
      <c r="AF3666" s="2">
        <f t="shared" si="453"/>
        <v>0</v>
      </c>
      <c r="AJ3666" s="2">
        <f t="shared" si="454"/>
        <v>0</v>
      </c>
      <c r="AK3666" s="2">
        <f t="shared" si="450"/>
        <v>8.3249999999999993</v>
      </c>
      <c r="AL3666" s="5">
        <f t="shared" si="448"/>
        <v>0.47844827586206895</v>
      </c>
    </row>
    <row r="3667" spans="1:38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2861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55"/>
        <v>9.0749999999999993</v>
      </c>
      <c r="X3667" s="5">
        <f t="shared" si="449"/>
        <v>0.47844827586206895</v>
      </c>
      <c r="Z3667" s="2" t="s">
        <v>3237</v>
      </c>
      <c r="AA3667" s="2" t="s">
        <v>46</v>
      </c>
      <c r="AB3667" s="2" t="s">
        <v>57</v>
      </c>
      <c r="AC3667" s="2" t="s">
        <v>58</v>
      </c>
      <c r="AF3667" s="2">
        <f t="shared" si="453"/>
        <v>0</v>
      </c>
      <c r="AJ3667" s="2">
        <f t="shared" si="454"/>
        <v>0</v>
      </c>
      <c r="AK3667" s="2">
        <f t="shared" si="450"/>
        <v>8.3249999999999993</v>
      </c>
      <c r="AL3667" s="5">
        <f t="shared" si="448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9"/>
        <v>1</v>
      </c>
      <c r="Z3668" s="2" t="s">
        <v>3237</v>
      </c>
      <c r="AA3668" s="2" t="s">
        <v>46</v>
      </c>
      <c r="AB3668" s="2" t="s">
        <v>57</v>
      </c>
      <c r="AC3668" s="2" t="s">
        <v>58</v>
      </c>
      <c r="AF3668" s="2">
        <f t="shared" si="453"/>
        <v>0</v>
      </c>
      <c r="AJ3668" s="2">
        <f t="shared" si="454"/>
        <v>0</v>
      </c>
      <c r="AK3668" s="2">
        <f t="shared" si="450"/>
        <v>21</v>
      </c>
      <c r="AL3668" s="5">
        <f t="shared" si="448"/>
        <v>1</v>
      </c>
    </row>
    <row r="3669" spans="1:38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2861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9"/>
        <v>1</v>
      </c>
      <c r="Z3669" s="2" t="s">
        <v>3237</v>
      </c>
      <c r="AA3669" s="2" t="s">
        <v>46</v>
      </c>
      <c r="AB3669" s="2" t="s">
        <v>57</v>
      </c>
      <c r="AC3669" s="2" t="s">
        <v>58</v>
      </c>
      <c r="AF3669" s="2">
        <f t="shared" si="453"/>
        <v>0</v>
      </c>
      <c r="AJ3669" s="2">
        <f t="shared" si="454"/>
        <v>0</v>
      </c>
      <c r="AK3669" s="2">
        <f t="shared" si="450"/>
        <v>21</v>
      </c>
      <c r="AL3669" s="5">
        <f t="shared" si="448"/>
        <v>1</v>
      </c>
    </row>
    <row r="3670" spans="1:38" x14ac:dyDescent="0.2">
      <c r="A3670" s="2">
        <v>2026</v>
      </c>
      <c r="B3670" s="2">
        <v>4</v>
      </c>
      <c r="D3670" s="2" t="s">
        <v>1181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1182</v>
      </c>
      <c r="J3670" s="2" t="s">
        <v>1183</v>
      </c>
      <c r="L3670" s="2" t="s">
        <v>462</v>
      </c>
      <c r="M3670" s="2" t="s">
        <v>41</v>
      </c>
      <c r="O3670" s="2" t="s">
        <v>2862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9"/>
        <v>1</v>
      </c>
      <c r="Z3670" s="2" t="s">
        <v>3237</v>
      </c>
      <c r="AA3670" s="2" t="s">
        <v>46</v>
      </c>
      <c r="AB3670" s="2" t="s">
        <v>57</v>
      </c>
      <c r="AC3670" s="2" t="s">
        <v>58</v>
      </c>
      <c r="AF3670" s="2">
        <f t="shared" si="453"/>
        <v>0</v>
      </c>
      <c r="AJ3670" s="2">
        <f t="shared" si="454"/>
        <v>0</v>
      </c>
      <c r="AK3670" s="2">
        <f t="shared" si="450"/>
        <v>50.4</v>
      </c>
      <c r="AL3670" s="5">
        <f t="shared" si="448"/>
        <v>1</v>
      </c>
    </row>
    <row r="3671" spans="1:38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2861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56">(T3671-W3671)/T3671</f>
        <v>1</v>
      </c>
      <c r="Z3671" s="2" t="s">
        <v>3237</v>
      </c>
      <c r="AA3671" s="2" t="s">
        <v>46</v>
      </c>
      <c r="AB3671" s="2" t="s">
        <v>57</v>
      </c>
      <c r="AC3671" s="2" t="s">
        <v>58</v>
      </c>
      <c r="AF3671" s="2">
        <f t="shared" si="453"/>
        <v>0</v>
      </c>
      <c r="AJ3671" s="2">
        <f t="shared" si="454"/>
        <v>0</v>
      </c>
      <c r="AK3671" s="2">
        <f t="shared" si="450"/>
        <v>25.2</v>
      </c>
      <c r="AL3671" s="5">
        <f t="shared" si="448"/>
        <v>1</v>
      </c>
    </row>
    <row r="3672" spans="1:38" x14ac:dyDescent="0.2">
      <c r="A3672" s="2">
        <v>2026</v>
      </c>
      <c r="B3672" s="2">
        <v>4</v>
      </c>
      <c r="D3672" s="2" t="s">
        <v>1181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1182</v>
      </c>
      <c r="J3672" s="2" t="s">
        <v>1183</v>
      </c>
      <c r="L3672" s="2" t="s">
        <v>462</v>
      </c>
      <c r="M3672" s="2" t="s">
        <v>41</v>
      </c>
      <c r="O3672" s="2" t="s">
        <v>2862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56"/>
        <v>1</v>
      </c>
      <c r="Z3672" s="2" t="s">
        <v>3237</v>
      </c>
      <c r="AA3672" s="2" t="s">
        <v>46</v>
      </c>
      <c r="AB3672" s="2" t="s">
        <v>57</v>
      </c>
      <c r="AC3672" s="2" t="s">
        <v>58</v>
      </c>
      <c r="AF3672" s="2">
        <f t="shared" si="453"/>
        <v>0</v>
      </c>
      <c r="AJ3672" s="2">
        <f t="shared" si="454"/>
        <v>0</v>
      </c>
      <c r="AK3672" s="2">
        <f t="shared" si="450"/>
        <v>60</v>
      </c>
      <c r="AL3672" s="5">
        <f t="shared" si="448"/>
        <v>1</v>
      </c>
    </row>
    <row r="3673" spans="1:38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2861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56"/>
        <v>1</v>
      </c>
      <c r="Z3673" s="2" t="s">
        <v>3237</v>
      </c>
      <c r="AA3673" s="2" t="s">
        <v>46</v>
      </c>
      <c r="AB3673" s="2" t="s">
        <v>57</v>
      </c>
      <c r="AC3673" s="2" t="s">
        <v>58</v>
      </c>
      <c r="AF3673" s="2">
        <f t="shared" si="453"/>
        <v>0</v>
      </c>
      <c r="AJ3673" s="2">
        <f t="shared" si="454"/>
        <v>0</v>
      </c>
      <c r="AK3673" s="2">
        <f t="shared" si="450"/>
        <v>30</v>
      </c>
      <c r="AL3673" s="5">
        <f t="shared" si="448"/>
        <v>1</v>
      </c>
    </row>
    <row r="3674" spans="1:38" x14ac:dyDescent="0.2">
      <c r="A3674" s="2">
        <v>2026</v>
      </c>
      <c r="B3674" s="2">
        <v>4</v>
      </c>
      <c r="D3674" s="2" t="s">
        <v>1181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1182</v>
      </c>
      <c r="J3674" s="2" t="s">
        <v>1183</v>
      </c>
      <c r="L3674" s="2" t="s">
        <v>462</v>
      </c>
      <c r="M3674" s="2" t="s">
        <v>41</v>
      </c>
      <c r="O3674" s="2" t="s">
        <v>2862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56"/>
        <v>1</v>
      </c>
      <c r="Z3674" s="2" t="s">
        <v>3237</v>
      </c>
      <c r="AA3674" s="2" t="s">
        <v>46</v>
      </c>
      <c r="AB3674" s="2" t="s">
        <v>57</v>
      </c>
      <c r="AC3674" s="2" t="s">
        <v>58</v>
      </c>
      <c r="AF3674" s="2">
        <f t="shared" si="453"/>
        <v>0</v>
      </c>
      <c r="AJ3674" s="2">
        <f t="shared" si="454"/>
        <v>0</v>
      </c>
      <c r="AK3674" s="2">
        <f t="shared" si="450"/>
        <v>36</v>
      </c>
      <c r="AL3674" s="5">
        <f t="shared" si="448"/>
        <v>1</v>
      </c>
    </row>
    <row r="3675" spans="1:38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2861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56"/>
        <v>1</v>
      </c>
      <c r="Z3675" s="2" t="s">
        <v>3237</v>
      </c>
      <c r="AA3675" s="2" t="s">
        <v>46</v>
      </c>
      <c r="AB3675" s="2" t="s">
        <v>57</v>
      </c>
      <c r="AC3675" s="2" t="s">
        <v>58</v>
      </c>
      <c r="AF3675" s="2">
        <f t="shared" si="453"/>
        <v>0</v>
      </c>
      <c r="AJ3675" s="2">
        <f t="shared" si="454"/>
        <v>0</v>
      </c>
      <c r="AK3675" s="2">
        <f t="shared" si="450"/>
        <v>18</v>
      </c>
      <c r="AL3675" s="5">
        <f t="shared" si="448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7">10.6*S3676</f>
        <v>31.799999999999997</v>
      </c>
      <c r="X3676" s="5">
        <f t="shared" si="456"/>
        <v>0.41111111111111115</v>
      </c>
      <c r="Z3676" s="2" t="s">
        <v>3237</v>
      </c>
      <c r="AA3676" s="2" t="s">
        <v>46</v>
      </c>
      <c r="AB3676" s="2" t="s">
        <v>57</v>
      </c>
      <c r="AC3676" s="2" t="s">
        <v>58</v>
      </c>
      <c r="AF3676" s="2">
        <f t="shared" si="453"/>
        <v>0</v>
      </c>
      <c r="AG3676" s="2">
        <v>10.6</v>
      </c>
      <c r="AH3676" s="2">
        <v>18</v>
      </c>
      <c r="AJ3676" s="2">
        <f t="shared" si="454"/>
        <v>0</v>
      </c>
      <c r="AK3676" s="2">
        <f t="shared" si="450"/>
        <v>22.200000000000003</v>
      </c>
      <c r="AL3676" s="5">
        <f t="shared" si="448"/>
        <v>0.41111111111111115</v>
      </c>
    </row>
    <row r="3677" spans="1:38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7"/>
        <v>21.2</v>
      </c>
      <c r="X3677" s="5">
        <f t="shared" si="456"/>
        <v>0.41111111111111115</v>
      </c>
      <c r="Z3677" s="2" t="s">
        <v>3237</v>
      </c>
      <c r="AA3677" s="2" t="s">
        <v>46</v>
      </c>
      <c r="AB3677" s="2" t="s">
        <v>57</v>
      </c>
      <c r="AC3677" s="2" t="s">
        <v>58</v>
      </c>
      <c r="AF3677" s="2">
        <f t="shared" si="453"/>
        <v>0</v>
      </c>
      <c r="AG3677" s="2">
        <v>10.6</v>
      </c>
      <c r="AH3677" s="2">
        <v>18</v>
      </c>
      <c r="AJ3677" s="2">
        <f t="shared" si="454"/>
        <v>0</v>
      </c>
      <c r="AK3677" s="2">
        <f t="shared" si="450"/>
        <v>14.8</v>
      </c>
      <c r="AL3677" s="5">
        <f t="shared" si="448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7"/>
        <v>10.6</v>
      </c>
      <c r="X3678" s="5">
        <f t="shared" si="456"/>
        <v>0.41111111111111115</v>
      </c>
      <c r="Z3678" s="2" t="s">
        <v>3237</v>
      </c>
      <c r="AA3678" s="2" t="s">
        <v>46</v>
      </c>
      <c r="AB3678" s="2" t="s">
        <v>57</v>
      </c>
      <c r="AC3678" s="2" t="s">
        <v>58</v>
      </c>
      <c r="AF3678" s="2">
        <f t="shared" si="453"/>
        <v>0</v>
      </c>
      <c r="AG3678" s="2">
        <v>10.6</v>
      </c>
      <c r="AH3678" s="2">
        <v>18</v>
      </c>
      <c r="AJ3678" s="2">
        <f t="shared" si="454"/>
        <v>0</v>
      </c>
      <c r="AK3678" s="2">
        <f t="shared" si="450"/>
        <v>7.4</v>
      </c>
      <c r="AL3678" s="5">
        <f t="shared" si="448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7"/>
        <v>106</v>
      </c>
      <c r="X3679" s="5">
        <f t="shared" si="456"/>
        <v>0.29333333333333333</v>
      </c>
      <c r="Z3679" s="2" t="s">
        <v>3237</v>
      </c>
      <c r="AA3679" s="2" t="s">
        <v>46</v>
      </c>
      <c r="AB3679" s="2" t="s">
        <v>57</v>
      </c>
      <c r="AC3679" s="2" t="s">
        <v>58</v>
      </c>
      <c r="AF3679" s="2">
        <f t="shared" si="453"/>
        <v>0</v>
      </c>
      <c r="AG3679" s="2">
        <v>10.6</v>
      </c>
      <c r="AH3679" s="2">
        <v>18</v>
      </c>
      <c r="AJ3679" s="2">
        <f t="shared" si="454"/>
        <v>0</v>
      </c>
      <c r="AK3679" s="2">
        <f t="shared" si="450"/>
        <v>44</v>
      </c>
      <c r="AL3679" s="5">
        <f t="shared" si="448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7"/>
        <v>106</v>
      </c>
      <c r="X3680" s="5">
        <f t="shared" si="456"/>
        <v>0.29333333333333333</v>
      </c>
      <c r="Z3680" s="2" t="s">
        <v>3237</v>
      </c>
      <c r="AA3680" s="2" t="s">
        <v>46</v>
      </c>
      <c r="AB3680" s="2" t="s">
        <v>57</v>
      </c>
      <c r="AC3680" s="2" t="s">
        <v>58</v>
      </c>
      <c r="AF3680" s="2">
        <f t="shared" si="453"/>
        <v>0</v>
      </c>
      <c r="AG3680" s="2">
        <v>10.6</v>
      </c>
      <c r="AH3680" s="2">
        <v>18</v>
      </c>
      <c r="AJ3680" s="2">
        <f t="shared" si="454"/>
        <v>0</v>
      </c>
      <c r="AK3680" s="2">
        <f t="shared" si="450"/>
        <v>44</v>
      </c>
      <c r="AL3680" s="5">
        <f t="shared" si="448"/>
        <v>0.29333333333333333</v>
      </c>
    </row>
    <row r="3681" spans="1:38" x14ac:dyDescent="0.2">
      <c r="A3681" s="2">
        <v>2026</v>
      </c>
      <c r="B3681" s="2">
        <v>4</v>
      </c>
      <c r="D3681" s="2" t="s">
        <v>1316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1317</v>
      </c>
      <c r="L3681" s="2" t="s">
        <v>178</v>
      </c>
      <c r="M3681" s="2" t="s">
        <v>41</v>
      </c>
      <c r="O3681" s="2" t="s">
        <v>2863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7"/>
        <v>10.6</v>
      </c>
      <c r="X3681" s="5">
        <f t="shared" si="456"/>
        <v>0.41111111111111115</v>
      </c>
      <c r="Z3681" s="2" t="s">
        <v>3237</v>
      </c>
      <c r="AA3681" s="2" t="s">
        <v>46</v>
      </c>
      <c r="AB3681" s="2" t="s">
        <v>57</v>
      </c>
      <c r="AC3681" s="2" t="s">
        <v>58</v>
      </c>
      <c r="AF3681" s="2">
        <f t="shared" si="453"/>
        <v>0</v>
      </c>
      <c r="AG3681" s="2">
        <v>10.6</v>
      </c>
      <c r="AH3681" s="2">
        <v>18</v>
      </c>
      <c r="AJ3681" s="2">
        <f t="shared" si="454"/>
        <v>0</v>
      </c>
      <c r="AK3681" s="2">
        <f t="shared" si="450"/>
        <v>7.4</v>
      </c>
      <c r="AL3681" s="5">
        <f t="shared" si="448"/>
        <v>0.41111111111111115</v>
      </c>
    </row>
    <row r="3682" spans="1:38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2864</v>
      </c>
      <c r="P3682" s="2" t="s">
        <v>43</v>
      </c>
      <c r="Q3682" s="2" t="s">
        <v>2865</v>
      </c>
      <c r="R3682" s="2" t="s">
        <v>2866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56"/>
        <v>1</v>
      </c>
      <c r="Z3682" s="2" t="s">
        <v>3237</v>
      </c>
      <c r="AA3682" s="2" t="s">
        <v>46</v>
      </c>
      <c r="AB3682" s="2" t="s">
        <v>91</v>
      </c>
      <c r="AC3682" s="2" t="s">
        <v>58</v>
      </c>
      <c r="AF3682" s="2">
        <f t="shared" si="453"/>
        <v>0</v>
      </c>
      <c r="AJ3682" s="2">
        <f t="shared" si="454"/>
        <v>0</v>
      </c>
      <c r="AK3682" s="2">
        <f t="shared" si="450"/>
        <v>9.6</v>
      </c>
      <c r="AL3682" s="5">
        <f t="shared" si="448"/>
        <v>1</v>
      </c>
    </row>
    <row r="3683" spans="1:38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2867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56"/>
        <v>0.49808399999999997</v>
      </c>
      <c r="Z3683" s="2" t="s">
        <v>3237</v>
      </c>
      <c r="AA3683" s="2" t="s">
        <v>46</v>
      </c>
      <c r="AB3683" s="2" t="s">
        <v>91</v>
      </c>
      <c r="AC3683" s="2" t="s">
        <v>58</v>
      </c>
      <c r="AF3683" s="2">
        <f t="shared" si="453"/>
        <v>0</v>
      </c>
      <c r="AJ3683" s="2">
        <f t="shared" si="454"/>
        <v>0</v>
      </c>
      <c r="AK3683" s="2">
        <f t="shared" si="450"/>
        <v>49.808399999999999</v>
      </c>
      <c r="AL3683" s="5">
        <f t="shared" si="448"/>
        <v>0.49808399999999997</v>
      </c>
    </row>
    <row r="3684" spans="1:38" x14ac:dyDescent="0.2">
      <c r="A3684" s="2">
        <v>2026</v>
      </c>
      <c r="B3684" s="2">
        <v>4</v>
      </c>
      <c r="D3684" s="2" t="s">
        <v>983</v>
      </c>
      <c r="M3684" s="2" t="s">
        <v>41</v>
      </c>
      <c r="O3684" s="2" t="s">
        <v>2868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56"/>
        <v>0.29692307692307701</v>
      </c>
      <c r="Z3684" s="2" t="s">
        <v>3237</v>
      </c>
      <c r="AA3684" s="2" t="s">
        <v>46</v>
      </c>
      <c r="AB3684" s="2" t="s">
        <v>61</v>
      </c>
      <c r="AC3684" s="2" t="s">
        <v>58</v>
      </c>
      <c r="AF3684" s="2">
        <f t="shared" si="453"/>
        <v>0</v>
      </c>
      <c r="AG3684" s="2">
        <v>9.14</v>
      </c>
      <c r="AH3684" s="2">
        <v>16</v>
      </c>
      <c r="AJ3684" s="2">
        <f t="shared" si="454"/>
        <v>0</v>
      </c>
      <c r="AK3684" s="2">
        <f t="shared" si="450"/>
        <v>3.8600000000000012</v>
      </c>
      <c r="AL3684" s="5">
        <f t="shared" si="448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2869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56"/>
        <v>0.29692307692307701</v>
      </c>
      <c r="Z3685" s="2" t="s">
        <v>3237</v>
      </c>
      <c r="AA3685" s="2" t="s">
        <v>46</v>
      </c>
      <c r="AB3685" s="2" t="s">
        <v>61</v>
      </c>
      <c r="AC3685" s="2" t="s">
        <v>58</v>
      </c>
      <c r="AF3685" s="2">
        <f t="shared" si="453"/>
        <v>0</v>
      </c>
      <c r="AG3685" s="2">
        <v>9.14</v>
      </c>
      <c r="AH3685" s="2">
        <v>16</v>
      </c>
      <c r="AJ3685" s="2">
        <f t="shared" si="454"/>
        <v>0</v>
      </c>
      <c r="AK3685" s="2">
        <f t="shared" si="450"/>
        <v>7.7200000000000024</v>
      </c>
      <c r="AL3685" s="5">
        <f t="shared" si="448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8">0.082*S3686</f>
        <v>82</v>
      </c>
      <c r="X3686" s="5">
        <f t="shared" si="456"/>
        <v>0.25454545454545452</v>
      </c>
      <c r="Z3686" s="2" t="s">
        <v>3237</v>
      </c>
      <c r="AA3686" s="2" t="s">
        <v>46</v>
      </c>
      <c r="AB3686" s="2" t="s">
        <v>61</v>
      </c>
      <c r="AC3686" s="2" t="s">
        <v>58</v>
      </c>
      <c r="AF3686" s="2">
        <f t="shared" si="453"/>
        <v>0</v>
      </c>
      <c r="AG3686" s="2">
        <v>8.1999999999999993</v>
      </c>
      <c r="AH3686" s="2">
        <v>13</v>
      </c>
      <c r="AJ3686" s="2">
        <f t="shared" si="454"/>
        <v>0</v>
      </c>
      <c r="AK3686" s="2">
        <f t="shared" si="450"/>
        <v>28</v>
      </c>
      <c r="AL3686" s="5">
        <f t="shared" si="448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2870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8"/>
        <v>82</v>
      </c>
      <c r="X3687" s="5">
        <f t="shared" si="456"/>
        <v>0.25454545454545452</v>
      </c>
      <c r="Z3687" s="2" t="s">
        <v>3237</v>
      </c>
      <c r="AA3687" s="2" t="s">
        <v>46</v>
      </c>
      <c r="AB3687" s="2" t="s">
        <v>61</v>
      </c>
      <c r="AC3687" s="2" t="s">
        <v>58</v>
      </c>
      <c r="AF3687" s="2">
        <f t="shared" si="453"/>
        <v>0</v>
      </c>
      <c r="AG3687" s="2">
        <v>8.1999999999999993</v>
      </c>
      <c r="AH3687" s="2">
        <v>13</v>
      </c>
      <c r="AJ3687" s="2">
        <f t="shared" si="454"/>
        <v>0</v>
      </c>
      <c r="AK3687" s="2">
        <f t="shared" si="450"/>
        <v>28</v>
      </c>
      <c r="AL3687" s="5">
        <f t="shared" si="448"/>
        <v>0.25454545454545452</v>
      </c>
    </row>
    <row r="3688" spans="1:38" x14ac:dyDescent="0.2">
      <c r="A3688" s="2">
        <v>2026</v>
      </c>
      <c r="B3688" s="2">
        <v>4</v>
      </c>
      <c r="D3688" s="2" t="s">
        <v>1895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8"/>
        <v>41</v>
      </c>
      <c r="X3688" s="5">
        <f t="shared" si="456"/>
        <v>0.36923076923076925</v>
      </c>
      <c r="Z3688" s="2" t="s">
        <v>3237</v>
      </c>
      <c r="AA3688" s="2" t="s">
        <v>46</v>
      </c>
      <c r="AB3688" s="2" t="s">
        <v>61</v>
      </c>
      <c r="AC3688" s="2" t="s">
        <v>58</v>
      </c>
      <c r="AF3688" s="2">
        <f t="shared" si="453"/>
        <v>0</v>
      </c>
      <c r="AG3688" s="2">
        <v>8.1999999999999993</v>
      </c>
      <c r="AH3688" s="2">
        <v>13</v>
      </c>
      <c r="AJ3688" s="2">
        <f t="shared" si="454"/>
        <v>0</v>
      </c>
      <c r="AK3688" s="2">
        <f t="shared" si="450"/>
        <v>24</v>
      </c>
      <c r="AL3688" s="5">
        <f t="shared" si="448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8"/>
        <v>32.800000000000004</v>
      </c>
      <c r="X3689" s="5">
        <f t="shared" si="456"/>
        <v>0.36923076923076914</v>
      </c>
      <c r="Z3689" s="2" t="s">
        <v>3237</v>
      </c>
      <c r="AA3689" s="2" t="s">
        <v>46</v>
      </c>
      <c r="AB3689" s="2" t="s">
        <v>61</v>
      </c>
      <c r="AC3689" s="2" t="s">
        <v>58</v>
      </c>
      <c r="AF3689" s="2">
        <f t="shared" si="453"/>
        <v>0</v>
      </c>
      <c r="AG3689" s="2">
        <v>8.1999999999999993</v>
      </c>
      <c r="AH3689" s="2">
        <v>13</v>
      </c>
      <c r="AJ3689" s="2">
        <f t="shared" si="454"/>
        <v>0</v>
      </c>
      <c r="AK3689" s="2">
        <f t="shared" si="450"/>
        <v>19.199999999999996</v>
      </c>
      <c r="AL3689" s="5">
        <f t="shared" si="448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8"/>
        <v>82</v>
      </c>
      <c r="X3690" s="5">
        <f t="shared" si="456"/>
        <v>0.25454545454545452</v>
      </c>
      <c r="Z3690" s="2" t="s">
        <v>3237</v>
      </c>
      <c r="AA3690" s="2" t="s">
        <v>46</v>
      </c>
      <c r="AB3690" s="2" t="s">
        <v>61</v>
      </c>
      <c r="AC3690" s="2" t="s">
        <v>58</v>
      </c>
      <c r="AF3690" s="2">
        <f t="shared" si="453"/>
        <v>0</v>
      </c>
      <c r="AG3690" s="2">
        <v>8.1999999999999993</v>
      </c>
      <c r="AH3690" s="2">
        <v>13</v>
      </c>
      <c r="AJ3690" s="2">
        <f t="shared" si="454"/>
        <v>0</v>
      </c>
      <c r="AK3690" s="2">
        <f t="shared" si="450"/>
        <v>28</v>
      </c>
      <c r="AL3690" s="5">
        <f t="shared" si="448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8"/>
        <v>82</v>
      </c>
      <c r="X3691" s="5">
        <f t="shared" si="456"/>
        <v>0.25454545454545452</v>
      </c>
      <c r="Z3691" s="2" t="s">
        <v>3237</v>
      </c>
      <c r="AA3691" s="2" t="s">
        <v>46</v>
      </c>
      <c r="AB3691" s="2" t="s">
        <v>61</v>
      </c>
      <c r="AC3691" s="2" t="s">
        <v>58</v>
      </c>
      <c r="AF3691" s="2">
        <f t="shared" si="453"/>
        <v>0</v>
      </c>
      <c r="AG3691" s="2">
        <v>8.1999999999999993</v>
      </c>
      <c r="AH3691" s="2">
        <v>13</v>
      </c>
      <c r="AJ3691" s="2">
        <f t="shared" si="454"/>
        <v>0</v>
      </c>
      <c r="AK3691" s="2">
        <f t="shared" si="450"/>
        <v>28</v>
      </c>
      <c r="AL3691" s="5">
        <f t="shared" si="448"/>
        <v>0.25454545454545452</v>
      </c>
    </row>
    <row r="3692" spans="1:38" x14ac:dyDescent="0.2">
      <c r="A3692" s="2">
        <v>2026</v>
      </c>
      <c r="B3692" s="2">
        <v>4</v>
      </c>
      <c r="D3692" s="2" t="s">
        <v>1316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1317</v>
      </c>
      <c r="L3692" s="2" t="s">
        <v>178</v>
      </c>
      <c r="M3692" s="2" t="s">
        <v>41</v>
      </c>
      <c r="O3692" s="2" t="s">
        <v>2863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8"/>
        <v>16.400000000000002</v>
      </c>
      <c r="X3692" s="5">
        <f t="shared" si="456"/>
        <v>0.36923076923076914</v>
      </c>
      <c r="Z3692" s="2" t="s">
        <v>3237</v>
      </c>
      <c r="AA3692" s="2" t="s">
        <v>46</v>
      </c>
      <c r="AB3692" s="2" t="s">
        <v>61</v>
      </c>
      <c r="AC3692" s="2" t="s">
        <v>58</v>
      </c>
      <c r="AF3692" s="2">
        <f t="shared" si="453"/>
        <v>0</v>
      </c>
      <c r="AG3692" s="2">
        <v>8.1999999999999993</v>
      </c>
      <c r="AH3692" s="2">
        <v>13</v>
      </c>
      <c r="AJ3692" s="2">
        <f t="shared" si="454"/>
        <v>0</v>
      </c>
      <c r="AK3692" s="2">
        <f t="shared" si="450"/>
        <v>9.5999999999999979</v>
      </c>
      <c r="AL3692" s="5">
        <f t="shared" si="448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2857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9">0.0914*S3693</f>
        <v>45.699999999999996</v>
      </c>
      <c r="X3693" s="5">
        <f t="shared" si="456"/>
        <v>0.3471428571428572</v>
      </c>
      <c r="Z3693" s="2" t="s">
        <v>3237</v>
      </c>
      <c r="AA3693" s="2" t="s">
        <v>46</v>
      </c>
      <c r="AB3693" s="2" t="s">
        <v>61</v>
      </c>
      <c r="AC3693" s="2" t="s">
        <v>58</v>
      </c>
      <c r="AF3693" s="2">
        <f t="shared" si="453"/>
        <v>0</v>
      </c>
      <c r="AJ3693" s="2">
        <f t="shared" si="454"/>
        <v>0</v>
      </c>
      <c r="AK3693" s="2">
        <f t="shared" si="450"/>
        <v>24.300000000000004</v>
      </c>
      <c r="AL3693" s="5">
        <f t="shared" si="448"/>
        <v>0.3471428571428572</v>
      </c>
    </row>
    <row r="3694" spans="1:38" x14ac:dyDescent="0.2">
      <c r="A3694" s="2">
        <v>2026</v>
      </c>
      <c r="B3694" s="2">
        <v>4</v>
      </c>
      <c r="D3694" s="2" t="s">
        <v>1024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1561</v>
      </c>
      <c r="J3694" s="2" t="s">
        <v>2533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9"/>
        <v>9.1399999999999988</v>
      </c>
      <c r="X3694" s="5">
        <f t="shared" si="456"/>
        <v>0.34714285714285725</v>
      </c>
      <c r="Z3694" s="2" t="s">
        <v>3237</v>
      </c>
      <c r="AA3694" s="2" t="s">
        <v>46</v>
      </c>
      <c r="AB3694" s="2" t="s">
        <v>61</v>
      </c>
      <c r="AC3694" s="2" t="s">
        <v>58</v>
      </c>
      <c r="AF3694" s="2">
        <f t="shared" si="453"/>
        <v>0</v>
      </c>
      <c r="AJ3694" s="2">
        <f t="shared" si="454"/>
        <v>0</v>
      </c>
      <c r="AK3694" s="2">
        <f t="shared" si="450"/>
        <v>4.8600000000000012</v>
      </c>
      <c r="AL3694" s="5">
        <f t="shared" si="448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56"/>
        <v>1</v>
      </c>
      <c r="Z3695" s="2" t="s">
        <v>3237</v>
      </c>
      <c r="AA3695" s="2" t="s">
        <v>46</v>
      </c>
      <c r="AB3695" s="2" t="s">
        <v>91</v>
      </c>
      <c r="AC3695" s="2" t="s">
        <v>58</v>
      </c>
      <c r="AF3695" s="2">
        <f t="shared" si="453"/>
        <v>0</v>
      </c>
      <c r="AJ3695" s="2">
        <f t="shared" si="454"/>
        <v>0</v>
      </c>
      <c r="AK3695" s="2">
        <f t="shared" si="450"/>
        <v>18</v>
      </c>
      <c r="AL3695" s="5">
        <f t="shared" si="448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2857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56"/>
        <v>1</v>
      </c>
      <c r="Z3696" s="2" t="s">
        <v>3237</v>
      </c>
      <c r="AA3696" s="2" t="s">
        <v>46</v>
      </c>
      <c r="AB3696" s="2" t="s">
        <v>47</v>
      </c>
      <c r="AC3696" s="2" t="s">
        <v>48</v>
      </c>
      <c r="AF3696" s="2">
        <f t="shared" si="453"/>
        <v>0</v>
      </c>
      <c r="AJ3696" s="2">
        <f t="shared" si="454"/>
        <v>0</v>
      </c>
      <c r="AK3696" s="2">
        <f t="shared" si="450"/>
        <v>42</v>
      </c>
      <c r="AL3696" s="5">
        <f t="shared" si="448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2857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56"/>
        <v>0.54166666666666663</v>
      </c>
      <c r="Z3697" s="2" t="s">
        <v>3237</v>
      </c>
      <c r="AA3697" s="2" t="s">
        <v>46</v>
      </c>
      <c r="AB3697" s="2" t="s">
        <v>47</v>
      </c>
      <c r="AC3697" s="2" t="s">
        <v>48</v>
      </c>
      <c r="AF3697" s="2">
        <f t="shared" si="453"/>
        <v>0</v>
      </c>
      <c r="AJ3697" s="2">
        <f t="shared" si="454"/>
        <v>0</v>
      </c>
      <c r="AK3697" s="2">
        <f t="shared" si="450"/>
        <v>26</v>
      </c>
      <c r="AL3697" s="5">
        <f t="shared" si="448"/>
        <v>0.54166666666666663</v>
      </c>
    </row>
    <row r="3698" spans="1:38" x14ac:dyDescent="0.2">
      <c r="A3698" s="2">
        <v>2026</v>
      </c>
      <c r="B3698" s="2">
        <v>4</v>
      </c>
      <c r="D3698" s="2" t="s">
        <v>1024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1561</v>
      </c>
      <c r="J3698" s="2" t="s">
        <v>2533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56"/>
        <v>0.62926666666666664</v>
      </c>
      <c r="Z3698" s="2" t="s">
        <v>3237</v>
      </c>
      <c r="AA3698" s="2" t="s">
        <v>46</v>
      </c>
      <c r="AB3698" s="2" t="s">
        <v>61</v>
      </c>
      <c r="AC3698" s="2" t="s">
        <v>58</v>
      </c>
      <c r="AF3698" s="2">
        <f t="shared" si="453"/>
        <v>0</v>
      </c>
      <c r="AG3698" s="2">
        <v>1.1122000000000001</v>
      </c>
      <c r="AH3698" s="2">
        <v>3</v>
      </c>
      <c r="AJ3698" s="2">
        <f t="shared" si="454"/>
        <v>0</v>
      </c>
      <c r="AK3698" s="2">
        <f t="shared" si="450"/>
        <v>15.102399999999999</v>
      </c>
      <c r="AL3698" s="5">
        <f t="shared" si="448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56"/>
        <v>0.5295333333333333</v>
      </c>
      <c r="Z3699" s="2" t="s">
        <v>3237</v>
      </c>
      <c r="AA3699" s="2" t="s">
        <v>46</v>
      </c>
      <c r="AB3699" s="2" t="s">
        <v>61</v>
      </c>
      <c r="AC3699" s="2" t="s">
        <v>58</v>
      </c>
      <c r="AF3699" s="2">
        <f t="shared" si="453"/>
        <v>0</v>
      </c>
      <c r="AG3699" s="2">
        <v>1.4114</v>
      </c>
      <c r="AH3699" s="2">
        <v>3</v>
      </c>
      <c r="AJ3699" s="2">
        <f t="shared" si="454"/>
        <v>0</v>
      </c>
      <c r="AK3699" s="2">
        <f t="shared" si="450"/>
        <v>63.543999999999997</v>
      </c>
      <c r="AL3699" s="5">
        <f t="shared" si="448"/>
        <v>0.5295333333333333</v>
      </c>
    </row>
    <row r="3700" spans="1:38" x14ac:dyDescent="0.2">
      <c r="A3700" s="2">
        <v>2026</v>
      </c>
      <c r="B3700" s="2">
        <v>4</v>
      </c>
      <c r="D3700" s="2" t="s">
        <v>2529</v>
      </c>
      <c r="P3700" s="2" t="s">
        <v>43</v>
      </c>
      <c r="Q3700" s="2" t="s">
        <v>2386</v>
      </c>
      <c r="R3700" s="2" t="s">
        <v>2387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3237</v>
      </c>
      <c r="AA3700" s="2" t="s">
        <v>46</v>
      </c>
      <c r="AB3700" s="2" t="s">
        <v>91</v>
      </c>
      <c r="AC3700" s="2" t="s">
        <v>58</v>
      </c>
      <c r="AF3700" s="2">
        <f t="shared" si="453"/>
        <v>0</v>
      </c>
      <c r="AJ3700" s="2">
        <f t="shared" si="454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2871</v>
      </c>
      <c r="P3701" s="2" t="s">
        <v>43</v>
      </c>
      <c r="Q3701" s="2" t="s">
        <v>2872</v>
      </c>
      <c r="R3701" s="2" t="s">
        <v>2873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0">(T3701-W3701)/T3701</f>
        <v>0.25811111111111118</v>
      </c>
      <c r="Z3701" s="2" t="s">
        <v>3237</v>
      </c>
      <c r="AA3701" s="2" t="s">
        <v>46</v>
      </c>
      <c r="AB3701" s="2" t="s">
        <v>68</v>
      </c>
      <c r="AC3701" s="2" t="s">
        <v>58</v>
      </c>
      <c r="AF3701" s="2">
        <f t="shared" si="453"/>
        <v>0</v>
      </c>
      <c r="AG3701" s="2">
        <v>16.692499999999999</v>
      </c>
      <c r="AH3701" s="2">
        <v>27.6</v>
      </c>
      <c r="AJ3701" s="2">
        <f t="shared" si="454"/>
        <v>0</v>
      </c>
      <c r="AK3701" s="2">
        <f t="shared" si="450"/>
        <v>11.615000000000002</v>
      </c>
      <c r="AL3701" s="5">
        <f t="shared" ref="AL3701:AL3732" si="461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2857</v>
      </c>
      <c r="P3702" s="2" t="s">
        <v>43</v>
      </c>
      <c r="Q3702" s="2" t="s">
        <v>2872</v>
      </c>
      <c r="R3702" s="2" t="s">
        <v>2873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0"/>
        <v>0.27423913043478265</v>
      </c>
      <c r="Z3702" s="2" t="s">
        <v>3237</v>
      </c>
      <c r="AA3702" s="2" t="s">
        <v>46</v>
      </c>
      <c r="AB3702" s="2" t="s">
        <v>68</v>
      </c>
      <c r="AC3702" s="2" t="s">
        <v>58</v>
      </c>
      <c r="AF3702" s="2">
        <f t="shared" si="453"/>
        <v>0</v>
      </c>
      <c r="AG3702" s="2">
        <v>16.692499999999999</v>
      </c>
      <c r="AH3702" s="2">
        <v>27.6</v>
      </c>
      <c r="AJ3702" s="2">
        <f t="shared" si="454"/>
        <v>0</v>
      </c>
      <c r="AK3702" s="2">
        <f t="shared" ref="AK3702:AK3765" si="462">T3702-W3702</f>
        <v>6.307500000000001</v>
      </c>
      <c r="AL3702" s="5">
        <f t="shared" si="461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2874</v>
      </c>
      <c r="P3703" s="2" t="s">
        <v>43</v>
      </c>
      <c r="Q3703" s="2" t="s">
        <v>972</v>
      </c>
      <c r="R3703" s="2" t="s">
        <v>973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0"/>
        <v>1</v>
      </c>
      <c r="Z3703" s="2" t="s">
        <v>3237</v>
      </c>
      <c r="AA3703" s="2" t="s">
        <v>46</v>
      </c>
      <c r="AB3703" s="2" t="s">
        <v>61</v>
      </c>
      <c r="AC3703" s="2" t="s">
        <v>58</v>
      </c>
      <c r="AF3703" s="2">
        <f t="shared" si="453"/>
        <v>0</v>
      </c>
      <c r="AJ3703" s="2">
        <f t="shared" si="454"/>
        <v>0</v>
      </c>
      <c r="AK3703" s="2">
        <f t="shared" si="462"/>
        <v>552</v>
      </c>
      <c r="AL3703" s="5">
        <f t="shared" si="461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2874</v>
      </c>
      <c r="P3704" s="2" t="s">
        <v>43</v>
      </c>
      <c r="Q3704" s="2" t="s">
        <v>974</v>
      </c>
      <c r="R3704" s="2" t="s">
        <v>975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0"/>
        <v>1</v>
      </c>
      <c r="Z3704" s="2" t="s">
        <v>3237</v>
      </c>
      <c r="AA3704" s="2" t="s">
        <v>46</v>
      </c>
      <c r="AB3704" s="2" t="s">
        <v>61</v>
      </c>
      <c r="AC3704" s="2" t="s">
        <v>58</v>
      </c>
      <c r="AF3704" s="2">
        <f t="shared" si="453"/>
        <v>0</v>
      </c>
      <c r="AJ3704" s="2">
        <f t="shared" si="454"/>
        <v>0</v>
      </c>
      <c r="AK3704" s="2">
        <f t="shared" si="462"/>
        <v>552</v>
      </c>
      <c r="AL3704" s="5">
        <f t="shared" si="461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0"/>
        <v>0.46722222222222226</v>
      </c>
      <c r="Z3705" s="2" t="s">
        <v>3237</v>
      </c>
      <c r="AA3705" s="2" t="s">
        <v>46</v>
      </c>
      <c r="AB3705" s="2" t="s">
        <v>61</v>
      </c>
      <c r="AC3705" s="2" t="s">
        <v>58</v>
      </c>
      <c r="AF3705" s="2">
        <f t="shared" si="453"/>
        <v>0</v>
      </c>
      <c r="AJ3705" s="2">
        <f t="shared" si="454"/>
        <v>0</v>
      </c>
      <c r="AK3705" s="2">
        <f t="shared" si="462"/>
        <v>6.7280000000000006</v>
      </c>
      <c r="AL3705" s="5">
        <f t="shared" si="461"/>
        <v>0.46722222222222226</v>
      </c>
    </row>
    <row r="3706" spans="1:38" x14ac:dyDescent="0.2">
      <c r="A3706" s="2">
        <v>2026</v>
      </c>
      <c r="B3706" s="2">
        <v>4</v>
      </c>
      <c r="D3706" s="2" t="s">
        <v>1895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0"/>
        <v>0.46925333333333336</v>
      </c>
      <c r="Z3706" s="2" t="s">
        <v>3237</v>
      </c>
      <c r="AA3706" s="2" t="s">
        <v>46</v>
      </c>
      <c r="AB3706" s="2" t="s">
        <v>68</v>
      </c>
      <c r="AC3706" s="2" t="s">
        <v>58</v>
      </c>
      <c r="AF3706" s="2">
        <f t="shared" si="453"/>
        <v>0</v>
      </c>
      <c r="AG3706" s="2">
        <v>7.9611999999999998</v>
      </c>
      <c r="AH3706" s="2">
        <v>14.4</v>
      </c>
      <c r="AJ3706" s="2">
        <f t="shared" si="454"/>
        <v>0</v>
      </c>
      <c r="AK3706" s="2">
        <f t="shared" si="462"/>
        <v>28.155200000000001</v>
      </c>
      <c r="AL3706" s="5">
        <f t="shared" si="461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3">15.0203*S3707</f>
        <v>15.020300000000001</v>
      </c>
      <c r="X3707" s="5">
        <f t="shared" si="460"/>
        <v>0.45578623188405798</v>
      </c>
      <c r="Z3707" s="2" t="s">
        <v>3237</v>
      </c>
      <c r="AA3707" s="2" t="s">
        <v>46</v>
      </c>
      <c r="AB3707" s="2" t="s">
        <v>68</v>
      </c>
      <c r="AC3707" s="2" t="s">
        <v>58</v>
      </c>
      <c r="AF3707" s="2">
        <f t="shared" si="453"/>
        <v>0</v>
      </c>
      <c r="AG3707" s="2">
        <v>15.020300000000001</v>
      </c>
      <c r="AH3707" s="2">
        <v>27.6</v>
      </c>
      <c r="AJ3707" s="2">
        <f t="shared" si="454"/>
        <v>0</v>
      </c>
      <c r="AK3707" s="2">
        <f t="shared" si="462"/>
        <v>12.579700000000001</v>
      </c>
      <c r="AL3707" s="5">
        <f t="shared" si="461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3"/>
        <v>45.060900000000004</v>
      </c>
      <c r="X3708" s="5">
        <f t="shared" si="460"/>
        <v>0.37415416666666662</v>
      </c>
      <c r="Z3708" s="2" t="s">
        <v>3237</v>
      </c>
      <c r="AA3708" s="2" t="s">
        <v>46</v>
      </c>
      <c r="AB3708" s="2" t="s">
        <v>68</v>
      </c>
      <c r="AC3708" s="2" t="s">
        <v>58</v>
      </c>
      <c r="AF3708" s="2">
        <f t="shared" si="453"/>
        <v>0</v>
      </c>
      <c r="AG3708" s="2">
        <v>15.020300000000001</v>
      </c>
      <c r="AH3708" s="2">
        <v>27.6</v>
      </c>
      <c r="AJ3708" s="2">
        <f t="shared" si="454"/>
        <v>0</v>
      </c>
      <c r="AK3708" s="2">
        <f t="shared" si="462"/>
        <v>26.939099999999996</v>
      </c>
      <c r="AL3708" s="5">
        <f t="shared" si="461"/>
        <v>0.37415416666666662</v>
      </c>
    </row>
    <row r="3709" spans="1:38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3"/>
        <v>15.020300000000001</v>
      </c>
      <c r="X3709" s="5">
        <f t="shared" si="460"/>
        <v>0.45578623188405798</v>
      </c>
      <c r="Z3709" s="2" t="s">
        <v>3237</v>
      </c>
      <c r="AA3709" s="2" t="s">
        <v>46</v>
      </c>
      <c r="AB3709" s="2" t="s">
        <v>68</v>
      </c>
      <c r="AC3709" s="2" t="s">
        <v>58</v>
      </c>
      <c r="AF3709" s="2">
        <f t="shared" si="453"/>
        <v>0</v>
      </c>
      <c r="AG3709" s="2">
        <v>15.020300000000001</v>
      </c>
      <c r="AH3709" s="2">
        <v>27.6</v>
      </c>
      <c r="AJ3709" s="2">
        <f t="shared" si="454"/>
        <v>0</v>
      </c>
      <c r="AK3709" s="2">
        <f t="shared" si="462"/>
        <v>12.579700000000001</v>
      </c>
      <c r="AL3709" s="5">
        <f t="shared" si="461"/>
        <v>0.45578623188405798</v>
      </c>
    </row>
    <row r="3710" spans="1:38" x14ac:dyDescent="0.2">
      <c r="A3710" s="2">
        <v>2026</v>
      </c>
      <c r="B3710" s="2">
        <v>4</v>
      </c>
      <c r="D3710" s="2" t="s">
        <v>1068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3"/>
        <v>150.203</v>
      </c>
      <c r="X3710" s="5">
        <f t="shared" si="460"/>
        <v>0.30138139534883718</v>
      </c>
      <c r="Z3710" s="2" t="s">
        <v>3237</v>
      </c>
      <c r="AA3710" s="2" t="s">
        <v>46</v>
      </c>
      <c r="AB3710" s="2" t="s">
        <v>68</v>
      </c>
      <c r="AC3710" s="2" t="s">
        <v>58</v>
      </c>
      <c r="AF3710" s="2">
        <f t="shared" si="453"/>
        <v>0</v>
      </c>
      <c r="AG3710" s="2">
        <v>15.020300000000001</v>
      </c>
      <c r="AH3710" s="2">
        <v>27.6</v>
      </c>
      <c r="AJ3710" s="2">
        <f t="shared" si="454"/>
        <v>0</v>
      </c>
      <c r="AK3710" s="2">
        <f t="shared" si="462"/>
        <v>64.796999999999997</v>
      </c>
      <c r="AL3710" s="5">
        <f t="shared" si="461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2875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3"/>
        <v>15.020300000000001</v>
      </c>
      <c r="X3711" s="5">
        <f t="shared" si="460"/>
        <v>0.45578623188405798</v>
      </c>
      <c r="Z3711" s="2" t="s">
        <v>3237</v>
      </c>
      <c r="AA3711" s="2" t="s">
        <v>46</v>
      </c>
      <c r="AB3711" s="2" t="s">
        <v>68</v>
      </c>
      <c r="AC3711" s="2" t="s">
        <v>58</v>
      </c>
      <c r="AF3711" s="2">
        <f t="shared" si="453"/>
        <v>0</v>
      </c>
      <c r="AG3711" s="2">
        <v>15.020300000000001</v>
      </c>
      <c r="AH3711" s="2">
        <v>27.6</v>
      </c>
      <c r="AJ3711" s="2">
        <f t="shared" si="454"/>
        <v>0</v>
      </c>
      <c r="AK3711" s="2">
        <f t="shared" si="462"/>
        <v>12.579700000000001</v>
      </c>
      <c r="AL3711" s="5">
        <f t="shared" si="461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3"/>
        <v>600.81200000000001</v>
      </c>
      <c r="X3712" s="5">
        <f t="shared" si="460"/>
        <v>0.28474761904761903</v>
      </c>
      <c r="Z3712" s="2" t="s">
        <v>3237</v>
      </c>
      <c r="AA3712" s="2" t="s">
        <v>46</v>
      </c>
      <c r="AB3712" s="2" t="s">
        <v>68</v>
      </c>
      <c r="AC3712" s="2" t="s">
        <v>58</v>
      </c>
      <c r="AF3712" s="2">
        <f t="shared" si="453"/>
        <v>0</v>
      </c>
      <c r="AG3712" s="2">
        <v>15.020300000000001</v>
      </c>
      <c r="AH3712" s="2">
        <v>27.6</v>
      </c>
      <c r="AJ3712" s="2">
        <f t="shared" si="454"/>
        <v>0</v>
      </c>
      <c r="AK3712" s="2">
        <f t="shared" si="462"/>
        <v>239.18799999999999</v>
      </c>
      <c r="AL3712" s="5">
        <f t="shared" si="461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0"/>
        <v>0.40610714285714283</v>
      </c>
      <c r="Z3713" s="2" t="s">
        <v>3237</v>
      </c>
      <c r="AA3713" s="2" t="s">
        <v>46</v>
      </c>
      <c r="AB3713" s="2" t="s">
        <v>68</v>
      </c>
      <c r="AC3713" s="2" t="s">
        <v>58</v>
      </c>
      <c r="AF3713" s="2">
        <f t="shared" si="453"/>
        <v>0</v>
      </c>
      <c r="AG3713" s="2">
        <v>8.3145000000000007</v>
      </c>
      <c r="AH3713" s="2">
        <v>15</v>
      </c>
      <c r="AJ3713" s="2">
        <f t="shared" si="454"/>
        <v>0</v>
      </c>
      <c r="AK3713" s="2">
        <f t="shared" si="462"/>
        <v>11.370999999999999</v>
      </c>
      <c r="AL3713" s="5">
        <f t="shared" si="461"/>
        <v>0.40610714285714283</v>
      </c>
    </row>
    <row r="3714" spans="1:38" x14ac:dyDescent="0.2">
      <c r="A3714" s="2">
        <v>2026</v>
      </c>
      <c r="B3714" s="2">
        <v>4</v>
      </c>
      <c r="D3714" s="2" t="s">
        <v>2524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2525</v>
      </c>
      <c r="J3714" s="2" t="s">
        <v>2526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0"/>
        <v>0.44569999999999993</v>
      </c>
      <c r="Z3714" s="2" t="s">
        <v>3237</v>
      </c>
      <c r="AA3714" s="2" t="s">
        <v>46</v>
      </c>
      <c r="AB3714" s="2" t="s">
        <v>68</v>
      </c>
      <c r="AC3714" s="2" t="s">
        <v>58</v>
      </c>
      <c r="AF3714" s="2">
        <f t="shared" si="453"/>
        <v>0</v>
      </c>
      <c r="AG3714" s="2">
        <v>8.3145000000000007</v>
      </c>
      <c r="AH3714" s="2">
        <v>15</v>
      </c>
      <c r="AJ3714" s="2">
        <f t="shared" si="454"/>
        <v>0</v>
      </c>
      <c r="AK3714" s="2">
        <f t="shared" si="462"/>
        <v>6.6854999999999993</v>
      </c>
      <c r="AL3714" s="5">
        <f t="shared" si="461"/>
        <v>0.44569999999999993</v>
      </c>
    </row>
    <row r="3715" spans="1:38" x14ac:dyDescent="0.2">
      <c r="A3715" s="2">
        <v>2026</v>
      </c>
      <c r="B3715" s="2">
        <v>4</v>
      </c>
      <c r="D3715" s="2" t="s">
        <v>1895</v>
      </c>
      <c r="M3715" s="2" t="s">
        <v>81</v>
      </c>
      <c r="O3715" s="2" t="s">
        <v>2876</v>
      </c>
      <c r="P3715" s="2" t="s">
        <v>43</v>
      </c>
      <c r="Q3715" s="2" t="s">
        <v>2877</v>
      </c>
      <c r="R3715" s="2" t="s">
        <v>2878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0"/>
        <v>0.40366666666666667</v>
      </c>
      <c r="Z3715" s="2" t="s">
        <v>3237</v>
      </c>
      <c r="AA3715" s="2" t="s">
        <v>46</v>
      </c>
      <c r="AB3715" s="2" t="s">
        <v>91</v>
      </c>
      <c r="AC3715" s="2" t="s">
        <v>58</v>
      </c>
      <c r="AF3715" s="2">
        <f t="shared" ref="AF3715:AF3778" si="464">AJ3715</f>
        <v>0</v>
      </c>
      <c r="AG3715" s="2">
        <v>35.78</v>
      </c>
      <c r="AH3715" s="2">
        <v>63.6</v>
      </c>
      <c r="AJ3715" s="2">
        <f t="shared" ref="AJ3715:AJ3778" si="465">AI3715*T3715</f>
        <v>0</v>
      </c>
      <c r="AK3715" s="2">
        <f t="shared" si="462"/>
        <v>24.22</v>
      </c>
      <c r="AL3715" s="5">
        <f t="shared" si="461"/>
        <v>0.40366666666666667</v>
      </c>
    </row>
    <row r="3716" spans="1:38" x14ac:dyDescent="0.2">
      <c r="A3716" s="2">
        <v>2026</v>
      </c>
      <c r="B3716" s="2">
        <v>4</v>
      </c>
      <c r="C3716" s="2" t="s">
        <v>3330</v>
      </c>
      <c r="D3716" s="2" t="s">
        <v>1165</v>
      </c>
      <c r="E3716" s="2" t="s">
        <v>754</v>
      </c>
      <c r="G3716" s="2">
        <v>508199280</v>
      </c>
      <c r="H3716" s="2" t="s">
        <v>40</v>
      </c>
      <c r="I3716" s="2" t="s">
        <v>1166</v>
      </c>
      <c r="L3716" s="2" t="s">
        <v>294</v>
      </c>
      <c r="M3716" s="2" t="s">
        <v>40</v>
      </c>
      <c r="P3716" s="2" t="s">
        <v>3241</v>
      </c>
      <c r="Q3716" s="2" t="s">
        <v>2879</v>
      </c>
      <c r="R3716" s="2" t="s">
        <v>2880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0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3241</v>
      </c>
      <c r="AF3716" s="2">
        <f t="shared" si="464"/>
        <v>0</v>
      </c>
      <c r="AJ3716" s="2">
        <f t="shared" si="465"/>
        <v>0</v>
      </c>
      <c r="AK3716" s="2">
        <f t="shared" si="462"/>
        <v>7073.38</v>
      </c>
      <c r="AL3716" s="5">
        <f t="shared" si="461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2881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3237</v>
      </c>
      <c r="AA3717" s="2" t="s">
        <v>76</v>
      </c>
      <c r="AB3717" s="2" t="s">
        <v>77</v>
      </c>
      <c r="AC3717" s="2" t="s">
        <v>40</v>
      </c>
      <c r="AF3717" s="2">
        <f t="shared" si="464"/>
        <v>0</v>
      </c>
      <c r="AJ3717" s="2">
        <f t="shared" si="465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963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1995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0"/>
        <v>0.42947272727272723</v>
      </c>
      <c r="Z3718" s="2" t="s">
        <v>3237</v>
      </c>
      <c r="AA3718" s="2" t="s">
        <v>76</v>
      </c>
      <c r="AB3718" s="2" t="s">
        <v>77</v>
      </c>
      <c r="AC3718" s="2" t="s">
        <v>78</v>
      </c>
      <c r="AF3718" s="2">
        <f t="shared" si="464"/>
        <v>0</v>
      </c>
      <c r="AG3718" s="2">
        <v>125.51600000000001</v>
      </c>
      <c r="AH3718" s="2">
        <v>220</v>
      </c>
      <c r="AJ3718" s="2">
        <f t="shared" si="465"/>
        <v>0</v>
      </c>
      <c r="AK3718" s="2">
        <f t="shared" si="462"/>
        <v>94.483999999999995</v>
      </c>
      <c r="AL3718" s="5">
        <f t="shared" si="461"/>
        <v>0.42947272727272723</v>
      </c>
    </row>
    <row r="3719" spans="1:38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0"/>
        <v>0.42947272727272723</v>
      </c>
      <c r="Z3719" s="2" t="s">
        <v>3237</v>
      </c>
      <c r="AA3719" s="2" t="s">
        <v>76</v>
      </c>
      <c r="AB3719" s="2" t="s">
        <v>77</v>
      </c>
      <c r="AC3719" s="2" t="s">
        <v>78</v>
      </c>
      <c r="AF3719" s="2">
        <f t="shared" si="464"/>
        <v>0</v>
      </c>
      <c r="AG3719" s="2">
        <v>125.51600000000001</v>
      </c>
      <c r="AH3719" s="2">
        <v>220</v>
      </c>
      <c r="AJ3719" s="2">
        <f t="shared" si="465"/>
        <v>0</v>
      </c>
      <c r="AK3719" s="2">
        <f t="shared" si="462"/>
        <v>94.483999999999995</v>
      </c>
      <c r="AL3719" s="5">
        <f t="shared" si="461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0"/>
        <v>0.42947272727272723</v>
      </c>
      <c r="Z3720" s="2" t="s">
        <v>3237</v>
      </c>
      <c r="AA3720" s="2" t="s">
        <v>76</v>
      </c>
      <c r="AB3720" s="2" t="s">
        <v>77</v>
      </c>
      <c r="AC3720" s="2" t="s">
        <v>78</v>
      </c>
      <c r="AF3720" s="2">
        <f t="shared" si="464"/>
        <v>0</v>
      </c>
      <c r="AG3720" s="2">
        <v>125.51600000000001</v>
      </c>
      <c r="AH3720" s="2">
        <v>220</v>
      </c>
      <c r="AJ3720" s="2">
        <f t="shared" si="465"/>
        <v>0</v>
      </c>
      <c r="AK3720" s="2">
        <f t="shared" si="462"/>
        <v>94.483999999999995</v>
      </c>
      <c r="AL3720" s="5">
        <f t="shared" si="461"/>
        <v>0.42947272727272723</v>
      </c>
    </row>
    <row r="3721" spans="1:38" x14ac:dyDescent="0.2">
      <c r="A3721" s="2">
        <v>2026</v>
      </c>
      <c r="B3721" s="2">
        <v>4</v>
      </c>
      <c r="D3721" s="2" t="s">
        <v>1260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0"/>
        <v>0.42947272727272723</v>
      </c>
      <c r="Z3721" s="2" t="s">
        <v>3237</v>
      </c>
      <c r="AA3721" s="2" t="s">
        <v>76</v>
      </c>
      <c r="AB3721" s="2" t="s">
        <v>77</v>
      </c>
      <c r="AC3721" s="2" t="s">
        <v>78</v>
      </c>
      <c r="AF3721" s="2">
        <f t="shared" si="464"/>
        <v>0</v>
      </c>
      <c r="AG3721" s="2">
        <v>125.51600000000001</v>
      </c>
      <c r="AH3721" s="2">
        <v>220</v>
      </c>
      <c r="AJ3721" s="2">
        <f t="shared" si="465"/>
        <v>0</v>
      </c>
      <c r="AK3721" s="2">
        <f t="shared" si="462"/>
        <v>94.483999999999995</v>
      </c>
      <c r="AL3721" s="5">
        <f t="shared" si="461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2882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0"/>
        <v>0.42947272727272723</v>
      </c>
      <c r="Z3722" s="2" t="s">
        <v>3237</v>
      </c>
      <c r="AA3722" s="2" t="s">
        <v>76</v>
      </c>
      <c r="AB3722" s="2" t="s">
        <v>77</v>
      </c>
      <c r="AC3722" s="2" t="s">
        <v>78</v>
      </c>
      <c r="AF3722" s="2">
        <f t="shared" si="464"/>
        <v>0</v>
      </c>
      <c r="AG3722" s="2">
        <v>125.51600000000001</v>
      </c>
      <c r="AH3722" s="2">
        <v>220</v>
      </c>
      <c r="AJ3722" s="2">
        <f t="shared" si="465"/>
        <v>0</v>
      </c>
      <c r="AK3722" s="2">
        <f t="shared" si="462"/>
        <v>188.96799999999999</v>
      </c>
      <c r="AL3722" s="5">
        <f t="shared" si="461"/>
        <v>0.42947272727272723</v>
      </c>
    </row>
    <row r="3723" spans="1:38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0"/>
        <v>0.42947272727272723</v>
      </c>
      <c r="Z3723" s="2" t="s">
        <v>3237</v>
      </c>
      <c r="AA3723" s="2" t="s">
        <v>76</v>
      </c>
      <c r="AB3723" s="2" t="s">
        <v>77</v>
      </c>
      <c r="AC3723" s="2" t="s">
        <v>78</v>
      </c>
      <c r="AF3723" s="2">
        <f t="shared" si="464"/>
        <v>0</v>
      </c>
      <c r="AG3723" s="2">
        <v>125.51600000000001</v>
      </c>
      <c r="AH3723" s="2">
        <v>220</v>
      </c>
      <c r="AJ3723" s="2">
        <f t="shared" si="465"/>
        <v>0</v>
      </c>
      <c r="AK3723" s="2">
        <f t="shared" si="462"/>
        <v>94.483999999999995</v>
      </c>
      <c r="AL3723" s="5">
        <f t="shared" si="461"/>
        <v>0.42947272727272723</v>
      </c>
    </row>
    <row r="3724" spans="1:38" x14ac:dyDescent="0.2">
      <c r="A3724" s="2">
        <v>2026</v>
      </c>
      <c r="B3724" s="2">
        <v>4</v>
      </c>
      <c r="D3724" s="2" t="s">
        <v>1299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1300</v>
      </c>
      <c r="L3724" s="2" t="s">
        <v>340</v>
      </c>
      <c r="M3724" s="2" t="s">
        <v>81</v>
      </c>
      <c r="O3724" s="2" t="s">
        <v>2883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0"/>
        <v>0.41182755388940956</v>
      </c>
      <c r="Z3724" s="2" t="s">
        <v>3237</v>
      </c>
      <c r="AA3724" s="2" t="s">
        <v>76</v>
      </c>
      <c r="AB3724" s="2" t="s">
        <v>77</v>
      </c>
      <c r="AC3724" s="2" t="s">
        <v>78</v>
      </c>
      <c r="AF3724" s="2">
        <f t="shared" si="464"/>
        <v>0</v>
      </c>
      <c r="AG3724" s="2">
        <v>125.51600000000001</v>
      </c>
      <c r="AH3724" s="2">
        <v>220</v>
      </c>
      <c r="AJ3724" s="2">
        <f t="shared" si="465"/>
        <v>0</v>
      </c>
      <c r="AK3724" s="2">
        <f t="shared" si="462"/>
        <v>87.884</v>
      </c>
      <c r="AL3724" s="5">
        <f t="shared" si="461"/>
        <v>0.41182755388940956</v>
      </c>
    </row>
    <row r="3725" spans="1:38" x14ac:dyDescent="0.2">
      <c r="A3725" s="2">
        <v>2026</v>
      </c>
      <c r="B3725" s="2">
        <v>4</v>
      </c>
      <c r="D3725" s="2" t="s">
        <v>1963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0"/>
        <v>0.42947272727272723</v>
      </c>
      <c r="Z3725" s="2" t="s">
        <v>3237</v>
      </c>
      <c r="AA3725" s="2" t="s">
        <v>76</v>
      </c>
      <c r="AB3725" s="2" t="s">
        <v>77</v>
      </c>
      <c r="AC3725" s="2" t="s">
        <v>78</v>
      </c>
      <c r="AF3725" s="2">
        <f t="shared" si="464"/>
        <v>0</v>
      </c>
      <c r="AG3725" s="2">
        <v>125.51600000000001</v>
      </c>
      <c r="AH3725" s="2">
        <v>220</v>
      </c>
      <c r="AJ3725" s="2">
        <f t="shared" si="465"/>
        <v>0</v>
      </c>
      <c r="AK3725" s="2">
        <f t="shared" si="462"/>
        <v>94.483999999999995</v>
      </c>
      <c r="AL3725" s="5">
        <f t="shared" si="461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2884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0"/>
        <v>0.52504545454545459</v>
      </c>
      <c r="Z3726" s="2" t="s">
        <v>3237</v>
      </c>
      <c r="AA3726" s="2" t="s">
        <v>76</v>
      </c>
      <c r="AB3726" s="2" t="s">
        <v>77</v>
      </c>
      <c r="AC3726" s="2" t="s">
        <v>78</v>
      </c>
      <c r="AF3726" s="2">
        <f t="shared" si="464"/>
        <v>0</v>
      </c>
      <c r="AG3726" s="2">
        <v>104.49</v>
      </c>
      <c r="AH3726" s="2">
        <v>220</v>
      </c>
      <c r="AJ3726" s="2">
        <f t="shared" si="465"/>
        <v>0</v>
      </c>
      <c r="AK3726" s="2">
        <f t="shared" si="462"/>
        <v>115.51</v>
      </c>
      <c r="AL3726" s="5">
        <f t="shared" si="461"/>
        <v>0.52504545454545459</v>
      </c>
    </row>
    <row r="3727" spans="1:38" x14ac:dyDescent="0.2">
      <c r="A3727" s="2">
        <v>2026</v>
      </c>
      <c r="B3727" s="2">
        <v>4</v>
      </c>
      <c r="D3727" s="2" t="s">
        <v>2885</v>
      </c>
      <c r="M3727" s="2" t="s">
        <v>41</v>
      </c>
      <c r="P3727" s="2" t="s">
        <v>73</v>
      </c>
      <c r="Q3727" s="2" t="s">
        <v>2886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0"/>
        <v>0.47704545454545455</v>
      </c>
      <c r="Z3727" s="2" t="s">
        <v>3237</v>
      </c>
      <c r="AA3727" s="2" t="s">
        <v>76</v>
      </c>
      <c r="AB3727" s="2" t="s">
        <v>77</v>
      </c>
      <c r="AC3727" s="2" t="s">
        <v>78</v>
      </c>
      <c r="AF3727" s="2">
        <f t="shared" si="464"/>
        <v>0</v>
      </c>
      <c r="AG3727" s="2">
        <v>115.05</v>
      </c>
      <c r="AJ3727" s="2">
        <f t="shared" si="465"/>
        <v>0</v>
      </c>
      <c r="AK3727" s="2">
        <f t="shared" si="462"/>
        <v>104.95</v>
      </c>
      <c r="AL3727" s="5">
        <f t="shared" si="461"/>
        <v>0.47704545454545455</v>
      </c>
    </row>
    <row r="3728" spans="1:38" x14ac:dyDescent="0.2">
      <c r="A3728" s="2">
        <v>2026</v>
      </c>
      <c r="B3728" s="2">
        <v>4</v>
      </c>
      <c r="D3728" s="2" t="s">
        <v>1423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1276</v>
      </c>
      <c r="J3728" s="2" t="s">
        <v>2402</v>
      </c>
      <c r="L3728" s="2" t="s">
        <v>178</v>
      </c>
      <c r="M3728" s="2" t="s">
        <v>41</v>
      </c>
      <c r="O3728" s="2" t="s">
        <v>2887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0"/>
        <v>0.37426086956521742</v>
      </c>
      <c r="Z3728" s="2" t="s">
        <v>3237</v>
      </c>
      <c r="AA3728" s="2" t="s">
        <v>76</v>
      </c>
      <c r="AB3728" s="2" t="s">
        <v>77</v>
      </c>
      <c r="AC3728" s="2" t="s">
        <v>78</v>
      </c>
      <c r="AF3728" s="2">
        <f t="shared" si="464"/>
        <v>0</v>
      </c>
      <c r="AG3728" s="2">
        <v>143.91999999999999</v>
      </c>
      <c r="AJ3728" s="2">
        <f t="shared" si="465"/>
        <v>0</v>
      </c>
      <c r="AK3728" s="2">
        <f t="shared" si="462"/>
        <v>86.080000000000013</v>
      </c>
      <c r="AL3728" s="5">
        <f t="shared" si="461"/>
        <v>0.37426086956521742</v>
      </c>
    </row>
    <row r="3729" spans="1:38" x14ac:dyDescent="0.2">
      <c r="A3729" s="2">
        <v>2026</v>
      </c>
      <c r="B3729" s="2">
        <v>4</v>
      </c>
      <c r="D3729" s="2" t="s">
        <v>2888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0"/>
        <v>0.39365217391304347</v>
      </c>
      <c r="Z3729" s="2" t="s">
        <v>3237</v>
      </c>
      <c r="AA3729" s="2" t="s">
        <v>76</v>
      </c>
      <c r="AB3729" s="2" t="s">
        <v>77</v>
      </c>
      <c r="AC3729" s="2" t="s">
        <v>78</v>
      </c>
      <c r="AF3729" s="2">
        <f t="shared" si="464"/>
        <v>0</v>
      </c>
      <c r="AJ3729" s="2">
        <f t="shared" si="465"/>
        <v>0</v>
      </c>
      <c r="AK3729" s="2">
        <f t="shared" si="462"/>
        <v>90.539999999999992</v>
      </c>
      <c r="AL3729" s="5">
        <f t="shared" si="461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1025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0"/>
        <v>0.41681818181818175</v>
      </c>
      <c r="Z3730" s="2" t="s">
        <v>3237</v>
      </c>
      <c r="AA3730" s="2" t="s">
        <v>76</v>
      </c>
      <c r="AB3730" s="2" t="s">
        <v>77</v>
      </c>
      <c r="AC3730" s="2" t="s">
        <v>78</v>
      </c>
      <c r="AF3730" s="2">
        <f t="shared" si="464"/>
        <v>0</v>
      </c>
      <c r="AJ3730" s="2">
        <f t="shared" si="465"/>
        <v>0</v>
      </c>
      <c r="AK3730" s="2">
        <f t="shared" si="462"/>
        <v>91.699999999999989</v>
      </c>
      <c r="AL3730" s="5">
        <f t="shared" si="461"/>
        <v>0.41681818181818175</v>
      </c>
    </row>
    <row r="3731" spans="1:38" x14ac:dyDescent="0.2">
      <c r="A3731" s="2">
        <v>2026</v>
      </c>
      <c r="B3731" s="2">
        <v>4</v>
      </c>
      <c r="D3731" s="2" t="s">
        <v>1299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1300</v>
      </c>
      <c r="L3731" s="2" t="s">
        <v>340</v>
      </c>
      <c r="M3731" s="2" t="s">
        <v>81</v>
      </c>
      <c r="O3731" s="2" t="s">
        <v>2889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0"/>
        <v>0.38559155621011287</v>
      </c>
      <c r="Z3731" s="2" t="s">
        <v>3237</v>
      </c>
      <c r="AA3731" s="2" t="s">
        <v>76</v>
      </c>
      <c r="AB3731" s="2" t="s">
        <v>77</v>
      </c>
      <c r="AC3731" s="2" t="s">
        <v>78</v>
      </c>
      <c r="AF3731" s="2">
        <f t="shared" si="464"/>
        <v>0</v>
      </c>
      <c r="AG3731" s="2">
        <v>105.59</v>
      </c>
      <c r="AJ3731" s="2">
        <f t="shared" si="465"/>
        <v>0</v>
      </c>
      <c r="AK3731" s="2">
        <f t="shared" si="462"/>
        <v>78.544999999999987</v>
      </c>
      <c r="AL3731" s="5">
        <f t="shared" si="461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2890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0"/>
        <v>0.4575909090909091</v>
      </c>
      <c r="Z3732" s="2" t="s">
        <v>3237</v>
      </c>
      <c r="AA3732" s="2" t="s">
        <v>76</v>
      </c>
      <c r="AB3732" s="2" t="s">
        <v>77</v>
      </c>
      <c r="AC3732" s="2" t="s">
        <v>78</v>
      </c>
      <c r="AF3732" s="2">
        <f t="shared" si="464"/>
        <v>0</v>
      </c>
      <c r="AG3732" s="2">
        <v>119.33</v>
      </c>
      <c r="AH3732" s="2">
        <v>220</v>
      </c>
      <c r="AJ3732" s="2">
        <f t="shared" si="465"/>
        <v>0</v>
      </c>
      <c r="AK3732" s="2">
        <f t="shared" si="462"/>
        <v>100.67</v>
      </c>
      <c r="AL3732" s="5">
        <f t="shared" si="461"/>
        <v>0.4575909090909091</v>
      </c>
    </row>
    <row r="3733" spans="1:38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2891</v>
      </c>
      <c r="P3733" s="2" t="s">
        <v>73</v>
      </c>
      <c r="Q3733" s="2" t="s">
        <v>1038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0"/>
        <v>0.48486363636363639</v>
      </c>
      <c r="Z3733" s="2" t="s">
        <v>3237</v>
      </c>
      <c r="AA3733" s="2" t="s">
        <v>76</v>
      </c>
      <c r="AB3733" s="2" t="s">
        <v>77</v>
      </c>
      <c r="AC3733" s="2" t="s">
        <v>78</v>
      </c>
      <c r="AF3733" s="2">
        <f t="shared" si="464"/>
        <v>0</v>
      </c>
      <c r="AG3733" s="2">
        <v>113.33</v>
      </c>
      <c r="AH3733" s="2">
        <v>220</v>
      </c>
      <c r="AJ3733" s="2">
        <f t="shared" si="465"/>
        <v>0</v>
      </c>
      <c r="AK3733" s="2">
        <f t="shared" si="462"/>
        <v>106.67</v>
      </c>
      <c r="AL3733" s="5">
        <f t="shared" ref="AL3733:AL3764" si="466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1038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0"/>
        <v>0.44006916996047435</v>
      </c>
      <c r="Z3734" s="2" t="s">
        <v>3237</v>
      </c>
      <c r="AA3734" s="2" t="s">
        <v>76</v>
      </c>
      <c r="AB3734" s="2" t="s">
        <v>77</v>
      </c>
      <c r="AC3734" s="2" t="s">
        <v>78</v>
      </c>
      <c r="AF3734" s="2">
        <f t="shared" si="464"/>
        <v>0</v>
      </c>
      <c r="AG3734" s="2">
        <v>113.33</v>
      </c>
      <c r="AH3734" s="2">
        <v>220</v>
      </c>
      <c r="AJ3734" s="2">
        <f t="shared" si="465"/>
        <v>0</v>
      </c>
      <c r="AK3734" s="2">
        <f t="shared" si="462"/>
        <v>89.070000000000007</v>
      </c>
      <c r="AL3734" s="5">
        <f t="shared" si="466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2892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0"/>
        <v>0.49099999999999999</v>
      </c>
      <c r="Z3735" s="2" t="s">
        <v>3237</v>
      </c>
      <c r="AA3735" s="2" t="s">
        <v>76</v>
      </c>
      <c r="AB3735" s="2" t="s">
        <v>77</v>
      </c>
      <c r="AC3735" s="2" t="s">
        <v>78</v>
      </c>
      <c r="AF3735" s="2">
        <f t="shared" si="464"/>
        <v>0</v>
      </c>
      <c r="AG3735" s="2">
        <v>111.98</v>
      </c>
      <c r="AH3735" s="2">
        <v>210</v>
      </c>
      <c r="AJ3735" s="2">
        <f t="shared" si="465"/>
        <v>0</v>
      </c>
      <c r="AK3735" s="2">
        <f t="shared" si="462"/>
        <v>108.02</v>
      </c>
      <c r="AL3735" s="5">
        <f t="shared" si="466"/>
        <v>0.49099999999999999</v>
      </c>
    </row>
    <row r="3736" spans="1:38" x14ac:dyDescent="0.2">
      <c r="A3736" s="2">
        <v>2026</v>
      </c>
      <c r="B3736" s="2">
        <v>4</v>
      </c>
      <c r="D3736" s="2" t="s">
        <v>2567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0"/>
        <v>0.37336666666666662</v>
      </c>
      <c r="Z3736" s="2" t="s">
        <v>3237</v>
      </c>
      <c r="AA3736" s="2" t="s">
        <v>76</v>
      </c>
      <c r="AB3736" s="2" t="s">
        <v>77</v>
      </c>
      <c r="AC3736" s="2" t="s">
        <v>78</v>
      </c>
      <c r="AF3736" s="2">
        <f t="shared" si="464"/>
        <v>0</v>
      </c>
      <c r="AG3736" s="2">
        <v>187.99</v>
      </c>
      <c r="AJ3736" s="2">
        <f t="shared" si="465"/>
        <v>0</v>
      </c>
      <c r="AK3736" s="2">
        <f t="shared" si="462"/>
        <v>112.00999999999999</v>
      </c>
      <c r="AL3736" s="5">
        <f t="shared" si="466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2893</v>
      </c>
      <c r="P3737" s="2" t="s">
        <v>1041</v>
      </c>
      <c r="Q3737" s="2" t="s">
        <v>2894</v>
      </c>
      <c r="R3737" s="2" t="s">
        <v>2895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0"/>
        <v>0.49359999999999998</v>
      </c>
      <c r="Z3737" s="2" t="s">
        <v>3237</v>
      </c>
      <c r="AA3737" s="2" t="s">
        <v>76</v>
      </c>
      <c r="AB3737" s="2" t="s">
        <v>77</v>
      </c>
      <c r="AC3737" s="2" t="s">
        <v>1041</v>
      </c>
      <c r="AF3737" s="2">
        <f t="shared" si="464"/>
        <v>0</v>
      </c>
      <c r="AJ3737" s="2">
        <f t="shared" si="465"/>
        <v>0</v>
      </c>
      <c r="AK3737" s="2">
        <f t="shared" si="462"/>
        <v>172.76</v>
      </c>
      <c r="AL3737" s="5">
        <f t="shared" si="466"/>
        <v>0.49359999999999998</v>
      </c>
    </row>
    <row r="3738" spans="1:38" x14ac:dyDescent="0.2">
      <c r="A3738" s="2">
        <v>2026</v>
      </c>
      <c r="B3738" s="2">
        <v>4</v>
      </c>
      <c r="D3738" s="2" t="s">
        <v>1299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1300</v>
      </c>
      <c r="L3738" s="2" t="s">
        <v>340</v>
      </c>
      <c r="M3738" s="2" t="s">
        <v>81</v>
      </c>
      <c r="O3738" s="2" t="s">
        <v>2896</v>
      </c>
      <c r="P3738" s="2" t="s">
        <v>1041</v>
      </c>
      <c r="Q3738" s="2" t="s">
        <v>2897</v>
      </c>
      <c r="R3738" s="2" t="s">
        <v>2898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0"/>
        <v>0.33851921274601693</v>
      </c>
      <c r="Z3738" s="2" t="s">
        <v>3237</v>
      </c>
      <c r="AA3738" s="2" t="s">
        <v>76</v>
      </c>
      <c r="AB3738" s="2" t="s">
        <v>77</v>
      </c>
      <c r="AC3738" s="2" t="s">
        <v>1041</v>
      </c>
      <c r="AF3738" s="2">
        <f t="shared" si="464"/>
        <v>0</v>
      </c>
      <c r="AG3738" s="2">
        <v>141.16</v>
      </c>
      <c r="AJ3738" s="2">
        <f t="shared" si="465"/>
        <v>0</v>
      </c>
      <c r="AK3738" s="2">
        <f t="shared" si="462"/>
        <v>72.240000000000009</v>
      </c>
      <c r="AL3738" s="5">
        <f t="shared" si="466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3166</v>
      </c>
      <c r="L3739" s="2" t="s">
        <v>113</v>
      </c>
      <c r="M3739" s="2" t="s">
        <v>81</v>
      </c>
      <c r="O3739" s="2" t="s">
        <v>3168</v>
      </c>
      <c r="P3739" s="2" t="s">
        <v>1041</v>
      </c>
      <c r="Q3739" s="2" t="s">
        <v>2899</v>
      </c>
      <c r="R3739" s="2" t="s">
        <v>2900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0"/>
        <v>0.45652173913043476</v>
      </c>
      <c r="Z3739" s="2" t="s">
        <v>3237</v>
      </c>
      <c r="AA3739" s="2" t="s">
        <v>76</v>
      </c>
      <c r="AB3739" s="2" t="s">
        <v>77</v>
      </c>
      <c r="AC3739" s="2" t="s">
        <v>1041</v>
      </c>
      <c r="AF3739" s="2">
        <f t="shared" si="464"/>
        <v>0</v>
      </c>
      <c r="AG3739" s="2">
        <v>115</v>
      </c>
      <c r="AJ3739" s="2">
        <f t="shared" si="465"/>
        <v>0</v>
      </c>
      <c r="AK3739" s="2">
        <f t="shared" si="462"/>
        <v>483</v>
      </c>
      <c r="AL3739" s="5">
        <f t="shared" si="466"/>
        <v>0.45652173913043476</v>
      </c>
    </row>
    <row r="3740" spans="1:38" x14ac:dyDescent="0.2">
      <c r="A3740" s="2">
        <v>2026</v>
      </c>
      <c r="B3740" s="2">
        <v>4</v>
      </c>
      <c r="D3740" s="2" t="s">
        <v>2534</v>
      </c>
      <c r="G3740" s="2">
        <v>503687014</v>
      </c>
      <c r="L3740" s="2" t="s">
        <v>134</v>
      </c>
      <c r="M3740" s="2" t="s">
        <v>110</v>
      </c>
      <c r="O3740" s="2" t="s">
        <v>3167</v>
      </c>
      <c r="P3740" s="2" t="s">
        <v>1041</v>
      </c>
      <c r="Q3740" s="2" t="s">
        <v>2899</v>
      </c>
      <c r="R3740" s="2" t="s">
        <v>2900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0"/>
        <v>0.47727272727272729</v>
      </c>
      <c r="Z3740" s="2" t="s">
        <v>3237</v>
      </c>
      <c r="AA3740" s="2" t="s">
        <v>76</v>
      </c>
      <c r="AB3740" s="2" t="s">
        <v>77</v>
      </c>
      <c r="AC3740" s="2" t="s">
        <v>1041</v>
      </c>
      <c r="AF3740" s="2">
        <f t="shared" si="464"/>
        <v>0</v>
      </c>
      <c r="AG3740" s="2">
        <v>115</v>
      </c>
      <c r="AJ3740" s="2">
        <f t="shared" si="465"/>
        <v>0</v>
      </c>
      <c r="AK3740" s="2">
        <f t="shared" si="462"/>
        <v>105</v>
      </c>
      <c r="AL3740" s="5">
        <f t="shared" si="466"/>
        <v>0.47727272727272729</v>
      </c>
    </row>
    <row r="3741" spans="1:38" x14ac:dyDescent="0.2">
      <c r="A3741" s="2">
        <v>2026</v>
      </c>
      <c r="B3741" s="2">
        <v>4</v>
      </c>
      <c r="D3741" s="2" t="s">
        <v>2567</v>
      </c>
      <c r="M3741" s="2" t="s">
        <v>81</v>
      </c>
      <c r="O3741" s="2" t="s">
        <v>3172</v>
      </c>
      <c r="P3741" s="2" t="s">
        <v>1041</v>
      </c>
      <c r="Q3741" s="2" t="s">
        <v>2901</v>
      </c>
      <c r="R3741" s="2" t="s">
        <v>2902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0"/>
        <v>0.45994871794871794</v>
      </c>
      <c r="Z3741" s="2" t="s">
        <v>3237</v>
      </c>
      <c r="AA3741" s="2" t="s">
        <v>76</v>
      </c>
      <c r="AB3741" s="2" t="s">
        <v>77</v>
      </c>
      <c r="AC3741" s="2" t="s">
        <v>1041</v>
      </c>
      <c r="AF3741" s="2">
        <f t="shared" si="464"/>
        <v>0</v>
      </c>
      <c r="AJ3741" s="2">
        <f t="shared" si="465"/>
        <v>0</v>
      </c>
      <c r="AK3741" s="2">
        <f t="shared" si="462"/>
        <v>179.38</v>
      </c>
      <c r="AL3741" s="5">
        <f t="shared" si="466"/>
        <v>0.45994871794871794</v>
      </c>
    </row>
    <row r="3742" spans="1:38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2903</v>
      </c>
      <c r="P3742" s="2" t="s">
        <v>1041</v>
      </c>
      <c r="Q3742" s="2" t="s">
        <v>2747</v>
      </c>
      <c r="R3742" s="2" t="s">
        <v>2748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0"/>
        <v>0.44215657741559949</v>
      </c>
      <c r="Z3742" s="2" t="s">
        <v>3237</v>
      </c>
      <c r="AA3742" s="2" t="s">
        <v>76</v>
      </c>
      <c r="AB3742" s="2" t="s">
        <v>77</v>
      </c>
      <c r="AC3742" s="2" t="s">
        <v>1041</v>
      </c>
      <c r="AF3742" s="2">
        <f t="shared" si="464"/>
        <v>0</v>
      </c>
      <c r="AG3742" s="2">
        <v>153.34</v>
      </c>
      <c r="AJ3742" s="2">
        <f t="shared" si="465"/>
        <v>0</v>
      </c>
      <c r="AK3742" s="2">
        <f t="shared" si="462"/>
        <v>121.53999999999999</v>
      </c>
      <c r="AL3742" s="5">
        <f t="shared" si="466"/>
        <v>0.44215657741559949</v>
      </c>
    </row>
    <row r="3743" spans="1:38" x14ac:dyDescent="0.2">
      <c r="A3743" s="2">
        <v>2026</v>
      </c>
      <c r="B3743" s="2">
        <v>4</v>
      </c>
      <c r="D3743" s="2" t="s">
        <v>1560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1561</v>
      </c>
      <c r="J3743" s="2" t="s">
        <v>1562</v>
      </c>
      <c r="L3743" s="2" t="s">
        <v>100</v>
      </c>
      <c r="M3743" s="2" t="s">
        <v>41</v>
      </c>
      <c r="P3743" s="2" t="s">
        <v>1041</v>
      </c>
      <c r="Q3743" s="2" t="s">
        <v>2747</v>
      </c>
      <c r="R3743" s="2" t="s">
        <v>2748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3237</v>
      </c>
      <c r="AA3743" s="2" t="s">
        <v>76</v>
      </c>
      <c r="AB3743" s="2" t="s">
        <v>77</v>
      </c>
      <c r="AC3743" s="2" t="s">
        <v>1041</v>
      </c>
      <c r="AF3743" s="2">
        <f t="shared" si="464"/>
        <v>0</v>
      </c>
      <c r="AJ3743" s="2">
        <f t="shared" si="465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1979</v>
      </c>
      <c r="R3744" s="2" t="s">
        <v>1980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7">(T3744-W3744)/T3744</f>
        <v>1</v>
      </c>
      <c r="Z3744" s="2" t="s">
        <v>3237</v>
      </c>
      <c r="AA3744" s="2" t="s">
        <v>88</v>
      </c>
      <c r="AB3744" s="2" t="s">
        <v>91</v>
      </c>
      <c r="AC3744" s="2" t="s">
        <v>85</v>
      </c>
      <c r="AF3744" s="2">
        <f t="shared" si="464"/>
        <v>0</v>
      </c>
      <c r="AJ3744" s="2">
        <f t="shared" si="465"/>
        <v>0</v>
      </c>
      <c r="AK3744" s="2">
        <f t="shared" si="462"/>
        <v>14</v>
      </c>
      <c r="AL3744" s="5">
        <f t="shared" si="466"/>
        <v>1</v>
      </c>
    </row>
    <row r="3745" spans="1:38" x14ac:dyDescent="0.2">
      <c r="A3745" s="2">
        <v>2026</v>
      </c>
      <c r="B3745" s="2">
        <v>3</v>
      </c>
      <c r="D3745" s="2" t="s">
        <v>2860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7"/>
        <v>0.41111111111111115</v>
      </c>
      <c r="Z3745" s="2" t="s">
        <v>3237</v>
      </c>
      <c r="AA3745" s="2" t="s">
        <v>46</v>
      </c>
      <c r="AB3745" s="2" t="s">
        <v>57</v>
      </c>
      <c r="AC3745" s="2" t="s">
        <v>58</v>
      </c>
      <c r="AF3745" s="2">
        <f t="shared" si="464"/>
        <v>0</v>
      </c>
      <c r="AG3745" s="2">
        <v>10.6</v>
      </c>
      <c r="AH3745" s="2">
        <v>18</v>
      </c>
      <c r="AJ3745" s="2">
        <f t="shared" si="465"/>
        <v>0</v>
      </c>
      <c r="AK3745" s="2">
        <f t="shared" si="462"/>
        <v>7.4</v>
      </c>
      <c r="AL3745" s="5">
        <f t="shared" si="46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7"/>
        <v>0.42833333333333329</v>
      </c>
      <c r="Z3746" s="2" t="s">
        <v>3237</v>
      </c>
      <c r="AA3746" s="2" t="s">
        <v>88</v>
      </c>
      <c r="AB3746" s="2" t="s">
        <v>91</v>
      </c>
      <c r="AC3746" s="2" t="s">
        <v>85</v>
      </c>
      <c r="AF3746" s="2">
        <f t="shared" si="464"/>
        <v>0</v>
      </c>
      <c r="AJ3746" s="2">
        <f t="shared" si="465"/>
        <v>0</v>
      </c>
      <c r="AK3746" s="2">
        <f t="shared" si="462"/>
        <v>5.14</v>
      </c>
      <c r="AL3746" s="5">
        <f t="shared" si="466"/>
        <v>0.42833333333333329</v>
      </c>
    </row>
    <row r="3747" spans="1:38" x14ac:dyDescent="0.2">
      <c r="A3747" s="2">
        <v>2026</v>
      </c>
      <c r="B3747" s="2">
        <v>4</v>
      </c>
      <c r="D3747" s="2" t="s">
        <v>983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7"/>
        <v>0.42833333333333329</v>
      </c>
      <c r="Z3747" s="2" t="s">
        <v>3237</v>
      </c>
      <c r="AA3747" s="2" t="s">
        <v>88</v>
      </c>
      <c r="AB3747" s="2" t="s">
        <v>91</v>
      </c>
      <c r="AC3747" s="2" t="s">
        <v>85</v>
      </c>
      <c r="AF3747" s="2">
        <f t="shared" si="464"/>
        <v>0</v>
      </c>
      <c r="AJ3747" s="2">
        <f t="shared" si="465"/>
        <v>0</v>
      </c>
      <c r="AK3747" s="2">
        <f t="shared" si="462"/>
        <v>5.14</v>
      </c>
      <c r="AL3747" s="5">
        <f t="shared" si="466"/>
        <v>0.42833333333333329</v>
      </c>
    </row>
    <row r="3748" spans="1:38" x14ac:dyDescent="0.2">
      <c r="A3748" s="2">
        <v>2026</v>
      </c>
      <c r="B3748" s="2">
        <v>4</v>
      </c>
      <c r="D3748" s="2" t="s">
        <v>1018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2546</v>
      </c>
      <c r="L3748" s="2" t="s">
        <v>100</v>
      </c>
      <c r="M3748" s="2" t="s">
        <v>81</v>
      </c>
      <c r="O3748" s="2" t="s">
        <v>2853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7"/>
        <v>0.51</v>
      </c>
      <c r="Z3748" s="2" t="s">
        <v>3237</v>
      </c>
      <c r="AA3748" s="2" t="s">
        <v>88</v>
      </c>
      <c r="AB3748" s="2" t="s">
        <v>91</v>
      </c>
      <c r="AC3748" s="2" t="s">
        <v>85</v>
      </c>
      <c r="AF3748" s="2">
        <f t="shared" si="464"/>
        <v>0</v>
      </c>
      <c r="AG3748" s="2">
        <v>2.94</v>
      </c>
      <c r="AJ3748" s="2">
        <f t="shared" si="465"/>
        <v>0</v>
      </c>
      <c r="AK3748" s="2">
        <f t="shared" si="462"/>
        <v>6.12</v>
      </c>
      <c r="AL3748" s="5">
        <f t="shared" si="466"/>
        <v>0.51</v>
      </c>
    </row>
    <row r="3749" spans="1:38" x14ac:dyDescent="0.2">
      <c r="A3749" s="2">
        <v>2026</v>
      </c>
      <c r="B3749" s="2">
        <v>4</v>
      </c>
      <c r="D3749" s="2" t="s">
        <v>2854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7"/>
        <v>0.76666666666666672</v>
      </c>
      <c r="Z3749" s="2" t="s">
        <v>3237</v>
      </c>
      <c r="AA3749" s="2" t="s">
        <v>88</v>
      </c>
      <c r="AB3749" s="2" t="s">
        <v>91</v>
      </c>
      <c r="AC3749" s="2" t="s">
        <v>85</v>
      </c>
      <c r="AF3749" s="2">
        <f t="shared" si="464"/>
        <v>0</v>
      </c>
      <c r="AJ3749" s="2">
        <f t="shared" si="465"/>
        <v>0</v>
      </c>
      <c r="AK3749" s="2">
        <f t="shared" si="462"/>
        <v>9.66</v>
      </c>
      <c r="AL3749" s="5">
        <f t="shared" si="46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7"/>
        <v>1</v>
      </c>
      <c r="Z3750" s="2" t="s">
        <v>3237</v>
      </c>
      <c r="AA3750" s="2" t="s">
        <v>88</v>
      </c>
      <c r="AB3750" s="2" t="s">
        <v>91</v>
      </c>
      <c r="AC3750" s="2" t="s">
        <v>85</v>
      </c>
      <c r="AF3750" s="2">
        <f t="shared" si="464"/>
        <v>0</v>
      </c>
      <c r="AJ3750" s="2">
        <f t="shared" si="465"/>
        <v>0</v>
      </c>
      <c r="AK3750" s="2">
        <f t="shared" si="462"/>
        <v>8.4</v>
      </c>
      <c r="AL3750" s="5">
        <f t="shared" si="466"/>
        <v>1</v>
      </c>
    </row>
    <row r="3751" spans="1:38" x14ac:dyDescent="0.2">
      <c r="A3751" s="2">
        <v>2026</v>
      </c>
      <c r="B3751" s="2">
        <v>4</v>
      </c>
      <c r="D3751" s="2" t="s">
        <v>1018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2546</v>
      </c>
      <c r="L3751" s="2" t="s">
        <v>100</v>
      </c>
      <c r="M3751" s="2" t="s">
        <v>81</v>
      </c>
      <c r="O3751" s="2" t="s">
        <v>2853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7"/>
        <v>0.65206944444444448</v>
      </c>
      <c r="Z3751" s="2" t="s">
        <v>3237</v>
      </c>
      <c r="AA3751" s="2" t="s">
        <v>88</v>
      </c>
      <c r="AB3751" s="2" t="s">
        <v>91</v>
      </c>
      <c r="AC3751" s="2" t="s">
        <v>85</v>
      </c>
      <c r="AF3751" s="2">
        <f t="shared" si="464"/>
        <v>0</v>
      </c>
      <c r="AG3751" s="2">
        <v>2.5051000000000001</v>
      </c>
      <c r="AJ3751" s="2">
        <f t="shared" si="465"/>
        <v>0</v>
      </c>
      <c r="AK3751" s="2">
        <f t="shared" si="462"/>
        <v>4.6949000000000005</v>
      </c>
      <c r="AL3751" s="5">
        <f t="shared" si="466"/>
        <v>0.65206944444444448</v>
      </c>
    </row>
    <row r="3752" spans="1:38" x14ac:dyDescent="0.2">
      <c r="A3752" s="2">
        <v>2026</v>
      </c>
      <c r="B3752" s="2">
        <v>4</v>
      </c>
      <c r="D3752" s="2" t="s">
        <v>2854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7"/>
        <v>1</v>
      </c>
      <c r="Z3752" s="2" t="s">
        <v>3237</v>
      </c>
      <c r="AA3752" s="2" t="s">
        <v>88</v>
      </c>
      <c r="AB3752" s="2" t="s">
        <v>91</v>
      </c>
      <c r="AC3752" s="2" t="s">
        <v>85</v>
      </c>
      <c r="AF3752" s="2">
        <f t="shared" si="464"/>
        <v>0</v>
      </c>
      <c r="AJ3752" s="2">
        <f t="shared" si="465"/>
        <v>0</v>
      </c>
      <c r="AK3752" s="2">
        <f t="shared" si="462"/>
        <v>12.6</v>
      </c>
      <c r="AL3752" s="5">
        <f t="shared" si="466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2904</v>
      </c>
      <c r="P3753" s="2" t="s">
        <v>2905</v>
      </c>
      <c r="Q3753" s="2" t="s">
        <v>2906</v>
      </c>
      <c r="R3753" s="2" t="s">
        <v>2907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7"/>
        <v>0.25</v>
      </c>
      <c r="Z3753" s="2" t="s">
        <v>3237</v>
      </c>
      <c r="AA3753" s="2" t="s">
        <v>72</v>
      </c>
      <c r="AB3753" s="2" t="s">
        <v>2905</v>
      </c>
      <c r="AC3753" s="2" t="s">
        <v>2905</v>
      </c>
      <c r="AF3753" s="2">
        <f t="shared" si="464"/>
        <v>0</v>
      </c>
      <c r="AG3753" s="2">
        <v>149.25</v>
      </c>
      <c r="AJ3753" s="2">
        <f t="shared" si="465"/>
        <v>0</v>
      </c>
      <c r="AK3753" s="2">
        <f t="shared" si="462"/>
        <v>49.75</v>
      </c>
      <c r="AL3753" s="5">
        <f t="shared" si="466"/>
        <v>0.25</v>
      </c>
    </row>
    <row r="3754" spans="1:38" x14ac:dyDescent="0.2">
      <c r="A3754" s="2">
        <v>2026</v>
      </c>
      <c r="B3754" s="2">
        <v>4</v>
      </c>
      <c r="D3754" s="2" t="s">
        <v>2908</v>
      </c>
      <c r="P3754" s="2" t="s">
        <v>40</v>
      </c>
      <c r="Q3754" s="2" t="s">
        <v>2909</v>
      </c>
      <c r="R3754" s="2" t="s">
        <v>2910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7"/>
        <v>1</v>
      </c>
      <c r="Z3754" s="2" t="s">
        <v>105</v>
      </c>
      <c r="AF3754" s="2">
        <f t="shared" si="464"/>
        <v>0</v>
      </c>
      <c r="AJ3754" s="2">
        <f t="shared" si="465"/>
        <v>0</v>
      </c>
      <c r="AK3754" s="2">
        <f t="shared" si="462"/>
        <v>1219.51</v>
      </c>
      <c r="AL3754" s="5">
        <f t="shared" si="466"/>
        <v>1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2911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7"/>
        <v>1</v>
      </c>
      <c r="Z3755" s="2" t="s">
        <v>118</v>
      </c>
      <c r="AA3755" s="2" t="s">
        <v>318</v>
      </c>
      <c r="AF3755" s="2">
        <f t="shared" si="464"/>
        <v>0</v>
      </c>
      <c r="AJ3755" s="2">
        <f t="shared" si="465"/>
        <v>0</v>
      </c>
      <c r="AK3755" s="2">
        <f t="shared" si="462"/>
        <v>1099</v>
      </c>
      <c r="AL3755" s="5">
        <f t="shared" si="466"/>
        <v>1</v>
      </c>
    </row>
    <row r="3756" spans="1:38" x14ac:dyDescent="0.2">
      <c r="A3756" s="2">
        <v>2026</v>
      </c>
      <c r="B3756" s="2">
        <v>4</v>
      </c>
      <c r="D3756" s="2" t="s">
        <v>2803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7"/>
        <v>0.5</v>
      </c>
      <c r="Z3756" s="2" t="s">
        <v>118</v>
      </c>
      <c r="AA3756" s="2" t="s">
        <v>191</v>
      </c>
      <c r="AF3756" s="2">
        <f t="shared" si="464"/>
        <v>0</v>
      </c>
      <c r="AG3756" s="2">
        <f>W3756</f>
        <v>27.5</v>
      </c>
      <c r="AJ3756" s="2">
        <f t="shared" si="465"/>
        <v>0</v>
      </c>
      <c r="AK3756" s="2">
        <f t="shared" si="462"/>
        <v>27.5</v>
      </c>
      <c r="AL3756" s="5">
        <f t="shared" si="466"/>
        <v>0.5</v>
      </c>
    </row>
    <row r="3757" spans="1:38" x14ac:dyDescent="0.2">
      <c r="A3757" s="2">
        <v>2026</v>
      </c>
      <c r="B3757" s="2">
        <v>3</v>
      </c>
      <c r="D3757" s="2" t="s">
        <v>1074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7"/>
        <v>0.6</v>
      </c>
      <c r="Z3757" s="2" t="s">
        <v>118</v>
      </c>
      <c r="AA3757" s="2" t="s">
        <v>191</v>
      </c>
      <c r="AF3757" s="2">
        <f t="shared" si="464"/>
        <v>0</v>
      </c>
      <c r="AG3757" s="2">
        <f>W3757</f>
        <v>25.200000000000003</v>
      </c>
      <c r="AJ3757" s="2">
        <f t="shared" si="465"/>
        <v>0</v>
      </c>
      <c r="AK3757" s="2">
        <f t="shared" si="462"/>
        <v>37.799999999999997</v>
      </c>
      <c r="AL3757" s="5">
        <f t="shared" si="466"/>
        <v>0.6</v>
      </c>
    </row>
    <row r="3758" spans="1:38" x14ac:dyDescent="0.2">
      <c r="A3758" s="2">
        <v>2026</v>
      </c>
      <c r="B3758" s="2">
        <v>3</v>
      </c>
      <c r="D3758" s="2" t="s">
        <v>2860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7"/>
        <v>0.36923076923076914</v>
      </c>
      <c r="Z3758" s="2" t="s">
        <v>3237</v>
      </c>
      <c r="AA3758" s="2" t="s">
        <v>46</v>
      </c>
      <c r="AB3758" s="2" t="s">
        <v>61</v>
      </c>
      <c r="AC3758" s="2" t="s">
        <v>58</v>
      </c>
      <c r="AF3758" s="2">
        <f t="shared" si="464"/>
        <v>0</v>
      </c>
      <c r="AG3758" s="2">
        <v>8.1999999999999993</v>
      </c>
      <c r="AH3758" s="2">
        <v>13</v>
      </c>
      <c r="AJ3758" s="2">
        <f t="shared" si="465"/>
        <v>0</v>
      </c>
      <c r="AK3758" s="2">
        <f t="shared" si="462"/>
        <v>9.5999999999999979</v>
      </c>
      <c r="AL3758" s="5">
        <f t="shared" si="466"/>
        <v>0.36923076923076914</v>
      </c>
    </row>
    <row r="3759" spans="1:38" x14ac:dyDescent="0.2">
      <c r="A3759" s="2">
        <v>2026</v>
      </c>
      <c r="B3759" s="2">
        <v>3</v>
      </c>
      <c r="D3759" s="2" t="s">
        <v>1074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7"/>
        <v>0.5</v>
      </c>
      <c r="Z3759" s="2" t="s">
        <v>118</v>
      </c>
      <c r="AA3759" s="2" t="s">
        <v>191</v>
      </c>
      <c r="AF3759" s="2">
        <f t="shared" si="464"/>
        <v>0</v>
      </c>
      <c r="AG3759" s="2">
        <f t="shared" ref="AG3759:AG3783" si="468">W3759</f>
        <v>34.375</v>
      </c>
      <c r="AJ3759" s="2">
        <f t="shared" si="465"/>
        <v>0</v>
      </c>
      <c r="AK3759" s="2">
        <f t="shared" si="462"/>
        <v>34.375</v>
      </c>
      <c r="AL3759" s="5">
        <f t="shared" si="466"/>
        <v>0.5</v>
      </c>
    </row>
    <row r="3760" spans="1:38" x14ac:dyDescent="0.2">
      <c r="A3760" s="2">
        <v>2026</v>
      </c>
      <c r="B3760" s="2">
        <v>4</v>
      </c>
      <c r="D3760" s="2" t="s">
        <v>1606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7"/>
        <v>0.6</v>
      </c>
      <c r="Z3760" s="2" t="s">
        <v>118</v>
      </c>
      <c r="AA3760" s="2" t="s">
        <v>191</v>
      </c>
      <c r="AF3760" s="2">
        <f t="shared" si="464"/>
        <v>0</v>
      </c>
      <c r="AG3760" s="2">
        <f t="shared" si="468"/>
        <v>20</v>
      </c>
      <c r="AJ3760" s="2">
        <f t="shared" si="465"/>
        <v>0</v>
      </c>
      <c r="AK3760" s="2">
        <f t="shared" si="462"/>
        <v>30</v>
      </c>
      <c r="AL3760" s="5">
        <f t="shared" si="466"/>
        <v>0.6</v>
      </c>
    </row>
    <row r="3761" spans="1:38" x14ac:dyDescent="0.2">
      <c r="A3761" s="2">
        <v>2026</v>
      </c>
      <c r="B3761" s="2">
        <v>4</v>
      </c>
      <c r="D3761" s="2" t="s">
        <v>1606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7"/>
        <v>0.5</v>
      </c>
      <c r="Z3761" s="2" t="s">
        <v>118</v>
      </c>
      <c r="AA3761" s="2" t="s">
        <v>191</v>
      </c>
      <c r="AF3761" s="2">
        <f t="shared" si="464"/>
        <v>0</v>
      </c>
      <c r="AG3761" s="2">
        <f t="shared" si="468"/>
        <v>25</v>
      </c>
      <c r="AJ3761" s="2">
        <f t="shared" si="465"/>
        <v>0</v>
      </c>
      <c r="AK3761" s="2">
        <f t="shared" si="462"/>
        <v>25</v>
      </c>
      <c r="AL3761" s="5">
        <f t="shared" si="466"/>
        <v>0.5</v>
      </c>
    </row>
    <row r="3762" spans="1:38" x14ac:dyDescent="0.2">
      <c r="A3762" s="2">
        <v>2026</v>
      </c>
      <c r="B3762" s="2">
        <v>3</v>
      </c>
      <c r="D3762" s="2" t="s">
        <v>2057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7"/>
        <v>0.60000000000000009</v>
      </c>
      <c r="Z3762" s="2" t="s">
        <v>118</v>
      </c>
      <c r="AA3762" s="2" t="s">
        <v>191</v>
      </c>
      <c r="AF3762" s="2">
        <f t="shared" si="464"/>
        <v>0</v>
      </c>
      <c r="AG3762" s="2">
        <f t="shared" si="468"/>
        <v>45.6</v>
      </c>
      <c r="AJ3762" s="2">
        <f t="shared" si="465"/>
        <v>0</v>
      </c>
      <c r="AK3762" s="2">
        <f t="shared" si="462"/>
        <v>68.400000000000006</v>
      </c>
      <c r="AL3762" s="5">
        <f t="shared" si="466"/>
        <v>0.60000000000000009</v>
      </c>
    </row>
    <row r="3763" spans="1:38" x14ac:dyDescent="0.2">
      <c r="A3763" s="2">
        <v>2026</v>
      </c>
      <c r="B3763" s="2">
        <v>3</v>
      </c>
      <c r="D3763" s="2" t="s">
        <v>2057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7"/>
        <v>0.5</v>
      </c>
      <c r="Z3763" s="2" t="s">
        <v>118</v>
      </c>
      <c r="AA3763" s="2" t="s">
        <v>191</v>
      </c>
      <c r="AF3763" s="2">
        <f t="shared" si="464"/>
        <v>0</v>
      </c>
      <c r="AG3763" s="2">
        <f t="shared" si="468"/>
        <v>100</v>
      </c>
      <c r="AJ3763" s="2">
        <f t="shared" si="465"/>
        <v>0</v>
      </c>
      <c r="AK3763" s="2">
        <f t="shared" si="462"/>
        <v>100</v>
      </c>
      <c r="AL3763" s="5">
        <f t="shared" si="466"/>
        <v>0.5</v>
      </c>
    </row>
    <row r="3764" spans="1:38" x14ac:dyDescent="0.2">
      <c r="A3764" s="2">
        <v>2026</v>
      </c>
      <c r="B3764" s="2">
        <v>4</v>
      </c>
      <c r="D3764" s="2" t="s">
        <v>2057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7"/>
        <v>0.6</v>
      </c>
      <c r="Z3764" s="2" t="s">
        <v>118</v>
      </c>
      <c r="AA3764" s="2" t="s">
        <v>191</v>
      </c>
      <c r="AF3764" s="2">
        <f t="shared" si="464"/>
        <v>0</v>
      </c>
      <c r="AG3764" s="2">
        <f t="shared" si="468"/>
        <v>58.800000000000004</v>
      </c>
      <c r="AJ3764" s="2">
        <f t="shared" si="465"/>
        <v>0</v>
      </c>
      <c r="AK3764" s="2">
        <f t="shared" si="462"/>
        <v>88.199999999999989</v>
      </c>
      <c r="AL3764" s="5">
        <f t="shared" si="466"/>
        <v>0.6</v>
      </c>
    </row>
    <row r="3765" spans="1:38" x14ac:dyDescent="0.2">
      <c r="A3765" s="2">
        <v>2026</v>
      </c>
      <c r="B3765" s="2">
        <v>4</v>
      </c>
      <c r="D3765" s="2" t="s">
        <v>2057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9">T3765*50%</f>
        <v>34.375</v>
      </c>
      <c r="X3765" s="5">
        <f t="shared" si="467"/>
        <v>0.5</v>
      </c>
      <c r="Z3765" s="2" t="s">
        <v>118</v>
      </c>
      <c r="AA3765" s="2" t="s">
        <v>191</v>
      </c>
      <c r="AF3765" s="2">
        <f t="shared" si="464"/>
        <v>0</v>
      </c>
      <c r="AG3765" s="2">
        <f t="shared" si="468"/>
        <v>34.375</v>
      </c>
      <c r="AJ3765" s="2">
        <f t="shared" si="465"/>
        <v>0</v>
      </c>
      <c r="AK3765" s="2">
        <f t="shared" si="462"/>
        <v>34.375</v>
      </c>
      <c r="AL3765" s="5">
        <f t="shared" ref="AL3765:AL3795" si="470">(T3765-W3765)/T3765</f>
        <v>0.5</v>
      </c>
    </row>
    <row r="3766" spans="1:38" x14ac:dyDescent="0.2">
      <c r="A3766" s="2">
        <v>2026</v>
      </c>
      <c r="B3766" s="2">
        <v>4</v>
      </c>
      <c r="D3766" s="2" t="s">
        <v>2912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9"/>
        <v>31.45</v>
      </c>
      <c r="X3766" s="5">
        <f t="shared" si="467"/>
        <v>0.5</v>
      </c>
      <c r="Z3766" s="2" t="s">
        <v>118</v>
      </c>
      <c r="AA3766" s="2" t="s">
        <v>191</v>
      </c>
      <c r="AF3766" s="2">
        <f t="shared" si="464"/>
        <v>0</v>
      </c>
      <c r="AG3766" s="2">
        <f t="shared" si="468"/>
        <v>31.45</v>
      </c>
      <c r="AJ3766" s="2">
        <f t="shared" si="465"/>
        <v>0</v>
      </c>
      <c r="AK3766" s="2">
        <f t="shared" ref="AK3766:AK3829" si="471">T3766-W3766</f>
        <v>31.45</v>
      </c>
      <c r="AL3766" s="5">
        <f t="shared" si="470"/>
        <v>0.5</v>
      </c>
    </row>
    <row r="3767" spans="1:38" x14ac:dyDescent="0.2">
      <c r="A3767" s="2">
        <v>2026</v>
      </c>
      <c r="B3767" s="2">
        <v>4</v>
      </c>
      <c r="D3767" s="2" t="s">
        <v>2913</v>
      </c>
      <c r="E3767" s="2" t="s">
        <v>38</v>
      </c>
      <c r="G3767" s="2">
        <v>506272524</v>
      </c>
      <c r="H3767" s="2" t="s">
        <v>40</v>
      </c>
      <c r="I3767" s="2" t="s">
        <v>2914</v>
      </c>
      <c r="J3767" s="2" t="s">
        <v>2915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64"/>
        <v>0</v>
      </c>
      <c r="AG3767" s="2">
        <f t="shared" si="468"/>
        <v>0</v>
      </c>
      <c r="AJ3767" s="2">
        <f t="shared" si="465"/>
        <v>0</v>
      </c>
      <c r="AK3767" s="2">
        <f t="shared" si="471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2913</v>
      </c>
      <c r="E3768" s="2" t="s">
        <v>38</v>
      </c>
      <c r="G3768" s="2">
        <v>506272524</v>
      </c>
      <c r="H3768" s="2" t="s">
        <v>40</v>
      </c>
      <c r="I3768" s="2" t="s">
        <v>2914</v>
      </c>
      <c r="J3768" s="2" t="s">
        <v>2915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64"/>
        <v>0</v>
      </c>
      <c r="AG3768" s="2">
        <f t="shared" si="468"/>
        <v>27.5</v>
      </c>
      <c r="AJ3768" s="2">
        <f t="shared" si="465"/>
        <v>0</v>
      </c>
      <c r="AK3768" s="2">
        <f t="shared" si="471"/>
        <v>27.5</v>
      </c>
      <c r="AL3768" s="5">
        <f t="shared" si="470"/>
        <v>0.5</v>
      </c>
    </row>
    <row r="3769" spans="1:38" x14ac:dyDescent="0.2">
      <c r="A3769" s="2">
        <v>2026</v>
      </c>
      <c r="B3769" s="2">
        <v>2</v>
      </c>
      <c r="D3769" s="2" t="s">
        <v>1091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1092</v>
      </c>
      <c r="J3769" s="2" t="s">
        <v>1093</v>
      </c>
      <c r="K3769" s="2">
        <v>917523997</v>
      </c>
      <c r="L3769" s="2" t="s">
        <v>113</v>
      </c>
      <c r="M3769" s="2" t="s">
        <v>40</v>
      </c>
      <c r="O3769" s="2" t="s">
        <v>2623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64"/>
        <v>0</v>
      </c>
      <c r="AG3769" s="2">
        <f t="shared" si="468"/>
        <v>65.600000000000009</v>
      </c>
      <c r="AJ3769" s="2">
        <f t="shared" si="465"/>
        <v>0</v>
      </c>
      <c r="AK3769" s="2">
        <f t="shared" si="471"/>
        <v>98.399999999999991</v>
      </c>
      <c r="AL3769" s="5">
        <f t="shared" si="470"/>
        <v>0.6</v>
      </c>
    </row>
    <row r="3770" spans="1:38" x14ac:dyDescent="0.2">
      <c r="A3770" s="2">
        <v>2026</v>
      </c>
      <c r="B3770" s="2">
        <v>2</v>
      </c>
      <c r="D3770" s="2" t="s">
        <v>1091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1092</v>
      </c>
      <c r="J3770" s="2" t="s">
        <v>1093</v>
      </c>
      <c r="K3770" s="2">
        <v>917523997</v>
      </c>
      <c r="L3770" s="2" t="s">
        <v>113</v>
      </c>
      <c r="M3770" s="2" t="s">
        <v>40</v>
      </c>
      <c r="O3770" s="2" t="s">
        <v>2623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64"/>
        <v>0</v>
      </c>
      <c r="AG3770" s="2">
        <f t="shared" si="468"/>
        <v>41.25</v>
      </c>
      <c r="AJ3770" s="2">
        <f t="shared" si="465"/>
        <v>0</v>
      </c>
      <c r="AK3770" s="2">
        <f t="shared" si="471"/>
        <v>41.25</v>
      </c>
      <c r="AL3770" s="5">
        <f t="shared" si="470"/>
        <v>0.5</v>
      </c>
    </row>
    <row r="3771" spans="1:38" x14ac:dyDescent="0.2">
      <c r="A3771" s="2">
        <v>2026</v>
      </c>
      <c r="B3771" s="2">
        <v>1</v>
      </c>
      <c r="D3771" s="2" t="s">
        <v>1629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1630</v>
      </c>
      <c r="J3771" s="2" t="s">
        <v>1631</v>
      </c>
      <c r="L3771" s="2" t="s">
        <v>294</v>
      </c>
      <c r="M3771" s="2" t="s">
        <v>40</v>
      </c>
      <c r="O3771" s="2" t="s">
        <v>2345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F3771" s="2">
        <f t="shared" si="464"/>
        <v>0</v>
      </c>
      <c r="AG3771" s="2">
        <f t="shared" si="468"/>
        <v>0</v>
      </c>
      <c r="AJ3771" s="2">
        <f t="shared" si="465"/>
        <v>0</v>
      </c>
      <c r="AK3771" s="2">
        <f t="shared" si="471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1629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1630</v>
      </c>
      <c r="J3772" s="2" t="s">
        <v>1631</v>
      </c>
      <c r="L3772" s="2" t="s">
        <v>294</v>
      </c>
      <c r="M3772" s="2" t="s">
        <v>40</v>
      </c>
      <c r="O3772" s="2" t="s">
        <v>2345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F3772" s="2">
        <f t="shared" si="464"/>
        <v>0</v>
      </c>
      <c r="AG3772" s="2">
        <f t="shared" si="468"/>
        <v>0</v>
      </c>
      <c r="AJ3772" s="2">
        <f t="shared" si="465"/>
        <v>0</v>
      </c>
      <c r="AK3772" s="2">
        <f t="shared" si="471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2916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2">(T3773-W3773)/T3773</f>
        <v>0.6</v>
      </c>
      <c r="Z3773" s="2" t="s">
        <v>118</v>
      </c>
      <c r="AA3773" s="2" t="s">
        <v>191</v>
      </c>
      <c r="AF3773" s="2">
        <f t="shared" si="464"/>
        <v>0</v>
      </c>
      <c r="AG3773" s="2">
        <f t="shared" si="468"/>
        <v>60.400000000000006</v>
      </c>
      <c r="AJ3773" s="2">
        <f t="shared" si="465"/>
        <v>0</v>
      </c>
      <c r="AK3773" s="2">
        <f t="shared" si="471"/>
        <v>90.6</v>
      </c>
      <c r="AL3773" s="5">
        <f t="shared" si="470"/>
        <v>0.6</v>
      </c>
    </row>
    <row r="3774" spans="1:38" x14ac:dyDescent="0.2">
      <c r="A3774" s="2">
        <v>2026</v>
      </c>
      <c r="B3774" s="2">
        <v>4</v>
      </c>
      <c r="D3774" s="2" t="s">
        <v>2916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2"/>
        <v>0.5</v>
      </c>
      <c r="Z3774" s="2" t="s">
        <v>118</v>
      </c>
      <c r="AA3774" s="2" t="s">
        <v>191</v>
      </c>
      <c r="AF3774" s="2">
        <f t="shared" si="464"/>
        <v>0</v>
      </c>
      <c r="AG3774" s="2">
        <f t="shared" si="468"/>
        <v>82.5</v>
      </c>
      <c r="AJ3774" s="2">
        <f t="shared" si="465"/>
        <v>0</v>
      </c>
      <c r="AK3774" s="2">
        <f t="shared" si="471"/>
        <v>82.5</v>
      </c>
      <c r="AL3774" s="5">
        <f t="shared" si="470"/>
        <v>0.5</v>
      </c>
    </row>
    <row r="3775" spans="1:38" x14ac:dyDescent="0.2">
      <c r="A3775" s="2">
        <v>2026</v>
      </c>
      <c r="B3775" s="2">
        <v>1</v>
      </c>
      <c r="D3775" s="2" t="s">
        <v>1095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2680</v>
      </c>
      <c r="J3775" s="2" t="s">
        <v>2681</v>
      </c>
      <c r="K3775" s="2">
        <v>962939747</v>
      </c>
      <c r="L3775" s="2" t="s">
        <v>100</v>
      </c>
      <c r="M3775" s="2" t="s">
        <v>40</v>
      </c>
      <c r="O3775" s="2" t="s">
        <v>2917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2"/>
        <v>0.6</v>
      </c>
      <c r="Z3775" s="2" t="s">
        <v>118</v>
      </c>
      <c r="AA3775" s="2" t="s">
        <v>191</v>
      </c>
      <c r="AF3775" s="2">
        <f t="shared" si="464"/>
        <v>0</v>
      </c>
      <c r="AG3775" s="2">
        <f t="shared" si="468"/>
        <v>20</v>
      </c>
      <c r="AJ3775" s="2">
        <f t="shared" si="465"/>
        <v>0</v>
      </c>
      <c r="AK3775" s="2">
        <f t="shared" si="471"/>
        <v>30</v>
      </c>
      <c r="AL3775" s="5">
        <f t="shared" si="470"/>
        <v>0.6</v>
      </c>
    </row>
    <row r="3776" spans="1:38" x14ac:dyDescent="0.2">
      <c r="A3776" s="2">
        <v>2026</v>
      </c>
      <c r="B3776" s="2">
        <v>1</v>
      </c>
      <c r="D3776" s="2" t="s">
        <v>1095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2680</v>
      </c>
      <c r="J3776" s="2" t="s">
        <v>2681</v>
      </c>
      <c r="K3776" s="2">
        <v>962939747</v>
      </c>
      <c r="L3776" s="2" t="s">
        <v>100</v>
      </c>
      <c r="M3776" s="2" t="s">
        <v>40</v>
      </c>
      <c r="O3776" s="2" t="s">
        <v>2917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2"/>
        <v>0.5</v>
      </c>
      <c r="Z3776" s="2" t="s">
        <v>118</v>
      </c>
      <c r="AA3776" s="2" t="s">
        <v>191</v>
      </c>
      <c r="AF3776" s="2">
        <f t="shared" si="464"/>
        <v>0</v>
      </c>
      <c r="AG3776" s="2">
        <f t="shared" si="468"/>
        <v>25</v>
      </c>
      <c r="AJ3776" s="2">
        <f t="shared" si="465"/>
        <v>0</v>
      </c>
      <c r="AK3776" s="2">
        <f t="shared" si="471"/>
        <v>25</v>
      </c>
      <c r="AL3776" s="5">
        <f t="shared" si="470"/>
        <v>0.5</v>
      </c>
    </row>
    <row r="3777" spans="1:38" x14ac:dyDescent="0.2">
      <c r="A3777" s="2">
        <v>2026</v>
      </c>
      <c r="B3777" s="2">
        <v>1</v>
      </c>
      <c r="D3777" s="2" t="s">
        <v>2342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2"/>
        <v>0.6</v>
      </c>
      <c r="Z3777" s="2" t="s">
        <v>118</v>
      </c>
      <c r="AA3777" s="2" t="s">
        <v>191</v>
      </c>
      <c r="AF3777" s="2">
        <f t="shared" si="464"/>
        <v>0</v>
      </c>
      <c r="AG3777" s="2">
        <f t="shared" si="468"/>
        <v>22</v>
      </c>
      <c r="AJ3777" s="2">
        <f t="shared" si="465"/>
        <v>0</v>
      </c>
      <c r="AK3777" s="2">
        <f t="shared" si="471"/>
        <v>33</v>
      </c>
      <c r="AL3777" s="5">
        <f t="shared" si="470"/>
        <v>0.6</v>
      </c>
    </row>
    <row r="3778" spans="1:38" x14ac:dyDescent="0.2">
      <c r="A3778" s="2">
        <v>2026</v>
      </c>
      <c r="B3778" s="2">
        <v>1</v>
      </c>
      <c r="D3778" s="2" t="s">
        <v>2342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2"/>
        <v>0.5</v>
      </c>
      <c r="Z3778" s="2" t="s">
        <v>118</v>
      </c>
      <c r="AA3778" s="2" t="s">
        <v>191</v>
      </c>
      <c r="AF3778" s="2">
        <f t="shared" si="464"/>
        <v>0</v>
      </c>
      <c r="AG3778" s="2">
        <f t="shared" si="468"/>
        <v>50</v>
      </c>
      <c r="AJ3778" s="2">
        <f t="shared" si="465"/>
        <v>0</v>
      </c>
      <c r="AK3778" s="2">
        <f t="shared" si="471"/>
        <v>50</v>
      </c>
      <c r="AL3778" s="5">
        <f t="shared" si="470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73">AJ3779</f>
        <v>0</v>
      </c>
      <c r="AG3779" s="2">
        <f t="shared" si="468"/>
        <v>0</v>
      </c>
      <c r="AJ3779" s="2">
        <f t="shared" ref="AJ3779:AJ3842" si="474">AI3779*T3779</f>
        <v>0</v>
      </c>
      <c r="AK3779" s="2">
        <f t="shared" si="471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73"/>
        <v>0</v>
      </c>
      <c r="AG3780" s="2">
        <f t="shared" si="468"/>
        <v>0</v>
      </c>
      <c r="AJ3780" s="2">
        <f t="shared" si="474"/>
        <v>0</v>
      </c>
      <c r="AK3780" s="2">
        <f t="shared" si="471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2335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75">(T3781-W3781)/T3781</f>
        <v>0.6</v>
      </c>
      <c r="Z3781" s="2" t="s">
        <v>118</v>
      </c>
      <c r="AA3781" s="2" t="s">
        <v>191</v>
      </c>
      <c r="AF3781" s="2">
        <f t="shared" si="473"/>
        <v>0</v>
      </c>
      <c r="AG3781" s="2">
        <f t="shared" si="468"/>
        <v>20</v>
      </c>
      <c r="AJ3781" s="2">
        <f t="shared" si="474"/>
        <v>0</v>
      </c>
      <c r="AK3781" s="2">
        <f t="shared" si="471"/>
        <v>30</v>
      </c>
      <c r="AL3781" s="5">
        <f t="shared" si="470"/>
        <v>0.6</v>
      </c>
    </row>
    <row r="3782" spans="1:38" x14ac:dyDescent="0.2">
      <c r="A3782" s="2">
        <v>2026</v>
      </c>
      <c r="B3782" s="2">
        <v>1</v>
      </c>
      <c r="D3782" s="2" t="s">
        <v>2335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75"/>
        <v>0.5</v>
      </c>
      <c r="Z3782" s="2" t="s">
        <v>118</v>
      </c>
      <c r="AA3782" s="2" t="s">
        <v>191</v>
      </c>
      <c r="AF3782" s="2">
        <f t="shared" si="473"/>
        <v>0</v>
      </c>
      <c r="AG3782" s="2">
        <f t="shared" si="468"/>
        <v>25</v>
      </c>
      <c r="AJ3782" s="2">
        <f t="shared" si="474"/>
        <v>0</v>
      </c>
      <c r="AK3782" s="2">
        <f t="shared" si="471"/>
        <v>25</v>
      </c>
      <c r="AL3782" s="5">
        <f t="shared" si="470"/>
        <v>0.5</v>
      </c>
    </row>
    <row r="3783" spans="1:38" x14ac:dyDescent="0.2">
      <c r="A3783" s="2">
        <v>2026</v>
      </c>
      <c r="B3783" s="2">
        <v>2</v>
      </c>
      <c r="D3783" s="2" t="s">
        <v>2335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73"/>
        <v>0</v>
      </c>
      <c r="AG3783" s="2">
        <f t="shared" si="468"/>
        <v>-20</v>
      </c>
      <c r="AJ3783" s="2">
        <f t="shared" si="474"/>
        <v>0</v>
      </c>
      <c r="AK3783" s="2">
        <f t="shared" si="471"/>
        <v>-30</v>
      </c>
    </row>
    <row r="3784" spans="1:38" x14ac:dyDescent="0.2">
      <c r="A3784" s="2">
        <v>2026</v>
      </c>
      <c r="B3784" s="2">
        <v>3</v>
      </c>
      <c r="D3784" s="2" t="s">
        <v>2860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75"/>
        <v>1</v>
      </c>
      <c r="Z3784" s="2" t="s">
        <v>170</v>
      </c>
      <c r="AA3784" s="2" t="s">
        <v>170</v>
      </c>
      <c r="AF3784" s="2">
        <f t="shared" si="473"/>
        <v>0</v>
      </c>
      <c r="AJ3784" s="2">
        <f t="shared" si="474"/>
        <v>0</v>
      </c>
      <c r="AK3784" s="2">
        <f t="shared" si="471"/>
        <v>8</v>
      </c>
      <c r="AL3784" s="5">
        <f t="shared" si="470"/>
        <v>1</v>
      </c>
    </row>
    <row r="3785" spans="1:38" x14ac:dyDescent="0.2">
      <c r="A3785" s="2">
        <v>2026</v>
      </c>
      <c r="B3785" s="2">
        <v>2</v>
      </c>
      <c r="D3785" s="2" t="s">
        <v>2335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73"/>
        <v>0</v>
      </c>
      <c r="AG3785" s="2">
        <f t="shared" ref="AG3785:AG3809" si="476">W3785</f>
        <v>0</v>
      </c>
      <c r="AJ3785" s="2">
        <f t="shared" si="474"/>
        <v>0</v>
      </c>
      <c r="AK3785" s="2">
        <f t="shared" si="471"/>
        <v>-50</v>
      </c>
      <c r="AL3785" s="5">
        <f t="shared" si="470"/>
        <v>1</v>
      </c>
    </row>
    <row r="3786" spans="1:38" x14ac:dyDescent="0.2">
      <c r="A3786" s="2">
        <v>2026</v>
      </c>
      <c r="B3786" s="2">
        <v>2</v>
      </c>
      <c r="D3786" s="2" t="s">
        <v>2490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75"/>
        <v>0.6</v>
      </c>
      <c r="Z3786" s="2" t="s">
        <v>118</v>
      </c>
      <c r="AA3786" s="2" t="s">
        <v>191</v>
      </c>
      <c r="AF3786" s="2">
        <f t="shared" si="473"/>
        <v>0</v>
      </c>
      <c r="AG3786" s="2">
        <f t="shared" si="476"/>
        <v>20</v>
      </c>
      <c r="AJ3786" s="2">
        <f t="shared" si="474"/>
        <v>0</v>
      </c>
      <c r="AK3786" s="2">
        <f t="shared" si="471"/>
        <v>30</v>
      </c>
      <c r="AL3786" s="5">
        <f t="shared" si="470"/>
        <v>0.6</v>
      </c>
    </row>
    <row r="3787" spans="1:38" x14ac:dyDescent="0.2">
      <c r="A3787" s="2">
        <v>2026</v>
      </c>
      <c r="B3787" s="2">
        <v>2</v>
      </c>
      <c r="D3787" s="2" t="s">
        <v>2490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75"/>
        <v>0.5</v>
      </c>
      <c r="Z3787" s="2" t="s">
        <v>118</v>
      </c>
      <c r="AA3787" s="2" t="s">
        <v>191</v>
      </c>
      <c r="AF3787" s="2">
        <f t="shared" si="473"/>
        <v>0</v>
      </c>
      <c r="AG3787" s="2">
        <f t="shared" si="476"/>
        <v>25</v>
      </c>
      <c r="AJ3787" s="2">
        <f t="shared" si="474"/>
        <v>0</v>
      </c>
      <c r="AK3787" s="2">
        <f t="shared" si="471"/>
        <v>25</v>
      </c>
      <c r="AL3787" s="5">
        <f t="shared" si="470"/>
        <v>0.5</v>
      </c>
    </row>
    <row r="3788" spans="1:38" x14ac:dyDescent="0.2">
      <c r="A3788" s="2">
        <v>2026</v>
      </c>
      <c r="B3788" s="2">
        <v>4</v>
      </c>
      <c r="D3788" s="2" t="s">
        <v>2789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75"/>
        <v>0.6</v>
      </c>
      <c r="Z3788" s="2" t="s">
        <v>118</v>
      </c>
      <c r="AA3788" s="2" t="s">
        <v>191</v>
      </c>
      <c r="AF3788" s="2">
        <f t="shared" si="473"/>
        <v>0</v>
      </c>
      <c r="AG3788" s="2">
        <f t="shared" si="476"/>
        <v>22</v>
      </c>
      <c r="AJ3788" s="2">
        <f t="shared" si="474"/>
        <v>0</v>
      </c>
      <c r="AK3788" s="2">
        <f t="shared" si="471"/>
        <v>33</v>
      </c>
      <c r="AL3788" s="5">
        <f t="shared" si="470"/>
        <v>0.6</v>
      </c>
    </row>
    <row r="3789" spans="1:38" x14ac:dyDescent="0.2">
      <c r="A3789" s="2">
        <v>2026</v>
      </c>
      <c r="B3789" s="2">
        <v>4</v>
      </c>
      <c r="D3789" s="2" t="s">
        <v>2789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75"/>
        <v>0.5</v>
      </c>
      <c r="Z3789" s="2" t="s">
        <v>118</v>
      </c>
      <c r="AA3789" s="2" t="s">
        <v>191</v>
      </c>
      <c r="AF3789" s="2">
        <f t="shared" si="473"/>
        <v>0</v>
      </c>
      <c r="AG3789" s="2">
        <f t="shared" si="476"/>
        <v>27.5</v>
      </c>
      <c r="AJ3789" s="2">
        <f t="shared" si="474"/>
        <v>0</v>
      </c>
      <c r="AK3789" s="2">
        <f t="shared" si="471"/>
        <v>27.5</v>
      </c>
      <c r="AL3789" s="5">
        <f t="shared" si="470"/>
        <v>0.5</v>
      </c>
    </row>
    <row r="3790" spans="1:38" x14ac:dyDescent="0.2">
      <c r="A3790" s="2">
        <v>2026</v>
      </c>
      <c r="B3790" s="2">
        <v>4</v>
      </c>
      <c r="D3790" s="2" t="s">
        <v>2291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75"/>
        <v>0.6</v>
      </c>
      <c r="Z3790" s="2" t="s">
        <v>118</v>
      </c>
      <c r="AA3790" s="2" t="s">
        <v>191</v>
      </c>
      <c r="AF3790" s="2">
        <f t="shared" si="473"/>
        <v>0</v>
      </c>
      <c r="AG3790" s="2">
        <f t="shared" si="476"/>
        <v>33.200000000000003</v>
      </c>
      <c r="AJ3790" s="2">
        <f t="shared" si="474"/>
        <v>0</v>
      </c>
      <c r="AK3790" s="2">
        <f t="shared" si="471"/>
        <v>49.8</v>
      </c>
      <c r="AL3790" s="5">
        <f t="shared" si="470"/>
        <v>0.6</v>
      </c>
    </row>
    <row r="3791" spans="1:38" x14ac:dyDescent="0.2">
      <c r="A3791" s="2">
        <v>2026</v>
      </c>
      <c r="B3791" s="2">
        <v>4</v>
      </c>
      <c r="D3791" s="2" t="s">
        <v>2291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75"/>
        <v>0.5</v>
      </c>
      <c r="Z3791" s="2" t="s">
        <v>118</v>
      </c>
      <c r="AA3791" s="2" t="s">
        <v>191</v>
      </c>
      <c r="AF3791" s="2">
        <f t="shared" si="473"/>
        <v>0</v>
      </c>
      <c r="AG3791" s="2">
        <f t="shared" si="476"/>
        <v>20.625</v>
      </c>
      <c r="AJ3791" s="2">
        <f t="shared" si="474"/>
        <v>0</v>
      </c>
      <c r="AK3791" s="2">
        <f t="shared" si="471"/>
        <v>20.625</v>
      </c>
      <c r="AL3791" s="5">
        <f t="shared" si="470"/>
        <v>0.5</v>
      </c>
    </row>
    <row r="3792" spans="1:38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75"/>
        <v>0.6</v>
      </c>
      <c r="Z3792" s="2" t="s">
        <v>118</v>
      </c>
      <c r="AA3792" s="2" t="s">
        <v>191</v>
      </c>
      <c r="AF3792" s="2">
        <f t="shared" si="473"/>
        <v>0</v>
      </c>
      <c r="AG3792" s="2">
        <f t="shared" si="476"/>
        <v>25.200000000000003</v>
      </c>
      <c r="AJ3792" s="2">
        <f t="shared" si="474"/>
        <v>0</v>
      </c>
      <c r="AK3792" s="2">
        <f t="shared" si="471"/>
        <v>37.799999999999997</v>
      </c>
      <c r="AL3792" s="5">
        <f t="shared" si="470"/>
        <v>0.6</v>
      </c>
    </row>
    <row r="3793" spans="1:38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73"/>
        <v>0</v>
      </c>
      <c r="AG3793" s="2">
        <f t="shared" si="476"/>
        <v>0</v>
      </c>
      <c r="AJ3793" s="2">
        <f t="shared" si="474"/>
        <v>0</v>
      </c>
      <c r="AK3793" s="2">
        <f t="shared" si="471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7">(T3794-W3794)/T3794</f>
        <v>0.6</v>
      </c>
      <c r="Z3794" s="2" t="s">
        <v>118</v>
      </c>
      <c r="AA3794" s="2" t="s">
        <v>191</v>
      </c>
      <c r="AF3794" s="2">
        <f t="shared" si="473"/>
        <v>0</v>
      </c>
      <c r="AG3794" s="2">
        <f t="shared" si="476"/>
        <v>228.8</v>
      </c>
      <c r="AJ3794" s="2">
        <f t="shared" si="474"/>
        <v>0</v>
      </c>
      <c r="AK3794" s="2">
        <f t="shared" si="471"/>
        <v>343.2</v>
      </c>
      <c r="AL3794" s="5">
        <f t="shared" si="470"/>
        <v>0.6</v>
      </c>
    </row>
    <row r="3795" spans="1:38" x14ac:dyDescent="0.2">
      <c r="A3795" s="2">
        <v>2026</v>
      </c>
      <c r="B3795" s="2">
        <v>1</v>
      </c>
      <c r="D3795" s="2" t="s">
        <v>1667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7"/>
        <v>0.5</v>
      </c>
      <c r="Z3795" s="2" t="s">
        <v>118</v>
      </c>
      <c r="AA3795" s="2" t="s">
        <v>191</v>
      </c>
      <c r="AF3795" s="2">
        <f t="shared" si="473"/>
        <v>0</v>
      </c>
      <c r="AG3795" s="2">
        <f t="shared" si="476"/>
        <v>50</v>
      </c>
      <c r="AJ3795" s="2">
        <f t="shared" si="474"/>
        <v>0</v>
      </c>
      <c r="AK3795" s="2">
        <f t="shared" si="471"/>
        <v>50</v>
      </c>
      <c r="AL3795" s="5">
        <f t="shared" si="470"/>
        <v>0.5</v>
      </c>
    </row>
    <row r="3796" spans="1:38" x14ac:dyDescent="0.2">
      <c r="A3796" s="2">
        <v>2026</v>
      </c>
      <c r="B3796" s="2">
        <v>3</v>
      </c>
      <c r="D3796" s="2" t="s">
        <v>1667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73"/>
        <v>0</v>
      </c>
      <c r="AG3796" s="2">
        <f t="shared" si="476"/>
        <v>-114.4</v>
      </c>
      <c r="AJ3796" s="2">
        <f t="shared" si="474"/>
        <v>0</v>
      </c>
      <c r="AK3796" s="2">
        <f t="shared" si="471"/>
        <v>-171.6</v>
      </c>
    </row>
    <row r="3797" spans="1:38" x14ac:dyDescent="0.2">
      <c r="A3797" s="2">
        <v>2026</v>
      </c>
      <c r="B3797" s="2">
        <v>3</v>
      </c>
      <c r="D3797" s="2" t="s">
        <v>1667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73"/>
        <v>0</v>
      </c>
      <c r="AG3797" s="2">
        <f t="shared" si="476"/>
        <v>0</v>
      </c>
      <c r="AJ3797" s="2">
        <f t="shared" si="474"/>
        <v>0</v>
      </c>
      <c r="AK3797" s="2">
        <f t="shared" si="471"/>
        <v>-50</v>
      </c>
    </row>
    <row r="3798" spans="1:38" x14ac:dyDescent="0.2">
      <c r="A3798" s="2">
        <v>2026</v>
      </c>
      <c r="B3798" s="2">
        <v>3</v>
      </c>
      <c r="D3798" s="2" t="s">
        <v>2632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7"/>
        <v>0.6</v>
      </c>
      <c r="Z3798" s="2" t="s">
        <v>118</v>
      </c>
      <c r="AA3798" s="2" t="s">
        <v>191</v>
      </c>
      <c r="AF3798" s="2">
        <f t="shared" si="473"/>
        <v>0</v>
      </c>
      <c r="AG3798" s="2">
        <f t="shared" si="476"/>
        <v>71.2</v>
      </c>
      <c r="AJ3798" s="2">
        <f t="shared" si="474"/>
        <v>0</v>
      </c>
      <c r="AK3798" s="2">
        <f t="shared" si="471"/>
        <v>106.8</v>
      </c>
      <c r="AL3798" s="5">
        <f t="shared" ref="AL3798:AL3828" si="478">(T3798-W3798)/T3798</f>
        <v>0.6</v>
      </c>
    </row>
    <row r="3799" spans="1:38" x14ac:dyDescent="0.2">
      <c r="A3799" s="2">
        <v>2026</v>
      </c>
      <c r="B3799" s="2">
        <v>3</v>
      </c>
      <c r="D3799" s="2" t="s">
        <v>2632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7"/>
        <v>0.5</v>
      </c>
      <c r="Z3799" s="2" t="s">
        <v>118</v>
      </c>
      <c r="AA3799" s="2" t="s">
        <v>191</v>
      </c>
      <c r="AF3799" s="2">
        <f t="shared" si="473"/>
        <v>0</v>
      </c>
      <c r="AG3799" s="2">
        <f t="shared" si="476"/>
        <v>41.25</v>
      </c>
      <c r="AJ3799" s="2">
        <f t="shared" si="474"/>
        <v>0</v>
      </c>
      <c r="AK3799" s="2">
        <f t="shared" si="471"/>
        <v>41.25</v>
      </c>
      <c r="AL3799" s="5">
        <f t="shared" si="478"/>
        <v>0.5</v>
      </c>
    </row>
    <row r="3800" spans="1:38" x14ac:dyDescent="0.2">
      <c r="A3800" s="2">
        <v>2026</v>
      </c>
      <c r="B3800" s="2">
        <v>2</v>
      </c>
      <c r="D3800" s="2" t="s">
        <v>2499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7"/>
        <v>0.6</v>
      </c>
      <c r="Z3800" s="2" t="s">
        <v>118</v>
      </c>
      <c r="AA3800" s="2" t="s">
        <v>191</v>
      </c>
      <c r="AF3800" s="2">
        <f t="shared" si="473"/>
        <v>0</v>
      </c>
      <c r="AG3800" s="2">
        <f t="shared" si="476"/>
        <v>22</v>
      </c>
      <c r="AJ3800" s="2">
        <f t="shared" si="474"/>
        <v>0</v>
      </c>
      <c r="AK3800" s="2">
        <f t="shared" si="471"/>
        <v>33</v>
      </c>
      <c r="AL3800" s="5">
        <f t="shared" si="478"/>
        <v>0.6</v>
      </c>
    </row>
    <row r="3801" spans="1:38" x14ac:dyDescent="0.2">
      <c r="A3801" s="2">
        <v>2026</v>
      </c>
      <c r="B3801" s="2">
        <v>2</v>
      </c>
      <c r="D3801" s="2" t="s">
        <v>2499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7"/>
        <v>0.5</v>
      </c>
      <c r="Z3801" s="2" t="s">
        <v>118</v>
      </c>
      <c r="AA3801" s="2" t="s">
        <v>191</v>
      </c>
      <c r="AF3801" s="2">
        <f t="shared" si="473"/>
        <v>0</v>
      </c>
      <c r="AG3801" s="2">
        <f t="shared" si="476"/>
        <v>27.5</v>
      </c>
      <c r="AJ3801" s="2">
        <f t="shared" si="474"/>
        <v>0</v>
      </c>
      <c r="AK3801" s="2">
        <f t="shared" si="471"/>
        <v>27.5</v>
      </c>
      <c r="AL3801" s="5">
        <f t="shared" si="478"/>
        <v>0.5</v>
      </c>
    </row>
    <row r="3802" spans="1:38" x14ac:dyDescent="0.2">
      <c r="A3802" s="2">
        <v>2026</v>
      </c>
      <c r="B3802" s="2">
        <v>1</v>
      </c>
      <c r="D3802" s="2" t="s">
        <v>1443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7"/>
        <v>0.6</v>
      </c>
      <c r="Z3802" s="2" t="s">
        <v>118</v>
      </c>
      <c r="AA3802" s="2" t="s">
        <v>191</v>
      </c>
      <c r="AF3802" s="2">
        <f t="shared" si="473"/>
        <v>0</v>
      </c>
      <c r="AG3802" s="2">
        <f t="shared" si="476"/>
        <v>31.6</v>
      </c>
      <c r="AJ3802" s="2">
        <f t="shared" si="474"/>
        <v>0</v>
      </c>
      <c r="AK3802" s="2">
        <f t="shared" si="471"/>
        <v>47.4</v>
      </c>
      <c r="AL3802" s="5">
        <f t="shared" si="478"/>
        <v>0.6</v>
      </c>
    </row>
    <row r="3803" spans="1:38" x14ac:dyDescent="0.2">
      <c r="A3803" s="2">
        <v>2026</v>
      </c>
      <c r="B3803" s="2">
        <v>1</v>
      </c>
      <c r="D3803" s="2" t="s">
        <v>1443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7"/>
        <v>0.5</v>
      </c>
      <c r="Z3803" s="2" t="s">
        <v>118</v>
      </c>
      <c r="AA3803" s="2" t="s">
        <v>191</v>
      </c>
      <c r="AF3803" s="2">
        <f t="shared" si="473"/>
        <v>0</v>
      </c>
      <c r="AG3803" s="2">
        <f t="shared" si="476"/>
        <v>50</v>
      </c>
      <c r="AJ3803" s="2">
        <f t="shared" si="474"/>
        <v>0</v>
      </c>
      <c r="AK3803" s="2">
        <f t="shared" si="471"/>
        <v>50</v>
      </c>
      <c r="AL3803" s="5">
        <f t="shared" si="478"/>
        <v>0.5</v>
      </c>
    </row>
    <row r="3804" spans="1:38" x14ac:dyDescent="0.2">
      <c r="A3804" s="2">
        <v>2026</v>
      </c>
      <c r="B3804" s="2">
        <v>3</v>
      </c>
      <c r="D3804" s="2" t="s">
        <v>1443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7"/>
        <v>0.6</v>
      </c>
      <c r="Z3804" s="2" t="s">
        <v>118</v>
      </c>
      <c r="AA3804" s="2" t="s">
        <v>191</v>
      </c>
      <c r="AF3804" s="2">
        <f t="shared" si="473"/>
        <v>0</v>
      </c>
      <c r="AG3804" s="2">
        <f t="shared" si="476"/>
        <v>33.200000000000003</v>
      </c>
      <c r="AJ3804" s="2">
        <f t="shared" si="474"/>
        <v>0</v>
      </c>
      <c r="AK3804" s="2">
        <f t="shared" si="471"/>
        <v>49.8</v>
      </c>
      <c r="AL3804" s="5">
        <f t="shared" si="478"/>
        <v>0.6</v>
      </c>
    </row>
    <row r="3805" spans="1:38" x14ac:dyDescent="0.2">
      <c r="A3805" s="2">
        <v>2026</v>
      </c>
      <c r="B3805" s="2">
        <v>3</v>
      </c>
      <c r="D3805" s="2" t="s">
        <v>1443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7"/>
        <v>0.5</v>
      </c>
      <c r="Z3805" s="2" t="s">
        <v>118</v>
      </c>
      <c r="AA3805" s="2" t="s">
        <v>191</v>
      </c>
      <c r="AF3805" s="2">
        <f t="shared" si="473"/>
        <v>0</v>
      </c>
      <c r="AG3805" s="2">
        <f t="shared" si="476"/>
        <v>27.5</v>
      </c>
      <c r="AJ3805" s="2">
        <f t="shared" si="474"/>
        <v>0</v>
      </c>
      <c r="AK3805" s="2">
        <f t="shared" si="471"/>
        <v>27.5</v>
      </c>
      <c r="AL3805" s="5">
        <f t="shared" si="478"/>
        <v>0.5</v>
      </c>
    </row>
    <row r="3806" spans="1:38" x14ac:dyDescent="0.2">
      <c r="A3806" s="2">
        <v>2026</v>
      </c>
      <c r="B3806" s="2">
        <v>4</v>
      </c>
      <c r="D3806" s="2" t="s">
        <v>2805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2806</v>
      </c>
      <c r="J3806" s="2" t="s">
        <v>2807</v>
      </c>
      <c r="L3806" s="2" t="s">
        <v>202</v>
      </c>
      <c r="M3806" s="2" t="s">
        <v>40</v>
      </c>
      <c r="O3806" s="2" t="s">
        <v>2808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7"/>
        <v>0.59999999999999987</v>
      </c>
      <c r="Z3806" s="2" t="s">
        <v>118</v>
      </c>
      <c r="AA3806" s="2" t="s">
        <v>191</v>
      </c>
      <c r="AF3806" s="2">
        <f t="shared" si="473"/>
        <v>0</v>
      </c>
      <c r="AG3806" s="2">
        <f t="shared" si="476"/>
        <v>24.400000000000002</v>
      </c>
      <c r="AJ3806" s="2">
        <f t="shared" si="474"/>
        <v>0</v>
      </c>
      <c r="AK3806" s="2">
        <f t="shared" si="471"/>
        <v>36.599999999999994</v>
      </c>
      <c r="AL3806" s="5">
        <f t="shared" si="478"/>
        <v>0.59999999999999987</v>
      </c>
    </row>
    <row r="3807" spans="1:38" x14ac:dyDescent="0.2">
      <c r="A3807" s="2">
        <v>2026</v>
      </c>
      <c r="B3807" s="2">
        <v>4</v>
      </c>
      <c r="D3807" s="2" t="s">
        <v>2805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2806</v>
      </c>
      <c r="J3807" s="2" t="s">
        <v>2807</v>
      </c>
      <c r="L3807" s="2" t="s">
        <v>202</v>
      </c>
      <c r="M3807" s="2" t="s">
        <v>40</v>
      </c>
      <c r="O3807" s="2" t="s">
        <v>2808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7"/>
        <v>0.5</v>
      </c>
      <c r="Z3807" s="2" t="s">
        <v>118</v>
      </c>
      <c r="AA3807" s="2" t="s">
        <v>191</v>
      </c>
      <c r="AF3807" s="2">
        <f t="shared" si="473"/>
        <v>0</v>
      </c>
      <c r="AG3807" s="2">
        <f t="shared" si="476"/>
        <v>27.5</v>
      </c>
      <c r="AJ3807" s="2">
        <f t="shared" si="474"/>
        <v>0</v>
      </c>
      <c r="AK3807" s="2">
        <f t="shared" si="471"/>
        <v>27.5</v>
      </c>
      <c r="AL3807" s="5">
        <f t="shared" si="478"/>
        <v>0.5</v>
      </c>
    </row>
    <row r="3808" spans="1:38" x14ac:dyDescent="0.2">
      <c r="A3808" s="2">
        <v>2026</v>
      </c>
      <c r="B3808" s="2">
        <v>4</v>
      </c>
      <c r="D3808" s="2" t="s">
        <v>1127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2302</v>
      </c>
      <c r="J3808" s="2" t="s">
        <v>2303</v>
      </c>
      <c r="K3808" s="2">
        <v>965790183</v>
      </c>
      <c r="L3808" s="2" t="s">
        <v>178</v>
      </c>
      <c r="M3808" s="2" t="s">
        <v>40</v>
      </c>
      <c r="O3808" s="2" t="s">
        <v>2918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7"/>
        <v>0.60000000000000009</v>
      </c>
      <c r="Z3808" s="2" t="s">
        <v>118</v>
      </c>
      <c r="AA3808" s="2" t="s">
        <v>191</v>
      </c>
      <c r="AF3808" s="2">
        <f t="shared" si="473"/>
        <v>0</v>
      </c>
      <c r="AG3808" s="2">
        <f t="shared" si="476"/>
        <v>26.8</v>
      </c>
      <c r="AJ3808" s="2">
        <f t="shared" si="474"/>
        <v>0</v>
      </c>
      <c r="AK3808" s="2">
        <f t="shared" si="471"/>
        <v>40.200000000000003</v>
      </c>
      <c r="AL3808" s="5">
        <f t="shared" si="478"/>
        <v>0.60000000000000009</v>
      </c>
    </row>
    <row r="3809" spans="1:38" x14ac:dyDescent="0.2">
      <c r="A3809" s="2">
        <v>2026</v>
      </c>
      <c r="B3809" s="2">
        <v>4</v>
      </c>
      <c r="D3809" s="2" t="s">
        <v>1127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2302</v>
      </c>
      <c r="J3809" s="2" t="s">
        <v>2303</v>
      </c>
      <c r="K3809" s="2">
        <v>965790183</v>
      </c>
      <c r="L3809" s="2" t="s">
        <v>178</v>
      </c>
      <c r="M3809" s="2" t="s">
        <v>40</v>
      </c>
      <c r="O3809" s="2" t="s">
        <v>2918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7"/>
        <v>0.5</v>
      </c>
      <c r="Z3809" s="2" t="s">
        <v>118</v>
      </c>
      <c r="AA3809" s="2" t="s">
        <v>191</v>
      </c>
      <c r="AF3809" s="2">
        <f t="shared" si="473"/>
        <v>0</v>
      </c>
      <c r="AG3809" s="2">
        <f t="shared" si="476"/>
        <v>27.5</v>
      </c>
      <c r="AJ3809" s="2">
        <f t="shared" si="474"/>
        <v>0</v>
      </c>
      <c r="AK3809" s="2">
        <f t="shared" si="471"/>
        <v>27.5</v>
      </c>
      <c r="AL3809" s="5">
        <f t="shared" si="478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7"/>
        <v>1</v>
      </c>
      <c r="Z3810" s="2" t="s">
        <v>170</v>
      </c>
      <c r="AA3810" s="2" t="s">
        <v>170</v>
      </c>
      <c r="AF3810" s="2">
        <f t="shared" si="473"/>
        <v>0</v>
      </c>
      <c r="AJ3810" s="2">
        <f t="shared" si="474"/>
        <v>0</v>
      </c>
      <c r="AK3810" s="2">
        <f t="shared" si="471"/>
        <v>120</v>
      </c>
      <c r="AL3810" s="5">
        <f t="shared" si="478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7"/>
        <v>1</v>
      </c>
      <c r="Z3811" s="2" t="s">
        <v>170</v>
      </c>
      <c r="AA3811" s="2" t="s">
        <v>170</v>
      </c>
      <c r="AF3811" s="2">
        <f t="shared" si="473"/>
        <v>0</v>
      </c>
      <c r="AJ3811" s="2">
        <f t="shared" si="474"/>
        <v>0</v>
      </c>
      <c r="AK3811" s="2">
        <f t="shared" si="471"/>
        <v>5</v>
      </c>
      <c r="AL3811" s="5">
        <f t="shared" si="478"/>
        <v>1</v>
      </c>
    </row>
    <row r="3812" spans="1:38" x14ac:dyDescent="0.2">
      <c r="A3812" s="2">
        <v>2026</v>
      </c>
      <c r="B3812" s="2">
        <v>4</v>
      </c>
      <c r="D3812" s="2" t="s">
        <v>2057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7"/>
        <v>1</v>
      </c>
      <c r="Z3812" s="2" t="s">
        <v>170</v>
      </c>
      <c r="AA3812" s="2" t="s">
        <v>170</v>
      </c>
      <c r="AF3812" s="2">
        <f t="shared" si="473"/>
        <v>0</v>
      </c>
      <c r="AJ3812" s="2">
        <f t="shared" si="474"/>
        <v>0</v>
      </c>
      <c r="AK3812" s="2">
        <f t="shared" si="471"/>
        <v>5</v>
      </c>
      <c r="AL3812" s="5">
        <f t="shared" si="478"/>
        <v>1</v>
      </c>
    </row>
    <row r="3813" spans="1:38" x14ac:dyDescent="0.2">
      <c r="A3813" s="2">
        <v>2026</v>
      </c>
      <c r="B3813" s="2">
        <v>4</v>
      </c>
      <c r="D3813" s="2" t="s">
        <v>2534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7"/>
        <v>0.23333333333333334</v>
      </c>
      <c r="Z3813" s="2" t="s">
        <v>170</v>
      </c>
      <c r="AA3813" s="2" t="s">
        <v>170</v>
      </c>
      <c r="AF3813" s="2">
        <f t="shared" si="473"/>
        <v>0</v>
      </c>
      <c r="AJ3813" s="2">
        <f t="shared" si="474"/>
        <v>0</v>
      </c>
      <c r="AK3813" s="2">
        <f t="shared" si="471"/>
        <v>7</v>
      </c>
      <c r="AL3813" s="5">
        <f t="shared" si="478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2875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7"/>
        <v>1</v>
      </c>
      <c r="Z3814" s="2" t="s">
        <v>170</v>
      </c>
      <c r="AA3814" s="2" t="s">
        <v>170</v>
      </c>
      <c r="AF3814" s="2">
        <f t="shared" si="473"/>
        <v>0</v>
      </c>
      <c r="AJ3814" s="2">
        <f t="shared" si="474"/>
        <v>0</v>
      </c>
      <c r="AK3814" s="2">
        <f t="shared" si="471"/>
        <v>8</v>
      </c>
      <c r="AL3814" s="5">
        <f t="shared" si="478"/>
        <v>1</v>
      </c>
    </row>
    <row r="3815" spans="1:38" x14ac:dyDescent="0.2">
      <c r="A3815" s="2">
        <v>2026</v>
      </c>
      <c r="B3815" s="2">
        <v>4</v>
      </c>
      <c r="D3815" s="2" t="s">
        <v>2567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7"/>
        <v>1</v>
      </c>
      <c r="Z3815" s="2" t="s">
        <v>170</v>
      </c>
      <c r="AA3815" s="2" t="s">
        <v>170</v>
      </c>
      <c r="AF3815" s="2">
        <f t="shared" si="473"/>
        <v>0</v>
      </c>
      <c r="AJ3815" s="2">
        <f t="shared" si="474"/>
        <v>0</v>
      </c>
      <c r="AK3815" s="2">
        <f t="shared" si="471"/>
        <v>15</v>
      </c>
      <c r="AL3815" s="5">
        <f t="shared" si="478"/>
        <v>1</v>
      </c>
    </row>
    <row r="3816" spans="1:38" x14ac:dyDescent="0.2">
      <c r="A3816" s="2">
        <v>2026</v>
      </c>
      <c r="B3816" s="2">
        <v>4</v>
      </c>
      <c r="D3816" s="2" t="s">
        <v>1299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1300</v>
      </c>
      <c r="L3816" s="2" t="s">
        <v>340</v>
      </c>
      <c r="M3816" s="2" t="s">
        <v>81</v>
      </c>
      <c r="O3816" s="2" t="s">
        <v>2896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7"/>
        <v>0.23333333333333334</v>
      </c>
      <c r="Z3816" s="2" t="s">
        <v>170</v>
      </c>
      <c r="AA3816" s="2" t="s">
        <v>170</v>
      </c>
      <c r="AF3816" s="2">
        <f t="shared" si="473"/>
        <v>0</v>
      </c>
      <c r="AG3816" s="2">
        <v>23</v>
      </c>
      <c r="AJ3816" s="2">
        <f t="shared" si="474"/>
        <v>0</v>
      </c>
      <c r="AK3816" s="2">
        <f t="shared" si="471"/>
        <v>7</v>
      </c>
      <c r="AL3816" s="5">
        <f t="shared" si="478"/>
        <v>0.23333333333333334</v>
      </c>
    </row>
    <row r="3817" spans="1:38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3"/>
        <v>0</v>
      </c>
      <c r="AJ3817" s="2">
        <f t="shared" si="474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2890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7"/>
        <v>2.000401846171453E-16</v>
      </c>
      <c r="Z3818" s="2" t="s">
        <v>3237</v>
      </c>
      <c r="AA3818" s="2" t="s">
        <v>97</v>
      </c>
      <c r="AB3818" s="2" t="s">
        <v>77</v>
      </c>
      <c r="AC3818" s="2" t="s">
        <v>94</v>
      </c>
      <c r="AF3818" s="2">
        <f t="shared" si="473"/>
        <v>0</v>
      </c>
      <c r="AJ3818" s="2">
        <f t="shared" si="474"/>
        <v>0</v>
      </c>
      <c r="AK3818" s="2">
        <f t="shared" si="471"/>
        <v>0</v>
      </c>
      <c r="AL3818" s="5">
        <f t="shared" si="478"/>
        <v>2.000401846171453E-16</v>
      </c>
    </row>
    <row r="3819" spans="1:38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2891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7"/>
        <v>0</v>
      </c>
      <c r="Z3819" s="2" t="s">
        <v>3237</v>
      </c>
      <c r="AA3819" s="2" t="s">
        <v>97</v>
      </c>
      <c r="AB3819" s="2" t="s">
        <v>77</v>
      </c>
      <c r="AC3819" s="2" t="s">
        <v>94</v>
      </c>
      <c r="AF3819" s="2">
        <f t="shared" si="473"/>
        <v>0</v>
      </c>
      <c r="AG3819" s="2">
        <v>1.48</v>
      </c>
      <c r="AH3819" s="2">
        <v>1.48</v>
      </c>
      <c r="AJ3819" s="2">
        <f t="shared" si="474"/>
        <v>0</v>
      </c>
      <c r="AK3819" s="2">
        <f t="shared" si="471"/>
        <v>0</v>
      </c>
      <c r="AL3819" s="5">
        <f t="shared" si="478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7"/>
        <v>0</v>
      </c>
      <c r="Z3820" s="2" t="s">
        <v>3237</v>
      </c>
      <c r="AA3820" s="2" t="s">
        <v>97</v>
      </c>
      <c r="AB3820" s="2" t="s">
        <v>77</v>
      </c>
      <c r="AC3820" s="2" t="s">
        <v>94</v>
      </c>
      <c r="AF3820" s="2">
        <f t="shared" si="473"/>
        <v>0</v>
      </c>
      <c r="AJ3820" s="2">
        <f t="shared" si="474"/>
        <v>0</v>
      </c>
      <c r="AK3820" s="2">
        <f t="shared" si="471"/>
        <v>0</v>
      </c>
      <c r="AL3820" s="5">
        <f t="shared" si="478"/>
        <v>0</v>
      </c>
    </row>
    <row r="3821" spans="1:38" x14ac:dyDescent="0.2">
      <c r="A3821" s="2">
        <v>2026</v>
      </c>
      <c r="B3821" s="2">
        <v>4</v>
      </c>
      <c r="D3821" s="2" t="s">
        <v>963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7"/>
        <v>0</v>
      </c>
      <c r="Z3821" s="2" t="s">
        <v>3237</v>
      </c>
      <c r="AA3821" s="2" t="s">
        <v>97</v>
      </c>
      <c r="AB3821" s="2" t="s">
        <v>77</v>
      </c>
      <c r="AC3821" s="2" t="s">
        <v>94</v>
      </c>
      <c r="AF3821" s="2">
        <f t="shared" si="473"/>
        <v>0</v>
      </c>
      <c r="AJ3821" s="2">
        <f t="shared" si="474"/>
        <v>0</v>
      </c>
      <c r="AK3821" s="2">
        <f t="shared" si="471"/>
        <v>0</v>
      </c>
      <c r="AL3821" s="5">
        <f t="shared" si="478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2893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7"/>
        <v>0</v>
      </c>
      <c r="Z3822" s="2" t="s">
        <v>3237</v>
      </c>
      <c r="AA3822" s="2" t="s">
        <v>97</v>
      </c>
      <c r="AB3822" s="2" t="s">
        <v>77</v>
      </c>
      <c r="AC3822" s="2" t="s">
        <v>94</v>
      </c>
      <c r="AF3822" s="2">
        <f t="shared" si="473"/>
        <v>0</v>
      </c>
      <c r="AJ3822" s="2">
        <f t="shared" si="474"/>
        <v>0</v>
      </c>
      <c r="AK3822" s="2">
        <f t="shared" si="471"/>
        <v>0</v>
      </c>
      <c r="AL3822" s="5">
        <f t="shared" si="478"/>
        <v>0</v>
      </c>
    </row>
    <row r="3823" spans="1:38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7"/>
        <v>0</v>
      </c>
      <c r="Z3823" s="2" t="s">
        <v>3237</v>
      </c>
      <c r="AA3823" s="2" t="s">
        <v>97</v>
      </c>
      <c r="AB3823" s="2" t="s">
        <v>77</v>
      </c>
      <c r="AC3823" s="2" t="s">
        <v>94</v>
      </c>
      <c r="AF3823" s="2">
        <f t="shared" si="473"/>
        <v>0</v>
      </c>
      <c r="AG3823" s="2">
        <v>1.48</v>
      </c>
      <c r="AH3823" s="2">
        <v>1.48</v>
      </c>
      <c r="AJ3823" s="2">
        <f t="shared" si="474"/>
        <v>0</v>
      </c>
      <c r="AK3823" s="2">
        <f t="shared" si="471"/>
        <v>0</v>
      </c>
      <c r="AL3823" s="5">
        <f t="shared" si="478"/>
        <v>0</v>
      </c>
    </row>
    <row r="3824" spans="1:38" x14ac:dyDescent="0.2">
      <c r="A3824" s="2">
        <v>2026</v>
      </c>
      <c r="B3824" s="2">
        <v>4</v>
      </c>
      <c r="D3824" s="2" t="s">
        <v>2885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7"/>
        <v>0</v>
      </c>
      <c r="Z3824" s="2" t="s">
        <v>3237</v>
      </c>
      <c r="AA3824" s="2" t="s">
        <v>97</v>
      </c>
      <c r="AB3824" s="2" t="s">
        <v>77</v>
      </c>
      <c r="AC3824" s="2" t="s">
        <v>94</v>
      </c>
      <c r="AF3824" s="2">
        <f t="shared" si="473"/>
        <v>0</v>
      </c>
      <c r="AJ3824" s="2">
        <f t="shared" si="474"/>
        <v>0</v>
      </c>
      <c r="AK3824" s="2">
        <f t="shared" si="471"/>
        <v>0</v>
      </c>
      <c r="AL3824" s="5">
        <f t="shared" si="478"/>
        <v>0</v>
      </c>
    </row>
    <row r="3825" spans="1:38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2903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7"/>
        <v>0</v>
      </c>
      <c r="Z3825" s="2" t="s">
        <v>3237</v>
      </c>
      <c r="AA3825" s="2" t="s">
        <v>97</v>
      </c>
      <c r="AB3825" s="2" t="s">
        <v>77</v>
      </c>
      <c r="AC3825" s="2" t="s">
        <v>94</v>
      </c>
      <c r="AF3825" s="2">
        <f t="shared" si="473"/>
        <v>0</v>
      </c>
      <c r="AG3825" s="2">
        <v>1.48</v>
      </c>
      <c r="AH3825" s="2">
        <v>1.48</v>
      </c>
      <c r="AJ3825" s="2">
        <f t="shared" si="474"/>
        <v>0</v>
      </c>
      <c r="AK3825" s="2">
        <f t="shared" si="471"/>
        <v>0</v>
      </c>
      <c r="AL3825" s="5">
        <f t="shared" si="478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2881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9">SIGN(T3826)*((ABS(T3826)-W3826)/ABS(T3826))</f>
        <v>0</v>
      </c>
      <c r="Z3826" s="2" t="s">
        <v>3237</v>
      </c>
      <c r="AA3826" s="2" t="s">
        <v>97</v>
      </c>
      <c r="AB3826" s="2" t="s">
        <v>77</v>
      </c>
      <c r="AC3826" s="2" t="s">
        <v>94</v>
      </c>
      <c r="AF3826" s="2">
        <f t="shared" si="473"/>
        <v>0</v>
      </c>
      <c r="AJ3826" s="2">
        <f t="shared" si="474"/>
        <v>0</v>
      </c>
      <c r="AK3826" s="2">
        <f t="shared" ref="AK3826:AK3827" si="480">T3826+(W3826)</f>
        <v>0</v>
      </c>
      <c r="AL3826" s="18">
        <f t="shared" ref="AL3826:AL3827" si="481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1560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1561</v>
      </c>
      <c r="J3827" s="2" t="s">
        <v>1562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9"/>
        <v>0</v>
      </c>
      <c r="Z3827" s="2" t="s">
        <v>3237</v>
      </c>
      <c r="AA3827" s="2" t="s">
        <v>97</v>
      </c>
      <c r="AB3827" s="2" t="s">
        <v>77</v>
      </c>
      <c r="AC3827" s="2" t="s">
        <v>94</v>
      </c>
      <c r="AF3827" s="2">
        <f t="shared" si="473"/>
        <v>0</v>
      </c>
      <c r="AJ3827" s="2">
        <f t="shared" si="474"/>
        <v>0</v>
      </c>
      <c r="AK3827" s="2">
        <f t="shared" si="480"/>
        <v>0</v>
      </c>
      <c r="AL3827" s="18">
        <f t="shared" si="481"/>
        <v>0</v>
      </c>
    </row>
    <row r="3828" spans="1:38" x14ac:dyDescent="0.2">
      <c r="A3828" s="2">
        <v>2026</v>
      </c>
      <c r="B3828" s="2">
        <v>4</v>
      </c>
      <c r="D3828" s="2" t="s">
        <v>2888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2">(T3828-W3828)/T3828</f>
        <v>0</v>
      </c>
      <c r="Z3828" s="2" t="s">
        <v>3237</v>
      </c>
      <c r="AA3828" s="2" t="s">
        <v>97</v>
      </c>
      <c r="AB3828" s="2" t="s">
        <v>77</v>
      </c>
      <c r="AC3828" s="2" t="s">
        <v>94</v>
      </c>
      <c r="AF3828" s="2">
        <f t="shared" si="473"/>
        <v>0</v>
      </c>
      <c r="AJ3828" s="2">
        <f t="shared" si="474"/>
        <v>0</v>
      </c>
      <c r="AK3828" s="2">
        <f t="shared" si="471"/>
        <v>0</v>
      </c>
      <c r="AL3828" s="5">
        <f t="shared" si="478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2"/>
        <v>0</v>
      </c>
      <c r="Z3829" s="2" t="s">
        <v>3237</v>
      </c>
      <c r="AA3829" s="2" t="s">
        <v>97</v>
      </c>
      <c r="AB3829" s="2" t="s">
        <v>77</v>
      </c>
      <c r="AC3829" s="2" t="s">
        <v>94</v>
      </c>
      <c r="AF3829" s="2">
        <f t="shared" si="473"/>
        <v>0</v>
      </c>
      <c r="AG3829" s="2">
        <v>1.48</v>
      </c>
      <c r="AH3829" s="2">
        <v>1.48</v>
      </c>
      <c r="AJ3829" s="2">
        <f t="shared" si="474"/>
        <v>0</v>
      </c>
      <c r="AK3829" s="2">
        <f t="shared" si="471"/>
        <v>0</v>
      </c>
      <c r="AL3829" s="5">
        <f t="shared" ref="AL3829:AL3844" si="483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2"/>
        <v>0</v>
      </c>
      <c r="Z3830" s="2" t="s">
        <v>3237</v>
      </c>
      <c r="AA3830" s="2" t="s">
        <v>97</v>
      </c>
      <c r="AB3830" s="2" t="s">
        <v>77</v>
      </c>
      <c r="AC3830" s="2" t="s">
        <v>94</v>
      </c>
      <c r="AF3830" s="2">
        <f t="shared" si="473"/>
        <v>0</v>
      </c>
      <c r="AJ3830" s="2">
        <f t="shared" si="474"/>
        <v>0</v>
      </c>
      <c r="AK3830" s="2">
        <f t="shared" ref="AK3830:AK3893" si="484">T3830-W3830</f>
        <v>0</v>
      </c>
      <c r="AL3830" s="5">
        <f t="shared" si="483"/>
        <v>0</v>
      </c>
    </row>
    <row r="3831" spans="1:38" x14ac:dyDescent="0.2">
      <c r="A3831" s="2">
        <v>2026</v>
      </c>
      <c r="B3831" s="2">
        <v>4</v>
      </c>
      <c r="D3831" s="2" t="s">
        <v>1260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2"/>
        <v>0</v>
      </c>
      <c r="Z3831" s="2" t="s">
        <v>3237</v>
      </c>
      <c r="AA3831" s="2" t="s">
        <v>97</v>
      </c>
      <c r="AB3831" s="2" t="s">
        <v>77</v>
      </c>
      <c r="AC3831" s="2" t="s">
        <v>94</v>
      </c>
      <c r="AF3831" s="2">
        <f t="shared" si="473"/>
        <v>0</v>
      </c>
      <c r="AJ3831" s="2">
        <f t="shared" si="474"/>
        <v>0</v>
      </c>
      <c r="AK3831" s="2">
        <f t="shared" si="484"/>
        <v>0</v>
      </c>
      <c r="AL3831" s="5">
        <f t="shared" si="483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2892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2"/>
        <v>0</v>
      </c>
      <c r="Z3832" s="2" t="s">
        <v>3237</v>
      </c>
      <c r="AA3832" s="2" t="s">
        <v>97</v>
      </c>
      <c r="AB3832" s="2" t="s">
        <v>77</v>
      </c>
      <c r="AC3832" s="2" t="s">
        <v>94</v>
      </c>
      <c r="AF3832" s="2">
        <f t="shared" si="473"/>
        <v>0</v>
      </c>
      <c r="AG3832" s="2">
        <v>1.48</v>
      </c>
      <c r="AH3832" s="2">
        <v>1.48</v>
      </c>
      <c r="AJ3832" s="2">
        <f t="shared" si="474"/>
        <v>0</v>
      </c>
      <c r="AK3832" s="2">
        <f t="shared" si="484"/>
        <v>0</v>
      </c>
      <c r="AL3832" s="5">
        <f t="shared" si="483"/>
        <v>0</v>
      </c>
    </row>
    <row r="3833" spans="1:38" x14ac:dyDescent="0.2">
      <c r="A3833" s="2">
        <v>2026</v>
      </c>
      <c r="B3833" s="2">
        <v>4</v>
      </c>
      <c r="D3833" s="2" t="s">
        <v>2534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2"/>
        <v>0</v>
      </c>
      <c r="Z3833" s="2" t="s">
        <v>3237</v>
      </c>
      <c r="AA3833" s="2" t="s">
        <v>97</v>
      </c>
      <c r="AB3833" s="2" t="s">
        <v>77</v>
      </c>
      <c r="AC3833" s="2" t="s">
        <v>94</v>
      </c>
      <c r="AF3833" s="2">
        <f t="shared" si="473"/>
        <v>0</v>
      </c>
      <c r="AJ3833" s="2">
        <f t="shared" si="474"/>
        <v>0</v>
      </c>
      <c r="AK3833" s="2">
        <f t="shared" si="484"/>
        <v>0</v>
      </c>
      <c r="AL3833" s="5">
        <f t="shared" si="483"/>
        <v>0</v>
      </c>
    </row>
    <row r="3834" spans="1:38" x14ac:dyDescent="0.2">
      <c r="A3834" s="2">
        <v>2026</v>
      </c>
      <c r="B3834" s="2">
        <v>4</v>
      </c>
      <c r="D3834" s="2" t="s">
        <v>1423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1276</v>
      </c>
      <c r="J3834" s="2" t="s">
        <v>2402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2"/>
        <v>0</v>
      </c>
      <c r="Z3834" s="2" t="s">
        <v>3237</v>
      </c>
      <c r="AA3834" s="2" t="s">
        <v>97</v>
      </c>
      <c r="AB3834" s="2" t="s">
        <v>77</v>
      </c>
      <c r="AC3834" s="2" t="s">
        <v>94</v>
      </c>
      <c r="AF3834" s="2">
        <f t="shared" si="473"/>
        <v>0</v>
      </c>
      <c r="AJ3834" s="2">
        <f t="shared" si="474"/>
        <v>0</v>
      </c>
      <c r="AK3834" s="2">
        <f t="shared" si="484"/>
        <v>0</v>
      </c>
      <c r="AL3834" s="5">
        <f t="shared" si="483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2884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2"/>
        <v>0</v>
      </c>
      <c r="Z3835" s="2" t="s">
        <v>3237</v>
      </c>
      <c r="AA3835" s="2" t="s">
        <v>97</v>
      </c>
      <c r="AB3835" s="2" t="s">
        <v>77</v>
      </c>
      <c r="AC3835" s="2" t="s">
        <v>94</v>
      </c>
      <c r="AF3835" s="2">
        <f t="shared" si="473"/>
        <v>0</v>
      </c>
      <c r="AG3835" s="2">
        <v>1.48</v>
      </c>
      <c r="AH3835" s="2">
        <v>1.48</v>
      </c>
      <c r="AJ3835" s="2">
        <f t="shared" si="474"/>
        <v>0</v>
      </c>
      <c r="AK3835" s="2">
        <f t="shared" si="484"/>
        <v>0</v>
      </c>
      <c r="AL3835" s="5">
        <f t="shared" si="483"/>
        <v>0</v>
      </c>
    </row>
    <row r="3836" spans="1:38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2"/>
        <v>0</v>
      </c>
      <c r="Z3836" s="2" t="s">
        <v>3237</v>
      </c>
      <c r="AA3836" s="2" t="s">
        <v>97</v>
      </c>
      <c r="AB3836" s="2" t="s">
        <v>77</v>
      </c>
      <c r="AC3836" s="2" t="s">
        <v>94</v>
      </c>
      <c r="AF3836" s="2">
        <f t="shared" si="473"/>
        <v>0</v>
      </c>
      <c r="AJ3836" s="2">
        <f t="shared" si="474"/>
        <v>0</v>
      </c>
      <c r="AK3836" s="2">
        <f t="shared" si="484"/>
        <v>0</v>
      </c>
      <c r="AL3836" s="5">
        <f t="shared" si="483"/>
        <v>0</v>
      </c>
    </row>
    <row r="3837" spans="1:38" x14ac:dyDescent="0.2">
      <c r="A3837" s="2">
        <v>2026</v>
      </c>
      <c r="B3837" s="2">
        <v>4</v>
      </c>
      <c r="D3837" s="2" t="s">
        <v>2567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2"/>
        <v>0</v>
      </c>
      <c r="Z3837" s="2" t="s">
        <v>3237</v>
      </c>
      <c r="AA3837" s="2" t="s">
        <v>97</v>
      </c>
      <c r="AB3837" s="2" t="s">
        <v>77</v>
      </c>
      <c r="AC3837" s="2" t="s">
        <v>94</v>
      </c>
      <c r="AF3837" s="2">
        <f t="shared" si="473"/>
        <v>0</v>
      </c>
      <c r="AJ3837" s="2">
        <f t="shared" si="474"/>
        <v>0</v>
      </c>
      <c r="AK3837" s="2">
        <f t="shared" si="484"/>
        <v>0</v>
      </c>
      <c r="AL3837" s="5">
        <f t="shared" si="483"/>
        <v>0</v>
      </c>
    </row>
    <row r="3838" spans="1:38" x14ac:dyDescent="0.2">
      <c r="A3838" s="2">
        <v>2026</v>
      </c>
      <c r="B3838" s="2">
        <v>4</v>
      </c>
      <c r="D3838" s="2" t="s">
        <v>1299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1300</v>
      </c>
      <c r="L3838" s="2" t="s">
        <v>340</v>
      </c>
      <c r="M3838" s="2" t="s">
        <v>81</v>
      </c>
      <c r="O3838" s="2" t="s">
        <v>2919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2"/>
        <v>0</v>
      </c>
      <c r="Z3838" s="2" t="s">
        <v>3237</v>
      </c>
      <c r="AA3838" s="2" t="s">
        <v>97</v>
      </c>
      <c r="AB3838" s="2" t="s">
        <v>77</v>
      </c>
      <c r="AC3838" s="2" t="s">
        <v>94</v>
      </c>
      <c r="AF3838" s="2">
        <f t="shared" si="473"/>
        <v>0</v>
      </c>
      <c r="AG3838" s="2">
        <v>1.48</v>
      </c>
      <c r="AH3838" s="2">
        <v>1.48</v>
      </c>
      <c r="AJ3838" s="2">
        <f t="shared" si="474"/>
        <v>0</v>
      </c>
      <c r="AK3838" s="2">
        <f t="shared" si="484"/>
        <v>0</v>
      </c>
      <c r="AL3838" s="5">
        <f t="shared" si="483"/>
        <v>0</v>
      </c>
    </row>
    <row r="3839" spans="1:38" x14ac:dyDescent="0.2">
      <c r="A3839" s="2">
        <v>2026</v>
      </c>
      <c r="B3839" s="2">
        <v>4</v>
      </c>
      <c r="D3839" s="2" t="s">
        <v>1963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2"/>
        <v>0</v>
      </c>
      <c r="Z3839" s="2" t="s">
        <v>3237</v>
      </c>
      <c r="AA3839" s="2" t="s">
        <v>97</v>
      </c>
      <c r="AB3839" s="2" t="s">
        <v>77</v>
      </c>
      <c r="AC3839" s="2" t="s">
        <v>94</v>
      </c>
      <c r="AF3839" s="2">
        <f t="shared" si="473"/>
        <v>0</v>
      </c>
      <c r="AJ3839" s="2">
        <f t="shared" si="474"/>
        <v>0</v>
      </c>
      <c r="AK3839" s="2">
        <f t="shared" si="484"/>
        <v>0</v>
      </c>
      <c r="AL3839" s="5">
        <f t="shared" si="483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2911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3"/>
        <v>0</v>
      </c>
      <c r="AJ3840" s="2">
        <f t="shared" si="474"/>
        <v>0</v>
      </c>
      <c r="AK3840" s="2">
        <f t="shared" si="484"/>
        <v>0</v>
      </c>
      <c r="AL3840" s="5" t="e">
        <f t="shared" si="483"/>
        <v>#DIV/0!</v>
      </c>
    </row>
    <row r="3841" spans="1:38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3392</v>
      </c>
      <c r="AF3841" s="2">
        <f t="shared" si="473"/>
        <v>0</v>
      </c>
      <c r="AJ3841" s="2">
        <f t="shared" si="474"/>
        <v>0</v>
      </c>
      <c r="AK3841" s="2">
        <f t="shared" si="484"/>
        <v>72.37</v>
      </c>
      <c r="AL3841" s="5">
        <f t="shared" si="483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2920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3237</v>
      </c>
      <c r="AA3842" s="2" t="s">
        <v>120</v>
      </c>
      <c r="AF3842" s="2">
        <f t="shared" si="473"/>
        <v>0</v>
      </c>
      <c r="AJ3842" s="2">
        <f t="shared" si="474"/>
        <v>0</v>
      </c>
      <c r="AK3842" s="2">
        <f t="shared" si="484"/>
        <v>286.36</v>
      </c>
      <c r="AL3842" s="5">
        <f t="shared" si="483"/>
        <v>1</v>
      </c>
    </row>
    <row r="3843" spans="1:38" x14ac:dyDescent="0.2">
      <c r="A3843" s="2">
        <v>2026</v>
      </c>
      <c r="B3843" s="2">
        <v>4</v>
      </c>
      <c r="D3843" s="2" t="s">
        <v>2916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3392</v>
      </c>
      <c r="AF3843" s="2">
        <f t="shared" ref="AF3843:AF3906" si="485">AJ3843</f>
        <v>0</v>
      </c>
      <c r="AJ3843" s="2">
        <f t="shared" ref="AJ3843:AJ3906" si="486">AI3843*T3843</f>
        <v>0</v>
      </c>
      <c r="AK3843" s="2">
        <f t="shared" si="484"/>
        <v>75.25</v>
      </c>
      <c r="AL3843" s="5">
        <f t="shared" si="483"/>
        <v>1</v>
      </c>
    </row>
    <row r="3844" spans="1:38" x14ac:dyDescent="0.2">
      <c r="A3844" s="2">
        <v>2026</v>
      </c>
      <c r="B3844" s="2">
        <v>5</v>
      </c>
      <c r="C3844" s="2" t="s">
        <v>3382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1948</v>
      </c>
      <c r="R3844" s="2" t="s">
        <v>1949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3237</v>
      </c>
      <c r="AA3844" s="2" t="s">
        <v>156</v>
      </c>
      <c r="AB3844" s="2" t="s">
        <v>1949</v>
      </c>
      <c r="AC3844" s="2" t="s">
        <v>153</v>
      </c>
      <c r="AF3844" s="2">
        <f t="shared" si="485"/>
        <v>0</v>
      </c>
      <c r="AJ3844" s="2">
        <f t="shared" si="486"/>
        <v>0</v>
      </c>
      <c r="AK3844" s="2">
        <f t="shared" si="484"/>
        <v>8.4</v>
      </c>
      <c r="AL3844" s="5">
        <f t="shared" si="483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3237</v>
      </c>
      <c r="AA3845" s="2" t="s">
        <v>46</v>
      </c>
      <c r="AB3845" s="2" t="s">
        <v>47</v>
      </c>
      <c r="AC3845" s="2" t="s">
        <v>48</v>
      </c>
      <c r="AF3845" s="2">
        <f t="shared" si="485"/>
        <v>0</v>
      </c>
      <c r="AG3845" s="2">
        <v>6.6266999999999996</v>
      </c>
      <c r="AH3845" s="2">
        <v>12</v>
      </c>
      <c r="AJ3845" s="2">
        <f t="shared" si="486"/>
        <v>0</v>
      </c>
      <c r="AK3845" s="2">
        <f t="shared" si="484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7">(T3846-W3846)/T3846</f>
        <v>0.24822695035460993</v>
      </c>
      <c r="Z3846" s="2" t="s">
        <v>3237</v>
      </c>
      <c r="AA3846" s="2" t="s">
        <v>46</v>
      </c>
      <c r="AB3846" s="2" t="s">
        <v>57</v>
      </c>
      <c r="AC3846" s="2" t="s">
        <v>58</v>
      </c>
      <c r="AF3846" s="2">
        <f t="shared" si="485"/>
        <v>0</v>
      </c>
      <c r="AG3846" s="2">
        <v>10.6</v>
      </c>
      <c r="AH3846" s="2">
        <v>18</v>
      </c>
      <c r="AJ3846" s="2">
        <f t="shared" si="486"/>
        <v>0</v>
      </c>
      <c r="AK3846" s="2">
        <f t="shared" si="484"/>
        <v>17.5</v>
      </c>
      <c r="AL3846" s="5">
        <f t="shared" ref="AL3846:AL3877" si="488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7"/>
        <v>0.30212765957446802</v>
      </c>
      <c r="Z3847" s="2" t="s">
        <v>3237</v>
      </c>
      <c r="AA3847" s="2" t="s">
        <v>46</v>
      </c>
      <c r="AB3847" s="2" t="s">
        <v>61</v>
      </c>
      <c r="AC3847" s="2" t="s">
        <v>58</v>
      </c>
      <c r="AF3847" s="2">
        <f t="shared" si="485"/>
        <v>0</v>
      </c>
      <c r="AG3847" s="2">
        <v>8.1999999999999993</v>
      </c>
      <c r="AH3847" s="2">
        <v>13</v>
      </c>
      <c r="AJ3847" s="2">
        <f t="shared" si="486"/>
        <v>0</v>
      </c>
      <c r="AK3847" s="2">
        <f t="shared" si="484"/>
        <v>14.199999999999996</v>
      </c>
      <c r="AL3847" s="5">
        <f t="shared" si="488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7"/>
        <v>0.5243888888888889</v>
      </c>
      <c r="Z3848" s="2" t="s">
        <v>3237</v>
      </c>
      <c r="AA3848" s="2" t="s">
        <v>46</v>
      </c>
      <c r="AB3848" s="2" t="s">
        <v>61</v>
      </c>
      <c r="AC3848" s="2" t="s">
        <v>58</v>
      </c>
      <c r="AF3848" s="2">
        <f t="shared" si="485"/>
        <v>0</v>
      </c>
      <c r="AG3848" s="2">
        <v>0.85609999999999997</v>
      </c>
      <c r="AH3848" s="2">
        <v>1.8</v>
      </c>
      <c r="AJ3848" s="2">
        <f t="shared" si="486"/>
        <v>0</v>
      </c>
      <c r="AK3848" s="2">
        <f t="shared" si="484"/>
        <v>18.878</v>
      </c>
      <c r="AL3848" s="5">
        <f t="shared" si="488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7"/>
        <v>0.62926666666666664</v>
      </c>
      <c r="Z3849" s="2" t="s">
        <v>3237</v>
      </c>
      <c r="AA3849" s="2" t="s">
        <v>46</v>
      </c>
      <c r="AB3849" s="2" t="s">
        <v>61</v>
      </c>
      <c r="AC3849" s="2" t="s">
        <v>58</v>
      </c>
      <c r="AF3849" s="2">
        <f t="shared" si="485"/>
        <v>0</v>
      </c>
      <c r="AG3849" s="2">
        <v>1.1122000000000001</v>
      </c>
      <c r="AH3849" s="2">
        <v>3</v>
      </c>
      <c r="AJ3849" s="2">
        <f t="shared" si="486"/>
        <v>0</v>
      </c>
      <c r="AK3849" s="2">
        <f t="shared" si="484"/>
        <v>32.092599999999997</v>
      </c>
      <c r="AL3849" s="5">
        <f t="shared" si="488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7"/>
        <v>0.35396559139784944</v>
      </c>
      <c r="Z3850" s="2" t="s">
        <v>3237</v>
      </c>
      <c r="AA3850" s="2" t="s">
        <v>46</v>
      </c>
      <c r="AB3850" s="2" t="s">
        <v>68</v>
      </c>
      <c r="AC3850" s="2" t="s">
        <v>58</v>
      </c>
      <c r="AF3850" s="2">
        <f t="shared" si="485"/>
        <v>0</v>
      </c>
      <c r="AG3850" s="2">
        <v>15.020300000000001</v>
      </c>
      <c r="AH3850" s="2">
        <v>27.6</v>
      </c>
      <c r="AJ3850" s="2">
        <f t="shared" si="486"/>
        <v>0</v>
      </c>
      <c r="AK3850" s="2">
        <f t="shared" si="484"/>
        <v>32.918799999999997</v>
      </c>
      <c r="AL3850" s="5">
        <f t="shared" si="488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2921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7"/>
        <v>0.47936318238081005</v>
      </c>
      <c r="Z3851" s="2" t="s">
        <v>3237</v>
      </c>
      <c r="AA3851" s="2" t="s">
        <v>76</v>
      </c>
      <c r="AB3851" s="2" t="s">
        <v>77</v>
      </c>
      <c r="AC3851" s="2" t="s">
        <v>78</v>
      </c>
      <c r="AF3851" s="2">
        <f t="shared" si="485"/>
        <v>0</v>
      </c>
      <c r="AJ3851" s="2">
        <f t="shared" si="486"/>
        <v>0</v>
      </c>
      <c r="AK3851" s="2">
        <f t="shared" si="484"/>
        <v>112.30999999999999</v>
      </c>
      <c r="AL3851" s="5">
        <f t="shared" si="488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2922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7"/>
        <v>0.46581160100729863</v>
      </c>
      <c r="Z3852" s="2" t="s">
        <v>3237</v>
      </c>
      <c r="AA3852" s="2" t="s">
        <v>76</v>
      </c>
      <c r="AB3852" s="2" t="s">
        <v>77</v>
      </c>
      <c r="AC3852" s="2" t="s">
        <v>78</v>
      </c>
      <c r="AF3852" s="2">
        <f t="shared" si="485"/>
        <v>0</v>
      </c>
      <c r="AJ3852" s="2">
        <f t="shared" si="486"/>
        <v>0</v>
      </c>
      <c r="AK3852" s="2">
        <f t="shared" si="484"/>
        <v>109.13499999999999</v>
      </c>
      <c r="AL3852" s="5">
        <f t="shared" si="488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2923</v>
      </c>
      <c r="P3853" s="2" t="s">
        <v>73</v>
      </c>
      <c r="Q3853" s="2" t="s">
        <v>1453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7"/>
        <v>0.12538571428571429</v>
      </c>
      <c r="Z3853" s="2" t="s">
        <v>3237</v>
      </c>
      <c r="AA3853" s="2" t="s">
        <v>76</v>
      </c>
      <c r="AB3853" s="2" t="s">
        <v>77</v>
      </c>
      <c r="AC3853" s="2" t="s">
        <v>78</v>
      </c>
      <c r="AF3853" s="2">
        <f t="shared" si="485"/>
        <v>0</v>
      </c>
      <c r="AG3853" s="2">
        <v>122.446</v>
      </c>
      <c r="AH3853" s="2">
        <v>230</v>
      </c>
      <c r="AJ3853" s="2">
        <f t="shared" si="486"/>
        <v>0</v>
      </c>
      <c r="AK3853" s="2">
        <f t="shared" si="484"/>
        <v>17.554000000000002</v>
      </c>
      <c r="AL3853" s="5">
        <f t="shared" si="488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1382</v>
      </c>
      <c r="Q3854" s="2" t="s">
        <v>2924</v>
      </c>
      <c r="R3854" s="2" t="s">
        <v>2925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7"/>
        <v>1</v>
      </c>
      <c r="Z3854" s="2" t="s">
        <v>3237</v>
      </c>
      <c r="AA3854" s="2" t="s">
        <v>1044</v>
      </c>
      <c r="AB3854" s="2" t="s">
        <v>1274</v>
      </c>
      <c r="AC3854" s="2" t="s">
        <v>1382</v>
      </c>
      <c r="AF3854" s="2">
        <f t="shared" si="485"/>
        <v>0</v>
      </c>
      <c r="AJ3854" s="2">
        <f t="shared" si="486"/>
        <v>0</v>
      </c>
      <c r="AK3854" s="2">
        <f t="shared" si="484"/>
        <v>479.67</v>
      </c>
      <c r="AL3854" s="5">
        <f t="shared" si="488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2926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7"/>
        <v>2.000401846171453E-16</v>
      </c>
      <c r="Z3855" s="2" t="s">
        <v>3237</v>
      </c>
      <c r="AA3855" s="2" t="s">
        <v>97</v>
      </c>
      <c r="AB3855" s="2" t="s">
        <v>77</v>
      </c>
      <c r="AC3855" s="2" t="s">
        <v>94</v>
      </c>
      <c r="AF3855" s="2">
        <f t="shared" si="485"/>
        <v>0</v>
      </c>
      <c r="AJ3855" s="2">
        <f t="shared" si="486"/>
        <v>0</v>
      </c>
      <c r="AK3855" s="2">
        <f t="shared" si="484"/>
        <v>0</v>
      </c>
      <c r="AL3855" s="5">
        <f t="shared" si="488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2927</v>
      </c>
      <c r="R3856" s="2" t="s">
        <v>2928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7"/>
        <v>1</v>
      </c>
      <c r="Z3856" s="2" t="s">
        <v>120</v>
      </c>
      <c r="AA3856" s="2" t="s">
        <v>2929</v>
      </c>
      <c r="AF3856" s="2">
        <f t="shared" si="485"/>
        <v>0</v>
      </c>
      <c r="AJ3856" s="2">
        <f t="shared" si="486"/>
        <v>0</v>
      </c>
      <c r="AK3856" s="2">
        <f t="shared" si="484"/>
        <v>200</v>
      </c>
      <c r="AL3856" s="5">
        <f t="shared" si="488"/>
        <v>1</v>
      </c>
    </row>
    <row r="3857" spans="1:38" x14ac:dyDescent="0.2">
      <c r="A3857" s="2">
        <v>2026</v>
      </c>
      <c r="B3857" s="2">
        <v>5</v>
      </c>
      <c r="D3857" s="2" t="s">
        <v>1328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7"/>
        <v>0.41111111111111115</v>
      </c>
      <c r="Z3857" s="2" t="s">
        <v>3237</v>
      </c>
      <c r="AA3857" s="2" t="s">
        <v>46</v>
      </c>
      <c r="AB3857" s="2" t="s">
        <v>57</v>
      </c>
      <c r="AC3857" s="2" t="s">
        <v>58</v>
      </c>
      <c r="AF3857" s="2">
        <f t="shared" si="485"/>
        <v>0</v>
      </c>
      <c r="AG3857" s="2">
        <v>10.6</v>
      </c>
      <c r="AH3857" s="2">
        <v>18</v>
      </c>
      <c r="AJ3857" s="2">
        <f t="shared" si="486"/>
        <v>0</v>
      </c>
      <c r="AK3857" s="2">
        <f t="shared" si="484"/>
        <v>14.8</v>
      </c>
      <c r="AL3857" s="5">
        <f t="shared" si="488"/>
        <v>0.41111111111111115</v>
      </c>
    </row>
    <row r="3858" spans="1:38" x14ac:dyDescent="0.2">
      <c r="A3858" s="2">
        <v>2026</v>
      </c>
      <c r="B3858" s="2">
        <v>5</v>
      </c>
      <c r="C3858" s="2" t="s">
        <v>3382</v>
      </c>
      <c r="D3858" s="2" t="s">
        <v>1328</v>
      </c>
      <c r="E3858" s="2" t="s">
        <v>38</v>
      </c>
      <c r="F3858" s="2" t="s">
        <v>39</v>
      </c>
      <c r="H3858" s="2" t="s">
        <v>41</v>
      </c>
      <c r="I3858" s="2" t="s">
        <v>3381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7"/>
        <v>0.58173666666666668</v>
      </c>
      <c r="Z3858" s="2" t="s">
        <v>3237</v>
      </c>
      <c r="AA3858" s="2" t="s">
        <v>46</v>
      </c>
      <c r="AB3858" s="2" t="s">
        <v>91</v>
      </c>
      <c r="AC3858" s="2" t="s">
        <v>58</v>
      </c>
      <c r="AF3858" s="2">
        <f t="shared" si="485"/>
        <v>0</v>
      </c>
      <c r="AJ3858" s="2">
        <f t="shared" si="486"/>
        <v>0</v>
      </c>
      <c r="AK3858" s="2">
        <f t="shared" si="484"/>
        <v>34.904200000000003</v>
      </c>
      <c r="AL3858" s="5">
        <f t="shared" si="488"/>
        <v>0.58173666666666668</v>
      </c>
    </row>
    <row r="3859" spans="1:38" x14ac:dyDescent="0.2">
      <c r="A3859" s="2">
        <v>2026</v>
      </c>
      <c r="B3859" s="2">
        <v>5</v>
      </c>
      <c r="D3859" s="2" t="s">
        <v>1148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1149</v>
      </c>
      <c r="J3859" s="2" t="s">
        <v>1150</v>
      </c>
      <c r="L3859" s="2" t="s">
        <v>134</v>
      </c>
      <c r="M3859" s="2" t="s">
        <v>41</v>
      </c>
      <c r="O3859" s="2" t="s">
        <v>2930</v>
      </c>
      <c r="P3859" s="2" t="s">
        <v>283</v>
      </c>
      <c r="Q3859" s="2" t="s">
        <v>2132</v>
      </c>
      <c r="R3859" s="2" t="s">
        <v>2133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7"/>
        <v>0.39115929941618016</v>
      </c>
      <c r="Z3859" s="2" t="s">
        <v>3237</v>
      </c>
      <c r="AA3859" s="2" t="s">
        <v>72</v>
      </c>
      <c r="AB3859" s="2" t="s">
        <v>1607</v>
      </c>
      <c r="AC3859" s="2" t="s">
        <v>1607</v>
      </c>
      <c r="AF3859" s="2">
        <f t="shared" si="485"/>
        <v>0</v>
      </c>
      <c r="AG3859" s="2">
        <v>73</v>
      </c>
      <c r="AJ3859" s="2">
        <f t="shared" si="486"/>
        <v>0</v>
      </c>
      <c r="AK3859" s="2">
        <f t="shared" si="484"/>
        <v>46.900000000000006</v>
      </c>
      <c r="AL3859" s="5">
        <f t="shared" si="488"/>
        <v>0.39115929941618016</v>
      </c>
    </row>
    <row r="3860" spans="1:38" x14ac:dyDescent="0.2">
      <c r="A3860" s="2">
        <v>2026</v>
      </c>
      <c r="B3860" s="2">
        <v>5</v>
      </c>
      <c r="D3860" s="2" t="s">
        <v>1148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1149</v>
      </c>
      <c r="J3860" s="2" t="s">
        <v>1150</v>
      </c>
      <c r="L3860" s="2" t="s">
        <v>134</v>
      </c>
      <c r="M3860" s="2" t="s">
        <v>41</v>
      </c>
      <c r="O3860" s="2" t="s">
        <v>2930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7"/>
        <v>0.34958766583004658</v>
      </c>
      <c r="Z3860" s="2" t="s">
        <v>3237</v>
      </c>
      <c r="AA3860" s="2" t="s">
        <v>72</v>
      </c>
      <c r="AB3860" s="2" t="s">
        <v>120</v>
      </c>
      <c r="AC3860" s="2" t="s">
        <v>120</v>
      </c>
      <c r="AF3860" s="2">
        <f t="shared" si="485"/>
        <v>0</v>
      </c>
      <c r="AG3860" s="2">
        <v>18.14</v>
      </c>
      <c r="AJ3860" s="2">
        <f t="shared" si="486"/>
        <v>0</v>
      </c>
      <c r="AK3860" s="2">
        <f t="shared" si="484"/>
        <v>9.75</v>
      </c>
      <c r="AL3860" s="5">
        <f t="shared" si="488"/>
        <v>0.34958766583004658</v>
      </c>
    </row>
    <row r="3861" spans="1:38" x14ac:dyDescent="0.2">
      <c r="A3861" s="2">
        <v>2026</v>
      </c>
      <c r="B3861" s="2">
        <v>5</v>
      </c>
      <c r="D3861" s="2" t="s">
        <v>1148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1149</v>
      </c>
      <c r="J3861" s="2" t="s">
        <v>1150</v>
      </c>
      <c r="L3861" s="2" t="s">
        <v>134</v>
      </c>
      <c r="M3861" s="2" t="s">
        <v>41</v>
      </c>
      <c r="O3861" s="2" t="s">
        <v>2930</v>
      </c>
      <c r="P3861" s="2" t="s">
        <v>43</v>
      </c>
      <c r="Q3861" s="2" t="s">
        <v>2931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7"/>
        <v>0.51574074074074072</v>
      </c>
      <c r="Z3861" s="2" t="s">
        <v>3237</v>
      </c>
      <c r="AA3861" s="2" t="s">
        <v>46</v>
      </c>
      <c r="AB3861" s="2" t="s">
        <v>91</v>
      </c>
      <c r="AC3861" s="2" t="s">
        <v>58</v>
      </c>
      <c r="AF3861" s="2">
        <f t="shared" si="485"/>
        <v>0</v>
      </c>
      <c r="AG3861" s="2">
        <v>5.23</v>
      </c>
      <c r="AH3861" s="2">
        <v>10.8</v>
      </c>
      <c r="AJ3861" s="2">
        <f t="shared" si="486"/>
        <v>0</v>
      </c>
      <c r="AK3861" s="2">
        <f t="shared" si="484"/>
        <v>5.57</v>
      </c>
      <c r="AL3861" s="5">
        <f t="shared" si="488"/>
        <v>0.51574074074074072</v>
      </c>
    </row>
    <row r="3862" spans="1:38" x14ac:dyDescent="0.2">
      <c r="A3862" s="2">
        <v>2026</v>
      </c>
      <c r="B3862" s="2">
        <v>5</v>
      </c>
      <c r="D3862" s="2" t="s">
        <v>1148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1149</v>
      </c>
      <c r="J3862" s="2" t="s">
        <v>1150</v>
      </c>
      <c r="L3862" s="2" t="s">
        <v>134</v>
      </c>
      <c r="M3862" s="2" t="s">
        <v>41</v>
      </c>
      <c r="O3862" s="2" t="s">
        <v>2930</v>
      </c>
      <c r="P3862" s="2" t="s">
        <v>43</v>
      </c>
      <c r="Q3862" s="2" t="s">
        <v>2932</v>
      </c>
      <c r="R3862" s="2" t="s">
        <v>2933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7"/>
        <v>0.73055555555555551</v>
      </c>
      <c r="Z3862" s="2" t="s">
        <v>3237</v>
      </c>
      <c r="AA3862" s="2" t="s">
        <v>46</v>
      </c>
      <c r="AB3862" s="2" t="s">
        <v>91</v>
      </c>
      <c r="AC3862" s="2" t="s">
        <v>58</v>
      </c>
      <c r="AF3862" s="2">
        <f t="shared" si="485"/>
        <v>0</v>
      </c>
      <c r="AG3862" s="2">
        <v>0.97</v>
      </c>
      <c r="AH3862" s="2">
        <v>6</v>
      </c>
      <c r="AJ3862" s="2">
        <f t="shared" si="486"/>
        <v>0</v>
      </c>
      <c r="AK3862" s="2">
        <f t="shared" si="484"/>
        <v>10.52</v>
      </c>
      <c r="AL3862" s="5">
        <f t="shared" si="488"/>
        <v>0.73055555555555551</v>
      </c>
    </row>
    <row r="3863" spans="1:38" x14ac:dyDescent="0.2">
      <c r="A3863" s="2">
        <v>2026</v>
      </c>
      <c r="B3863" s="2">
        <v>5</v>
      </c>
      <c r="D3863" s="2" t="s">
        <v>1148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1149</v>
      </c>
      <c r="J3863" s="2" t="s">
        <v>1150</v>
      </c>
      <c r="L3863" s="2" t="s">
        <v>134</v>
      </c>
      <c r="M3863" s="2" t="s">
        <v>41</v>
      </c>
      <c r="O3863" s="2" t="s">
        <v>2930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7"/>
        <v>0.53121428571428575</v>
      </c>
      <c r="Z3863" s="2" t="s">
        <v>3237</v>
      </c>
      <c r="AA3863" s="2" t="s">
        <v>46</v>
      </c>
      <c r="AB3863" s="2" t="s">
        <v>57</v>
      </c>
      <c r="AC3863" s="2" t="s">
        <v>58</v>
      </c>
      <c r="AF3863" s="2">
        <f t="shared" si="485"/>
        <v>0</v>
      </c>
      <c r="AG3863" s="2">
        <v>5.9066999999999998</v>
      </c>
      <c r="AH3863" s="2">
        <v>12.6</v>
      </c>
      <c r="AJ3863" s="2">
        <f t="shared" si="486"/>
        <v>0</v>
      </c>
      <c r="AK3863" s="2">
        <f t="shared" si="484"/>
        <v>6.6932999999999998</v>
      </c>
      <c r="AL3863" s="5">
        <f t="shared" si="488"/>
        <v>0.53121428571428575</v>
      </c>
    </row>
    <row r="3864" spans="1:38" x14ac:dyDescent="0.2">
      <c r="A3864" s="2">
        <v>2026</v>
      </c>
      <c r="B3864" s="2">
        <v>5</v>
      </c>
      <c r="D3864" s="2" t="s">
        <v>1148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1149</v>
      </c>
      <c r="J3864" s="2" t="s">
        <v>1150</v>
      </c>
      <c r="L3864" s="2" t="s">
        <v>134</v>
      </c>
      <c r="M3864" s="2" t="s">
        <v>41</v>
      </c>
      <c r="O3864" s="2" t="s">
        <v>2930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7"/>
        <v>0.49849305555555556</v>
      </c>
      <c r="Z3864" s="2" t="s">
        <v>3237</v>
      </c>
      <c r="AA3864" s="2" t="s">
        <v>46</v>
      </c>
      <c r="AB3864" s="2" t="s">
        <v>57</v>
      </c>
      <c r="AC3864" s="2" t="s">
        <v>58</v>
      </c>
      <c r="AF3864" s="2">
        <f t="shared" si="485"/>
        <v>0</v>
      </c>
      <c r="AG3864" s="2">
        <v>7.2217000000000002</v>
      </c>
      <c r="AH3864" s="2">
        <v>14.4</v>
      </c>
      <c r="AJ3864" s="2">
        <f t="shared" si="486"/>
        <v>0</v>
      </c>
      <c r="AK3864" s="2">
        <f t="shared" si="484"/>
        <v>7.1783000000000001</v>
      </c>
      <c r="AL3864" s="5">
        <f t="shared" si="488"/>
        <v>0.49849305555555556</v>
      </c>
    </row>
    <row r="3865" spans="1:38" x14ac:dyDescent="0.2">
      <c r="A3865" s="2">
        <v>2026</v>
      </c>
      <c r="B3865" s="2">
        <v>5</v>
      </c>
      <c r="D3865" s="2" t="s">
        <v>1148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1149</v>
      </c>
      <c r="J3865" s="2" t="s">
        <v>1150</v>
      </c>
      <c r="L3865" s="2" t="s">
        <v>134</v>
      </c>
      <c r="M3865" s="2" t="s">
        <v>41</v>
      </c>
      <c r="O3865" s="2" t="s">
        <v>2930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87"/>
        <v>0.47844827586206895</v>
      </c>
      <c r="Z3865" s="2" t="s">
        <v>3237</v>
      </c>
      <c r="AA3865" s="2" t="s">
        <v>46</v>
      </c>
      <c r="AB3865" s="2" t="s">
        <v>57</v>
      </c>
      <c r="AC3865" s="2" t="s">
        <v>58</v>
      </c>
      <c r="AF3865" s="2">
        <f t="shared" si="485"/>
        <v>0</v>
      </c>
      <c r="AJ3865" s="2">
        <f t="shared" si="486"/>
        <v>0</v>
      </c>
      <c r="AK3865" s="2">
        <f t="shared" si="484"/>
        <v>8.3249999999999993</v>
      </c>
      <c r="AL3865" s="5">
        <f t="shared" si="488"/>
        <v>0.47844827586206895</v>
      </c>
    </row>
    <row r="3866" spans="1:38" x14ac:dyDescent="0.2">
      <c r="A3866" s="2">
        <v>2026</v>
      </c>
      <c r="B3866" s="2">
        <v>5</v>
      </c>
      <c r="D3866" s="2" t="s">
        <v>1148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1149</v>
      </c>
      <c r="J3866" s="2" t="s">
        <v>1150</v>
      </c>
      <c r="L3866" s="2" t="s">
        <v>134</v>
      </c>
      <c r="M3866" s="2" t="s">
        <v>41</v>
      </c>
      <c r="O3866" s="2" t="s">
        <v>2930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7"/>
        <v>1</v>
      </c>
      <c r="Z3866" s="2" t="s">
        <v>3237</v>
      </c>
      <c r="AA3866" s="2" t="s">
        <v>46</v>
      </c>
      <c r="AB3866" s="2" t="s">
        <v>57</v>
      </c>
      <c r="AC3866" s="2" t="s">
        <v>58</v>
      </c>
      <c r="AF3866" s="2">
        <f t="shared" si="485"/>
        <v>0</v>
      </c>
      <c r="AJ3866" s="2">
        <f t="shared" si="486"/>
        <v>0</v>
      </c>
      <c r="AK3866" s="2">
        <f t="shared" si="484"/>
        <v>21</v>
      </c>
      <c r="AL3866" s="5">
        <f t="shared" si="488"/>
        <v>1</v>
      </c>
    </row>
    <row r="3867" spans="1:38" x14ac:dyDescent="0.2">
      <c r="A3867" s="2">
        <v>2026</v>
      </c>
      <c r="B3867" s="2">
        <v>5</v>
      </c>
      <c r="D3867" s="2" t="s">
        <v>1148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1149</v>
      </c>
      <c r="J3867" s="2" t="s">
        <v>1150</v>
      </c>
      <c r="L3867" s="2" t="s">
        <v>134</v>
      </c>
      <c r="M3867" s="2" t="s">
        <v>41</v>
      </c>
      <c r="O3867" s="2" t="s">
        <v>2930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7"/>
        <v>1</v>
      </c>
      <c r="Z3867" s="2" t="s">
        <v>3237</v>
      </c>
      <c r="AA3867" s="2" t="s">
        <v>46</v>
      </c>
      <c r="AB3867" s="2" t="s">
        <v>57</v>
      </c>
      <c r="AC3867" s="2" t="s">
        <v>58</v>
      </c>
      <c r="AF3867" s="2">
        <f t="shared" si="485"/>
        <v>0</v>
      </c>
      <c r="AJ3867" s="2">
        <f t="shared" si="486"/>
        <v>0</v>
      </c>
      <c r="AK3867" s="2">
        <f t="shared" si="484"/>
        <v>25.2</v>
      </c>
      <c r="AL3867" s="5">
        <f t="shared" si="488"/>
        <v>1</v>
      </c>
    </row>
    <row r="3868" spans="1:38" x14ac:dyDescent="0.2">
      <c r="A3868" s="2">
        <v>2026</v>
      </c>
      <c r="B3868" s="2">
        <v>5</v>
      </c>
      <c r="D3868" s="2" t="s">
        <v>1148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1149</v>
      </c>
      <c r="J3868" s="2" t="s">
        <v>1150</v>
      </c>
      <c r="L3868" s="2" t="s">
        <v>134</v>
      </c>
      <c r="M3868" s="2" t="s">
        <v>41</v>
      </c>
      <c r="O3868" s="2" t="s">
        <v>2930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7"/>
        <v>1</v>
      </c>
      <c r="Z3868" s="2" t="s">
        <v>3237</v>
      </c>
      <c r="AA3868" s="2" t="s">
        <v>46</v>
      </c>
      <c r="AB3868" s="2" t="s">
        <v>57</v>
      </c>
      <c r="AC3868" s="2" t="s">
        <v>58</v>
      </c>
      <c r="AF3868" s="2">
        <f t="shared" si="485"/>
        <v>0</v>
      </c>
      <c r="AJ3868" s="2">
        <f t="shared" si="486"/>
        <v>0</v>
      </c>
      <c r="AK3868" s="2">
        <f t="shared" si="484"/>
        <v>30</v>
      </c>
      <c r="AL3868" s="5">
        <f t="shared" si="488"/>
        <v>1</v>
      </c>
    </row>
    <row r="3869" spans="1:38" x14ac:dyDescent="0.2">
      <c r="A3869" s="2">
        <v>2026</v>
      </c>
      <c r="B3869" s="2">
        <v>5</v>
      </c>
      <c r="D3869" s="2" t="s">
        <v>1148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1149</v>
      </c>
      <c r="J3869" s="2" t="s">
        <v>1150</v>
      </c>
      <c r="L3869" s="2" t="s">
        <v>134</v>
      </c>
      <c r="M3869" s="2" t="s">
        <v>41</v>
      </c>
      <c r="O3869" s="2" t="s">
        <v>2930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7"/>
        <v>1</v>
      </c>
      <c r="Z3869" s="2" t="s">
        <v>3237</v>
      </c>
      <c r="AA3869" s="2" t="s">
        <v>46</v>
      </c>
      <c r="AB3869" s="2" t="s">
        <v>57</v>
      </c>
      <c r="AC3869" s="2" t="s">
        <v>58</v>
      </c>
      <c r="AF3869" s="2">
        <f t="shared" si="485"/>
        <v>0</v>
      </c>
      <c r="AJ3869" s="2">
        <f t="shared" si="486"/>
        <v>0</v>
      </c>
      <c r="AK3869" s="2">
        <f t="shared" si="484"/>
        <v>18</v>
      </c>
      <c r="AL3869" s="5">
        <f t="shared" si="488"/>
        <v>1</v>
      </c>
    </row>
    <row r="3870" spans="1:38" x14ac:dyDescent="0.2">
      <c r="A3870" s="2">
        <v>2026</v>
      </c>
      <c r="B3870" s="2">
        <v>5</v>
      </c>
      <c r="D3870" s="2" t="s">
        <v>1148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1149</v>
      </c>
      <c r="J3870" s="2" t="s">
        <v>1150</v>
      </c>
      <c r="L3870" s="2" t="s">
        <v>134</v>
      </c>
      <c r="M3870" s="2" t="s">
        <v>41</v>
      </c>
      <c r="O3870" s="2" t="s">
        <v>2930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7"/>
        <v>1</v>
      </c>
      <c r="Z3870" s="2" t="s">
        <v>3237</v>
      </c>
      <c r="AA3870" s="2" t="s">
        <v>46</v>
      </c>
      <c r="AB3870" s="2" t="s">
        <v>57</v>
      </c>
      <c r="AC3870" s="2" t="s">
        <v>58</v>
      </c>
      <c r="AF3870" s="2">
        <f t="shared" si="485"/>
        <v>0</v>
      </c>
      <c r="AJ3870" s="2">
        <f t="shared" si="486"/>
        <v>0</v>
      </c>
      <c r="AK3870" s="2">
        <f t="shared" si="484"/>
        <v>19.8</v>
      </c>
      <c r="AL3870" s="5">
        <f t="shared" si="488"/>
        <v>1</v>
      </c>
    </row>
    <row r="3871" spans="1:38" x14ac:dyDescent="0.2">
      <c r="A3871" s="2">
        <v>2026</v>
      </c>
      <c r="B3871" s="2">
        <v>5</v>
      </c>
      <c r="D3871" s="2" t="s">
        <v>1148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1149</v>
      </c>
      <c r="J3871" s="2" t="s">
        <v>1150</v>
      </c>
      <c r="L3871" s="2" t="s">
        <v>134</v>
      </c>
      <c r="M3871" s="2" t="s">
        <v>41</v>
      </c>
      <c r="O3871" s="2" t="s">
        <v>2930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7"/>
        <v>1</v>
      </c>
      <c r="Z3871" s="2" t="s">
        <v>3237</v>
      </c>
      <c r="AA3871" s="2" t="s">
        <v>46</v>
      </c>
      <c r="AB3871" s="2" t="s">
        <v>57</v>
      </c>
      <c r="AC3871" s="2" t="s">
        <v>58</v>
      </c>
      <c r="AF3871" s="2">
        <f t="shared" si="485"/>
        <v>0</v>
      </c>
      <c r="AJ3871" s="2">
        <f t="shared" si="486"/>
        <v>0</v>
      </c>
      <c r="AK3871" s="2">
        <f t="shared" si="484"/>
        <v>22.8</v>
      </c>
      <c r="AL3871" s="5">
        <f t="shared" si="488"/>
        <v>1</v>
      </c>
    </row>
    <row r="3872" spans="1:38" x14ac:dyDescent="0.2">
      <c r="A3872" s="2">
        <v>2026</v>
      </c>
      <c r="B3872" s="2">
        <v>5</v>
      </c>
      <c r="D3872" s="2" t="s">
        <v>1148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1149</v>
      </c>
      <c r="J3872" s="2" t="s">
        <v>1150</v>
      </c>
      <c r="L3872" s="2" t="s">
        <v>134</v>
      </c>
      <c r="M3872" s="2" t="s">
        <v>41</v>
      </c>
      <c r="O3872" s="2" t="s">
        <v>2930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87"/>
        <v>0.47041666666666665</v>
      </c>
      <c r="Z3872" s="2" t="s">
        <v>3237</v>
      </c>
      <c r="AA3872" s="2" t="s">
        <v>46</v>
      </c>
      <c r="AB3872" s="2" t="s">
        <v>57</v>
      </c>
      <c r="AC3872" s="2" t="s">
        <v>58</v>
      </c>
      <c r="AF3872" s="2">
        <f t="shared" si="485"/>
        <v>0</v>
      </c>
      <c r="AJ3872" s="2">
        <f t="shared" si="486"/>
        <v>0</v>
      </c>
      <c r="AK3872" s="2">
        <f t="shared" si="484"/>
        <v>11.29</v>
      </c>
      <c r="AL3872" s="5">
        <f t="shared" si="488"/>
        <v>0.47041666666666665</v>
      </c>
    </row>
    <row r="3873" spans="1:38" x14ac:dyDescent="0.2">
      <c r="A3873" s="2">
        <v>2026</v>
      </c>
      <c r="B3873" s="2">
        <v>5</v>
      </c>
      <c r="D3873" s="2" t="s">
        <v>1148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1149</v>
      </c>
      <c r="J3873" s="2" t="s">
        <v>1150</v>
      </c>
      <c r="L3873" s="2" t="s">
        <v>134</v>
      </c>
      <c r="M3873" s="2" t="s">
        <v>41</v>
      </c>
      <c r="O3873" s="2" t="s">
        <v>2930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7"/>
        <v>0.26896551724137929</v>
      </c>
      <c r="Z3873" s="2" t="s">
        <v>3237</v>
      </c>
      <c r="AA3873" s="2" t="s">
        <v>46</v>
      </c>
      <c r="AB3873" s="2" t="s">
        <v>57</v>
      </c>
      <c r="AC3873" s="2" t="s">
        <v>58</v>
      </c>
      <c r="AF3873" s="2">
        <f t="shared" si="485"/>
        <v>0</v>
      </c>
      <c r="AG3873" s="2">
        <v>10.6</v>
      </c>
      <c r="AH3873" s="2">
        <v>18</v>
      </c>
      <c r="AJ3873" s="2">
        <f t="shared" si="486"/>
        <v>0</v>
      </c>
      <c r="AK3873" s="2">
        <f t="shared" si="484"/>
        <v>39</v>
      </c>
      <c r="AL3873" s="5">
        <f t="shared" si="488"/>
        <v>0.26896551724137929</v>
      </c>
    </row>
    <row r="3874" spans="1:38" x14ac:dyDescent="0.2">
      <c r="A3874" s="2">
        <v>2026</v>
      </c>
      <c r="B3874" s="2">
        <v>5</v>
      </c>
      <c r="C3874" s="2" t="s">
        <v>3384</v>
      </c>
      <c r="D3874" s="2" t="s">
        <v>1148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1149</v>
      </c>
      <c r="J3874" s="2" t="s">
        <v>1150</v>
      </c>
      <c r="L3874" s="2" t="s">
        <v>134</v>
      </c>
      <c r="M3874" s="2" t="s">
        <v>41</v>
      </c>
      <c r="O3874" s="2" t="s">
        <v>2930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7"/>
        <v>0.49808399999999997</v>
      </c>
      <c r="Z3874" s="2" t="s">
        <v>3237</v>
      </c>
      <c r="AA3874" s="2" t="s">
        <v>46</v>
      </c>
      <c r="AB3874" s="2" t="s">
        <v>91</v>
      </c>
      <c r="AC3874" s="2" t="s">
        <v>58</v>
      </c>
      <c r="AF3874" s="2">
        <f t="shared" si="485"/>
        <v>0</v>
      </c>
      <c r="AG3874" s="2">
        <v>25.094999999999999</v>
      </c>
      <c r="AH3874" s="2">
        <v>66</v>
      </c>
      <c r="AJ3874" s="2">
        <f t="shared" si="486"/>
        <v>0</v>
      </c>
      <c r="AK3874" s="2">
        <f t="shared" si="484"/>
        <v>24.904199999999999</v>
      </c>
      <c r="AL3874" s="5">
        <f t="shared" si="488"/>
        <v>0.49808399999999997</v>
      </c>
    </row>
    <row r="3875" spans="1:38" x14ac:dyDescent="0.2">
      <c r="A3875" s="2">
        <v>2026</v>
      </c>
      <c r="B3875" s="2">
        <v>5</v>
      </c>
      <c r="D3875" s="2" t="s">
        <v>1148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1149</v>
      </c>
      <c r="J3875" s="2" t="s">
        <v>1150</v>
      </c>
      <c r="L3875" s="2" t="s">
        <v>134</v>
      </c>
      <c r="M3875" s="2" t="s">
        <v>41</v>
      </c>
      <c r="O3875" s="2" t="s">
        <v>2930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7"/>
        <v>0.29692307692307701</v>
      </c>
      <c r="Z3875" s="2" t="s">
        <v>3237</v>
      </c>
      <c r="AA3875" s="2" t="s">
        <v>46</v>
      </c>
      <c r="AB3875" s="2" t="s">
        <v>61</v>
      </c>
      <c r="AC3875" s="2" t="s">
        <v>58</v>
      </c>
      <c r="AF3875" s="2">
        <f t="shared" si="485"/>
        <v>0</v>
      </c>
      <c r="AG3875" s="2">
        <v>9.14</v>
      </c>
      <c r="AH3875" s="2">
        <v>16</v>
      </c>
      <c r="AJ3875" s="2">
        <f t="shared" si="486"/>
        <v>0</v>
      </c>
      <c r="AK3875" s="2">
        <f t="shared" si="484"/>
        <v>3.8600000000000012</v>
      </c>
      <c r="AL3875" s="5">
        <f t="shared" si="488"/>
        <v>0.29692307692307701</v>
      </c>
    </row>
    <row r="3876" spans="1:38" x14ac:dyDescent="0.2">
      <c r="A3876" s="2">
        <v>2026</v>
      </c>
      <c r="B3876" s="2">
        <v>5</v>
      </c>
      <c r="D3876" s="2" t="s">
        <v>1148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1149</v>
      </c>
      <c r="J3876" s="2" t="s">
        <v>1150</v>
      </c>
      <c r="L3876" s="2" t="s">
        <v>134</v>
      </c>
      <c r="M3876" s="2" t="s">
        <v>41</v>
      </c>
      <c r="O3876" s="2" t="s">
        <v>2930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7"/>
        <v>0.36923076923076914</v>
      </c>
      <c r="Z3876" s="2" t="s">
        <v>3237</v>
      </c>
      <c r="AA3876" s="2" t="s">
        <v>46</v>
      </c>
      <c r="AB3876" s="2" t="s">
        <v>61</v>
      </c>
      <c r="AC3876" s="2" t="s">
        <v>58</v>
      </c>
      <c r="AF3876" s="2">
        <f t="shared" si="485"/>
        <v>0</v>
      </c>
      <c r="AG3876" s="2">
        <v>8.1999999999999993</v>
      </c>
      <c r="AH3876" s="2">
        <v>13</v>
      </c>
      <c r="AJ3876" s="2">
        <f t="shared" si="486"/>
        <v>0</v>
      </c>
      <c r="AK3876" s="2">
        <f t="shared" si="484"/>
        <v>19.199999999999996</v>
      </c>
      <c r="AL3876" s="5">
        <f t="shared" si="488"/>
        <v>0.36923076923076914</v>
      </c>
    </row>
    <row r="3877" spans="1:38" x14ac:dyDescent="0.2">
      <c r="A3877" s="2">
        <v>2026</v>
      </c>
      <c r="B3877" s="2">
        <v>5</v>
      </c>
      <c r="D3877" s="2" t="s">
        <v>1148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1149</v>
      </c>
      <c r="J3877" s="2" t="s">
        <v>1150</v>
      </c>
      <c r="L3877" s="2" t="s">
        <v>134</v>
      </c>
      <c r="M3877" s="2" t="s">
        <v>41</v>
      </c>
      <c r="O3877" s="2" t="s">
        <v>2930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7"/>
        <v>0.29692307692307701</v>
      </c>
      <c r="Z3877" s="2" t="s">
        <v>3237</v>
      </c>
      <c r="AA3877" s="2" t="s">
        <v>46</v>
      </c>
      <c r="AB3877" s="2" t="s">
        <v>61</v>
      </c>
      <c r="AC3877" s="2" t="s">
        <v>58</v>
      </c>
      <c r="AF3877" s="2">
        <f t="shared" si="485"/>
        <v>0</v>
      </c>
      <c r="AJ3877" s="2">
        <f t="shared" si="486"/>
        <v>0</v>
      </c>
      <c r="AK3877" s="2">
        <f t="shared" si="484"/>
        <v>3.8600000000000012</v>
      </c>
      <c r="AL3877" s="5">
        <f t="shared" si="488"/>
        <v>0.29692307692307701</v>
      </c>
    </row>
    <row r="3878" spans="1:38" x14ac:dyDescent="0.2">
      <c r="A3878" s="2">
        <v>2026</v>
      </c>
      <c r="B3878" s="2">
        <v>5</v>
      </c>
      <c r="D3878" s="2" t="s">
        <v>1148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1149</v>
      </c>
      <c r="J3878" s="2" t="s">
        <v>1150</v>
      </c>
      <c r="L3878" s="2" t="s">
        <v>134</v>
      </c>
      <c r="M3878" s="2" t="s">
        <v>41</v>
      </c>
      <c r="O3878" s="2" t="s">
        <v>2930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9">(T3878-W3878)/T3878</f>
        <v>0.5243888888888889</v>
      </c>
      <c r="Z3878" s="2" t="s">
        <v>3237</v>
      </c>
      <c r="AA3878" s="2" t="s">
        <v>46</v>
      </c>
      <c r="AB3878" s="2" t="s">
        <v>61</v>
      </c>
      <c r="AC3878" s="2" t="s">
        <v>58</v>
      </c>
      <c r="AF3878" s="2">
        <f t="shared" si="485"/>
        <v>0</v>
      </c>
      <c r="AG3878" s="2">
        <v>0.85609999999999997</v>
      </c>
      <c r="AH3878" s="2">
        <v>1.8</v>
      </c>
      <c r="AJ3878" s="2">
        <f t="shared" si="486"/>
        <v>0</v>
      </c>
      <c r="AK3878" s="2">
        <f t="shared" si="484"/>
        <v>7.5512000000000006</v>
      </c>
      <c r="AL3878" s="5">
        <f t="shared" ref="AL3878:AL3909" si="490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1148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1149</v>
      </c>
      <c r="J3879" s="2" t="s">
        <v>1150</v>
      </c>
      <c r="L3879" s="2" t="s">
        <v>134</v>
      </c>
      <c r="M3879" s="2" t="s">
        <v>41</v>
      </c>
      <c r="O3879" s="2" t="s">
        <v>2930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9"/>
        <v>0.62926666666666664</v>
      </c>
      <c r="Z3879" s="2" t="s">
        <v>3237</v>
      </c>
      <c r="AA3879" s="2" t="s">
        <v>46</v>
      </c>
      <c r="AB3879" s="2" t="s">
        <v>61</v>
      </c>
      <c r="AC3879" s="2" t="s">
        <v>58</v>
      </c>
      <c r="AF3879" s="2">
        <f t="shared" si="485"/>
        <v>0</v>
      </c>
      <c r="AG3879" s="2">
        <v>1.1122000000000001</v>
      </c>
      <c r="AH3879" s="2">
        <v>3</v>
      </c>
      <c r="AJ3879" s="2">
        <f t="shared" si="486"/>
        <v>0</v>
      </c>
      <c r="AK3879" s="2">
        <f t="shared" si="484"/>
        <v>15.102399999999999</v>
      </c>
      <c r="AL3879" s="5">
        <f t="shared" si="490"/>
        <v>0.62926666666666664</v>
      </c>
    </row>
    <row r="3880" spans="1:38" x14ac:dyDescent="0.2">
      <c r="A3880" s="2">
        <v>2026</v>
      </c>
      <c r="B3880" s="2">
        <v>5</v>
      </c>
      <c r="D3880" s="2" t="s">
        <v>1148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1149</v>
      </c>
      <c r="J3880" s="2" t="s">
        <v>1150</v>
      </c>
      <c r="L3880" s="2" t="s">
        <v>134</v>
      </c>
      <c r="M3880" s="2" t="s">
        <v>41</v>
      </c>
      <c r="O3880" s="2" t="s">
        <v>2930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9"/>
        <v>0.5295333333333333</v>
      </c>
      <c r="Z3880" s="2" t="s">
        <v>3237</v>
      </c>
      <c r="AA3880" s="2" t="s">
        <v>46</v>
      </c>
      <c r="AB3880" s="2" t="s">
        <v>61</v>
      </c>
      <c r="AC3880" s="2" t="s">
        <v>58</v>
      </c>
      <c r="AF3880" s="2">
        <f t="shared" si="485"/>
        <v>0</v>
      </c>
      <c r="AG3880" s="2">
        <v>1.4114</v>
      </c>
      <c r="AH3880" s="2">
        <v>3</v>
      </c>
      <c r="AJ3880" s="2">
        <f t="shared" si="486"/>
        <v>0</v>
      </c>
      <c r="AK3880" s="2">
        <f t="shared" si="484"/>
        <v>6.3544</v>
      </c>
      <c r="AL3880" s="5">
        <f t="shared" si="490"/>
        <v>0.5295333333333333</v>
      </c>
    </row>
    <row r="3881" spans="1:38" x14ac:dyDescent="0.2">
      <c r="A3881" s="2">
        <v>2026</v>
      </c>
      <c r="B3881" s="2">
        <v>5</v>
      </c>
      <c r="D3881" s="2" t="s">
        <v>1148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1149</v>
      </c>
      <c r="J3881" s="2" t="s">
        <v>1150</v>
      </c>
      <c r="L3881" s="2" t="s">
        <v>134</v>
      </c>
      <c r="M3881" s="2" t="s">
        <v>41</v>
      </c>
      <c r="O3881" s="2" t="s">
        <v>2930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9"/>
        <v>1</v>
      </c>
      <c r="Z3881" s="2" t="s">
        <v>3237</v>
      </c>
      <c r="AA3881" s="2" t="s">
        <v>46</v>
      </c>
      <c r="AB3881" s="2" t="s">
        <v>61</v>
      </c>
      <c r="AC3881" s="2" t="s">
        <v>58</v>
      </c>
      <c r="AF3881" s="2">
        <f t="shared" si="485"/>
        <v>0</v>
      </c>
      <c r="AJ3881" s="2">
        <f t="shared" si="486"/>
        <v>0</v>
      </c>
      <c r="AK3881" s="2">
        <f t="shared" si="484"/>
        <v>12</v>
      </c>
      <c r="AL3881" s="5">
        <f t="shared" si="490"/>
        <v>1</v>
      </c>
    </row>
    <row r="3882" spans="1:38" x14ac:dyDescent="0.2">
      <c r="A3882" s="2">
        <v>2026</v>
      </c>
      <c r="B3882" s="2">
        <v>5</v>
      </c>
      <c r="D3882" s="2" t="s">
        <v>1148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1149</v>
      </c>
      <c r="J3882" s="2" t="s">
        <v>1150</v>
      </c>
      <c r="L3882" s="2" t="s">
        <v>134</v>
      </c>
      <c r="M3882" s="2" t="s">
        <v>41</v>
      </c>
      <c r="O3882" s="2" t="s">
        <v>2930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9"/>
        <v>0.34694347826086952</v>
      </c>
      <c r="Z3882" s="2" t="s">
        <v>3237</v>
      </c>
      <c r="AA3882" s="2" t="s">
        <v>46</v>
      </c>
      <c r="AB3882" s="2" t="s">
        <v>68</v>
      </c>
      <c r="AC3882" s="2" t="s">
        <v>58</v>
      </c>
      <c r="AF3882" s="2">
        <f t="shared" si="485"/>
        <v>0</v>
      </c>
      <c r="AG3882" s="2">
        <v>15.020300000000001</v>
      </c>
      <c r="AH3882" s="2">
        <v>27.6</v>
      </c>
      <c r="AJ3882" s="2">
        <f t="shared" si="486"/>
        <v>0</v>
      </c>
      <c r="AK3882" s="2">
        <f t="shared" si="484"/>
        <v>7.9796999999999993</v>
      </c>
      <c r="AL3882" s="5">
        <f t="shared" si="490"/>
        <v>0.34694347826086952</v>
      </c>
    </row>
    <row r="3883" spans="1:38" x14ac:dyDescent="0.2">
      <c r="A3883" s="2">
        <v>2026</v>
      </c>
      <c r="B3883" s="2">
        <v>5</v>
      </c>
      <c r="D3883" s="2" t="s">
        <v>1148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1149</v>
      </c>
      <c r="J3883" s="2" t="s">
        <v>1150</v>
      </c>
      <c r="L3883" s="2" t="s">
        <v>134</v>
      </c>
      <c r="M3883" s="2" t="s">
        <v>41</v>
      </c>
      <c r="O3883" s="2" t="s">
        <v>2930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9"/>
        <v>0.36042307692307685</v>
      </c>
      <c r="Z3883" s="2" t="s">
        <v>3237</v>
      </c>
      <c r="AA3883" s="2" t="s">
        <v>46</v>
      </c>
      <c r="AB3883" s="2" t="s">
        <v>68</v>
      </c>
      <c r="AC3883" s="2" t="s">
        <v>58</v>
      </c>
      <c r="AF3883" s="2">
        <f t="shared" si="485"/>
        <v>0</v>
      </c>
      <c r="AG3883" s="2">
        <v>8.3145000000000007</v>
      </c>
      <c r="AH3883" s="2">
        <v>15</v>
      </c>
      <c r="AJ3883" s="2">
        <f t="shared" si="486"/>
        <v>0</v>
      </c>
      <c r="AK3883" s="2">
        <f t="shared" si="484"/>
        <v>4.6854999999999993</v>
      </c>
      <c r="AL3883" s="5">
        <f t="shared" si="490"/>
        <v>0.36042307692307685</v>
      </c>
    </row>
    <row r="3884" spans="1:38" x14ac:dyDescent="0.2">
      <c r="A3884" s="2">
        <v>2026</v>
      </c>
      <c r="B3884" s="2">
        <v>5</v>
      </c>
      <c r="D3884" s="2" t="s">
        <v>1148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1149</v>
      </c>
      <c r="J3884" s="2" t="s">
        <v>1150</v>
      </c>
      <c r="L3884" s="2" t="s">
        <v>134</v>
      </c>
      <c r="M3884" s="2" t="s">
        <v>41</v>
      </c>
      <c r="O3884" s="2" t="s">
        <v>2930</v>
      </c>
      <c r="P3884" s="2" t="s">
        <v>85</v>
      </c>
      <c r="Q3884" s="2" t="s">
        <v>1214</v>
      </c>
      <c r="R3884" s="2" t="s">
        <v>1215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9"/>
        <v>1</v>
      </c>
      <c r="Z3884" s="2" t="s">
        <v>3237</v>
      </c>
      <c r="AA3884" s="2" t="s">
        <v>88</v>
      </c>
      <c r="AB3884" s="2" t="s">
        <v>91</v>
      </c>
      <c r="AC3884" s="2" t="s">
        <v>85</v>
      </c>
      <c r="AF3884" s="2">
        <f t="shared" si="485"/>
        <v>0</v>
      </c>
      <c r="AJ3884" s="2">
        <f t="shared" si="486"/>
        <v>0</v>
      </c>
      <c r="AK3884" s="2">
        <f t="shared" si="484"/>
        <v>13.2</v>
      </c>
      <c r="AL3884" s="5">
        <f t="shared" si="490"/>
        <v>1</v>
      </c>
    </row>
    <row r="3885" spans="1:38" x14ac:dyDescent="0.2">
      <c r="A3885" s="2">
        <v>2026</v>
      </c>
      <c r="B3885" s="2">
        <v>5</v>
      </c>
      <c r="D3885" s="2" t="s">
        <v>1148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1149</v>
      </c>
      <c r="J3885" s="2" t="s">
        <v>1150</v>
      </c>
      <c r="L3885" s="2" t="s">
        <v>134</v>
      </c>
      <c r="M3885" s="2" t="s">
        <v>41</v>
      </c>
      <c r="O3885" s="2" t="s">
        <v>2930</v>
      </c>
      <c r="P3885" s="2" t="s">
        <v>2905</v>
      </c>
      <c r="Q3885" s="2" t="s">
        <v>2934</v>
      </c>
      <c r="R3885" s="2" t="s">
        <v>2935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9"/>
        <v>0.15454545454545454</v>
      </c>
      <c r="Z3885" s="2" t="s">
        <v>3237</v>
      </c>
      <c r="AA3885" s="2" t="s">
        <v>72</v>
      </c>
      <c r="AB3885" s="2" t="s">
        <v>2905</v>
      </c>
      <c r="AC3885" s="2" t="s">
        <v>2905</v>
      </c>
      <c r="AF3885" s="2">
        <f t="shared" si="485"/>
        <v>0</v>
      </c>
      <c r="AG3885" s="2">
        <v>139.5</v>
      </c>
      <c r="AJ3885" s="2">
        <f t="shared" si="486"/>
        <v>0</v>
      </c>
      <c r="AK3885" s="2">
        <f t="shared" si="484"/>
        <v>25.5</v>
      </c>
      <c r="AL3885" s="5">
        <f t="shared" si="490"/>
        <v>0.15454545454545454</v>
      </c>
    </row>
    <row r="3886" spans="1:38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2936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9"/>
        <v>0.58491111111111116</v>
      </c>
      <c r="Z3886" s="2" t="s">
        <v>3237</v>
      </c>
      <c r="AA3886" s="2" t="s">
        <v>46</v>
      </c>
      <c r="AB3886" s="2" t="s">
        <v>47</v>
      </c>
      <c r="AC3886" s="2" t="s">
        <v>48</v>
      </c>
      <c r="AF3886" s="2">
        <f t="shared" si="485"/>
        <v>0</v>
      </c>
      <c r="AG3886" s="2">
        <v>3.7357999999999998</v>
      </c>
      <c r="AH3886" s="2">
        <v>9</v>
      </c>
      <c r="AJ3886" s="2">
        <f t="shared" si="486"/>
        <v>0</v>
      </c>
      <c r="AK3886" s="2">
        <f t="shared" si="484"/>
        <v>21.056800000000003</v>
      </c>
      <c r="AL3886" s="5">
        <f t="shared" si="490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2454</v>
      </c>
      <c r="F3887" s="2" t="s">
        <v>39</v>
      </c>
      <c r="G3887" s="2">
        <v>505814030</v>
      </c>
      <c r="H3887" s="2" t="s">
        <v>291</v>
      </c>
      <c r="I3887" s="2" t="s">
        <v>2455</v>
      </c>
      <c r="J3887" s="2" t="s">
        <v>2456</v>
      </c>
      <c r="L3887" s="2" t="s">
        <v>340</v>
      </c>
      <c r="M3887" s="2" t="s">
        <v>81</v>
      </c>
      <c r="O3887" s="2" t="s">
        <v>2937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9"/>
        <v>0.36923076923076914</v>
      </c>
      <c r="Z3887" s="2" t="s">
        <v>3237</v>
      </c>
      <c r="AA3887" s="2" t="s">
        <v>46</v>
      </c>
      <c r="AB3887" s="2" t="s">
        <v>61</v>
      </c>
      <c r="AC3887" s="2" t="s">
        <v>58</v>
      </c>
      <c r="AF3887" s="2">
        <f t="shared" si="485"/>
        <v>0</v>
      </c>
      <c r="AG3887" s="2">
        <v>8.1999999999999993</v>
      </c>
      <c r="AH3887" s="2">
        <v>13</v>
      </c>
      <c r="AJ3887" s="2">
        <f t="shared" si="486"/>
        <v>0</v>
      </c>
      <c r="AK3887" s="2">
        <f t="shared" si="484"/>
        <v>4.7999999999999989</v>
      </c>
      <c r="AL3887" s="5">
        <f t="shared" si="490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2454</v>
      </c>
      <c r="F3888" s="2" t="s">
        <v>39</v>
      </c>
      <c r="G3888" s="2">
        <v>505814030</v>
      </c>
      <c r="H3888" s="2" t="s">
        <v>291</v>
      </c>
      <c r="I3888" s="2" t="s">
        <v>2455</v>
      </c>
      <c r="J3888" s="2" t="s">
        <v>2456</v>
      </c>
      <c r="L3888" s="2" t="s">
        <v>340</v>
      </c>
      <c r="M3888" s="2" t="s">
        <v>81</v>
      </c>
      <c r="O3888" s="2" t="s">
        <v>2937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9"/>
        <v>0.34694347826086952</v>
      </c>
      <c r="Z3888" s="2" t="s">
        <v>3237</v>
      </c>
      <c r="AA3888" s="2" t="s">
        <v>46</v>
      </c>
      <c r="AB3888" s="2" t="s">
        <v>68</v>
      </c>
      <c r="AC3888" s="2" t="s">
        <v>58</v>
      </c>
      <c r="AF3888" s="2">
        <f t="shared" si="485"/>
        <v>0</v>
      </c>
      <c r="AG3888" s="2">
        <v>15.020300000000001</v>
      </c>
      <c r="AH3888" s="2">
        <v>27.6</v>
      </c>
      <c r="AJ3888" s="2">
        <f t="shared" si="486"/>
        <v>0</v>
      </c>
      <c r="AK3888" s="2">
        <f t="shared" si="484"/>
        <v>7.9796999999999993</v>
      </c>
      <c r="AL3888" s="5">
        <f t="shared" si="490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2454</v>
      </c>
      <c r="F3889" s="2" t="s">
        <v>39</v>
      </c>
      <c r="G3889" s="2">
        <v>505814030</v>
      </c>
      <c r="H3889" s="2" t="s">
        <v>291</v>
      </c>
      <c r="I3889" s="2" t="s">
        <v>2455</v>
      </c>
      <c r="J3889" s="2" t="s">
        <v>2456</v>
      </c>
      <c r="L3889" s="2" t="s">
        <v>340</v>
      </c>
      <c r="M3889" s="2" t="s">
        <v>81</v>
      </c>
      <c r="O3889" s="2" t="s">
        <v>2937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9"/>
        <v>1</v>
      </c>
      <c r="Z3889" s="2" t="s">
        <v>170</v>
      </c>
      <c r="AA3889" s="2" t="s">
        <v>170</v>
      </c>
      <c r="AF3889" s="2">
        <f t="shared" si="485"/>
        <v>0</v>
      </c>
      <c r="AJ3889" s="2">
        <f t="shared" si="486"/>
        <v>0</v>
      </c>
      <c r="AK3889" s="2">
        <f t="shared" si="484"/>
        <v>5</v>
      </c>
      <c r="AL3889" s="5">
        <f t="shared" si="490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3241</v>
      </c>
      <c r="Q3890" s="2" t="s">
        <v>1794</v>
      </c>
      <c r="R3890" s="2" t="s">
        <v>1795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9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3241</v>
      </c>
      <c r="AF3890" s="2">
        <f t="shared" si="485"/>
        <v>0</v>
      </c>
      <c r="AJ3890" s="2">
        <f t="shared" si="486"/>
        <v>0</v>
      </c>
      <c r="AK3890" s="2">
        <f t="shared" si="484"/>
        <v>1649.08</v>
      </c>
      <c r="AL3890" s="5">
        <f t="shared" si="490"/>
        <v>0.44294386247649742</v>
      </c>
    </row>
    <row r="3891" spans="1:38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9"/>
        <v>0.59999999999999987</v>
      </c>
      <c r="Z3891" s="2" t="s">
        <v>118</v>
      </c>
      <c r="AA3891" s="2" t="s">
        <v>191</v>
      </c>
      <c r="AF3891" s="2">
        <f t="shared" si="485"/>
        <v>0</v>
      </c>
      <c r="AG3891" s="2">
        <f>W3891</f>
        <v>95.100000000000009</v>
      </c>
      <c r="AJ3891" s="2">
        <f t="shared" si="486"/>
        <v>0</v>
      </c>
      <c r="AK3891" s="2">
        <f t="shared" si="484"/>
        <v>142.64999999999998</v>
      </c>
      <c r="AL3891" s="5">
        <f t="shared" si="490"/>
        <v>0.59999999999999987</v>
      </c>
    </row>
    <row r="3892" spans="1:38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9"/>
        <v>0.5</v>
      </c>
      <c r="Z3892" s="2" t="s">
        <v>118</v>
      </c>
      <c r="AA3892" s="2" t="s">
        <v>191</v>
      </c>
      <c r="AF3892" s="2">
        <f t="shared" si="485"/>
        <v>0</v>
      </c>
      <c r="AG3892" s="2">
        <f>W3892</f>
        <v>27.5</v>
      </c>
      <c r="AJ3892" s="2">
        <f t="shared" si="486"/>
        <v>0</v>
      </c>
      <c r="AK3892" s="2">
        <f t="shared" si="484"/>
        <v>27.5</v>
      </c>
      <c r="AL3892" s="5">
        <f t="shared" si="490"/>
        <v>0.5</v>
      </c>
    </row>
    <row r="3893" spans="1:38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9"/>
        <v>1</v>
      </c>
      <c r="Z3893" s="2" t="s">
        <v>120</v>
      </c>
      <c r="AA3893" s="2" t="s">
        <v>3392</v>
      </c>
      <c r="AF3893" s="2">
        <f t="shared" si="485"/>
        <v>0</v>
      </c>
      <c r="AJ3893" s="2">
        <f t="shared" si="486"/>
        <v>0</v>
      </c>
      <c r="AK3893" s="2">
        <f t="shared" si="484"/>
        <v>297.5</v>
      </c>
      <c r="AL3893" s="5">
        <f t="shared" si="490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2938</v>
      </c>
      <c r="P3894" s="2" t="s">
        <v>115</v>
      </c>
      <c r="Q3894" s="2" t="s">
        <v>1154</v>
      </c>
      <c r="R3894" s="2" t="s">
        <v>1155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9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85"/>
        <v>0</v>
      </c>
      <c r="AJ3894" s="2">
        <f t="shared" si="486"/>
        <v>0</v>
      </c>
      <c r="AK3894" s="2">
        <f t="shared" ref="AK3894:AK3950" si="491">T3894-W3894</f>
        <v>146.92000000000002</v>
      </c>
      <c r="AL3894" s="5">
        <f t="shared" si="490"/>
        <v>0.57007605152879093</v>
      </c>
    </row>
    <row r="3895" spans="1:38" x14ac:dyDescent="0.2">
      <c r="A3895" s="2">
        <v>2026</v>
      </c>
      <c r="B3895" s="2">
        <v>5</v>
      </c>
      <c r="D3895" s="2" t="s">
        <v>1351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2939</v>
      </c>
      <c r="J3895" s="2" t="s">
        <v>2940</v>
      </c>
      <c r="K3895" s="2">
        <v>915170083</v>
      </c>
      <c r="L3895" s="2" t="s">
        <v>462</v>
      </c>
      <c r="M3895" s="2" t="s">
        <v>81</v>
      </c>
      <c r="O3895" s="2" t="s">
        <v>2941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9"/>
        <v>0.47191304347826091</v>
      </c>
      <c r="Z3895" s="2" t="s">
        <v>3237</v>
      </c>
      <c r="AA3895" s="2" t="s">
        <v>76</v>
      </c>
      <c r="AB3895" s="2" t="s">
        <v>77</v>
      </c>
      <c r="AC3895" s="2" t="s">
        <v>78</v>
      </c>
      <c r="AF3895" s="2">
        <f t="shared" si="485"/>
        <v>0</v>
      </c>
      <c r="AG3895" s="2">
        <v>121.46</v>
      </c>
      <c r="AH3895" s="2">
        <v>210</v>
      </c>
      <c r="AJ3895" s="2">
        <f t="shared" si="486"/>
        <v>0</v>
      </c>
      <c r="AK3895" s="2">
        <f t="shared" si="491"/>
        <v>108.54</v>
      </c>
      <c r="AL3895" s="5">
        <f t="shared" si="490"/>
        <v>0.47191304347826091</v>
      </c>
    </row>
    <row r="3896" spans="1:38" x14ac:dyDescent="0.2">
      <c r="A3896" s="2">
        <v>2026</v>
      </c>
      <c r="B3896" s="2">
        <v>5</v>
      </c>
      <c r="D3896" s="2" t="s">
        <v>1351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9"/>
        <v>0</v>
      </c>
      <c r="Z3896" s="2" t="s">
        <v>3237</v>
      </c>
      <c r="AA3896" s="2" t="s">
        <v>97</v>
      </c>
      <c r="AB3896" s="2" t="s">
        <v>77</v>
      </c>
      <c r="AC3896" s="2" t="s">
        <v>94</v>
      </c>
      <c r="AF3896" s="2">
        <f t="shared" si="485"/>
        <v>0</v>
      </c>
      <c r="AJ3896" s="2">
        <f t="shared" si="486"/>
        <v>0</v>
      </c>
      <c r="AK3896" s="2">
        <f t="shared" si="491"/>
        <v>0</v>
      </c>
      <c r="AL3896" s="5">
        <f t="shared" si="490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2942</v>
      </c>
      <c r="P3897" s="2" t="s">
        <v>73</v>
      </c>
      <c r="Q3897" s="2" t="s">
        <v>1028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9"/>
        <v>0.43388888888888894</v>
      </c>
      <c r="Z3897" s="2" t="s">
        <v>3237</v>
      </c>
      <c r="AA3897" s="2" t="s">
        <v>76</v>
      </c>
      <c r="AB3897" s="2" t="s">
        <v>77</v>
      </c>
      <c r="AC3897" s="2" t="s">
        <v>78</v>
      </c>
      <c r="AF3897" s="2">
        <f t="shared" si="485"/>
        <v>0</v>
      </c>
      <c r="AJ3897" s="2">
        <f t="shared" si="486"/>
        <v>0</v>
      </c>
      <c r="AK3897" s="2">
        <f t="shared" si="491"/>
        <v>117.15</v>
      </c>
      <c r="AL3897" s="5">
        <f t="shared" si="490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2942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9"/>
        <v>0</v>
      </c>
      <c r="Z3898" s="2" t="s">
        <v>3237</v>
      </c>
      <c r="AA3898" s="2" t="s">
        <v>97</v>
      </c>
      <c r="AB3898" s="2" t="s">
        <v>77</v>
      </c>
      <c r="AC3898" s="2" t="s">
        <v>94</v>
      </c>
      <c r="AF3898" s="2">
        <f t="shared" si="485"/>
        <v>0</v>
      </c>
      <c r="AJ3898" s="2">
        <f t="shared" si="486"/>
        <v>0</v>
      </c>
      <c r="AK3898" s="2">
        <f t="shared" si="491"/>
        <v>0</v>
      </c>
      <c r="AL3898" s="5">
        <f t="shared" si="490"/>
        <v>0</v>
      </c>
    </row>
    <row r="3899" spans="1:38" x14ac:dyDescent="0.2">
      <c r="A3899" s="2">
        <v>2026</v>
      </c>
      <c r="B3899" s="2">
        <v>5</v>
      </c>
      <c r="D3899" s="2" t="s">
        <v>2943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9"/>
        <v>0.4142857142857142</v>
      </c>
      <c r="Z3899" s="2" t="s">
        <v>3237</v>
      </c>
      <c r="AA3899" s="2" t="s">
        <v>46</v>
      </c>
      <c r="AB3899" s="2" t="s">
        <v>61</v>
      </c>
      <c r="AC3899" s="2" t="s">
        <v>58</v>
      </c>
      <c r="AF3899" s="2">
        <f t="shared" si="485"/>
        <v>0</v>
      </c>
      <c r="AG3899" s="2">
        <v>8.1999999999999993</v>
      </c>
      <c r="AH3899" s="2">
        <v>13</v>
      </c>
      <c r="AJ3899" s="2">
        <f t="shared" si="486"/>
        <v>0</v>
      </c>
      <c r="AK3899" s="2">
        <f t="shared" si="491"/>
        <v>5.7999999999999989</v>
      </c>
      <c r="AL3899" s="5">
        <f t="shared" si="490"/>
        <v>0.4142857142857142</v>
      </c>
    </row>
    <row r="3900" spans="1:38" x14ac:dyDescent="0.2">
      <c r="A3900" s="2">
        <v>2026</v>
      </c>
      <c r="B3900" s="2">
        <v>5</v>
      </c>
      <c r="D3900" s="2" t="s">
        <v>983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9"/>
        <v>0.41111111111111115</v>
      </c>
      <c r="Z3900" s="2" t="s">
        <v>3237</v>
      </c>
      <c r="AA3900" s="2" t="s">
        <v>46</v>
      </c>
      <c r="AB3900" s="2" t="s">
        <v>57</v>
      </c>
      <c r="AC3900" s="2" t="s">
        <v>58</v>
      </c>
      <c r="AF3900" s="2">
        <f t="shared" si="485"/>
        <v>0</v>
      </c>
      <c r="AG3900" s="2">
        <v>10.6</v>
      </c>
      <c r="AH3900" s="2">
        <v>18</v>
      </c>
      <c r="AJ3900" s="2">
        <f t="shared" si="486"/>
        <v>0</v>
      </c>
      <c r="AK3900" s="2">
        <f t="shared" si="491"/>
        <v>14.8</v>
      </c>
      <c r="AL3900" s="5">
        <f t="shared" si="490"/>
        <v>0.41111111111111115</v>
      </c>
    </row>
    <row r="3901" spans="1:38" x14ac:dyDescent="0.2">
      <c r="A3901" s="2">
        <v>2026</v>
      </c>
      <c r="B3901" s="2">
        <v>5</v>
      </c>
      <c r="D3901" s="2" t="s">
        <v>984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985</v>
      </c>
      <c r="J3901" s="2" t="s">
        <v>986</v>
      </c>
      <c r="L3901" s="2" t="s">
        <v>294</v>
      </c>
      <c r="M3901" s="2" t="s">
        <v>81</v>
      </c>
      <c r="O3901" s="2" t="s">
        <v>2944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9"/>
        <v>0.42947272727272723</v>
      </c>
      <c r="Z3901" s="2" t="s">
        <v>3237</v>
      </c>
      <c r="AA3901" s="2" t="s">
        <v>76</v>
      </c>
      <c r="AB3901" s="2" t="s">
        <v>77</v>
      </c>
      <c r="AC3901" s="2" t="s">
        <v>78</v>
      </c>
      <c r="AF3901" s="2">
        <f t="shared" si="485"/>
        <v>0</v>
      </c>
      <c r="AG3901" s="2">
        <v>125.51600000000001</v>
      </c>
      <c r="AH3901" s="2">
        <v>220</v>
      </c>
      <c r="AJ3901" s="2">
        <f t="shared" si="486"/>
        <v>0</v>
      </c>
      <c r="AK3901" s="2">
        <f t="shared" si="491"/>
        <v>94.483999999999995</v>
      </c>
      <c r="AL3901" s="5">
        <f t="shared" si="490"/>
        <v>0.42947272727272723</v>
      </c>
    </row>
    <row r="3902" spans="1:38" x14ac:dyDescent="0.2">
      <c r="A3902" s="2">
        <v>2026</v>
      </c>
      <c r="B3902" s="2">
        <v>5</v>
      </c>
      <c r="D3902" s="2" t="s">
        <v>984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985</v>
      </c>
      <c r="J3902" s="2" t="s">
        <v>986</v>
      </c>
      <c r="L3902" s="2" t="s">
        <v>294</v>
      </c>
      <c r="M3902" s="2" t="s">
        <v>81</v>
      </c>
      <c r="O3902" s="2" t="s">
        <v>2944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9"/>
        <v>0.45375609756097557</v>
      </c>
      <c r="Z3902" s="2" t="s">
        <v>3237</v>
      </c>
      <c r="AA3902" s="2" t="s">
        <v>76</v>
      </c>
      <c r="AB3902" s="2" t="s">
        <v>77</v>
      </c>
      <c r="AC3902" s="2" t="s">
        <v>78</v>
      </c>
      <c r="AF3902" s="2">
        <f t="shared" si="485"/>
        <v>0</v>
      </c>
      <c r="AG3902" s="2">
        <v>111.98</v>
      </c>
      <c r="AH3902" s="2">
        <v>210</v>
      </c>
      <c r="AJ3902" s="2">
        <f t="shared" si="486"/>
        <v>0</v>
      </c>
      <c r="AK3902" s="2">
        <f t="shared" si="491"/>
        <v>93.02</v>
      </c>
      <c r="AL3902" s="5">
        <f t="shared" si="490"/>
        <v>0.45375609756097557</v>
      </c>
    </row>
    <row r="3903" spans="1:38" x14ac:dyDescent="0.2">
      <c r="A3903" s="2">
        <v>2026</v>
      </c>
      <c r="B3903" s="2">
        <v>5</v>
      </c>
      <c r="D3903" s="2" t="s">
        <v>984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985</v>
      </c>
      <c r="J3903" s="2" t="s">
        <v>986</v>
      </c>
      <c r="L3903" s="2" t="s">
        <v>294</v>
      </c>
      <c r="M3903" s="2" t="s">
        <v>81</v>
      </c>
      <c r="O3903" s="2" t="s">
        <v>2944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9"/>
        <v>0</v>
      </c>
      <c r="Z3903" s="2" t="s">
        <v>3237</v>
      </c>
      <c r="AA3903" s="2" t="s">
        <v>97</v>
      </c>
      <c r="AB3903" s="2" t="s">
        <v>77</v>
      </c>
      <c r="AC3903" s="2" t="s">
        <v>94</v>
      </c>
      <c r="AF3903" s="2">
        <f t="shared" si="485"/>
        <v>0</v>
      </c>
      <c r="AG3903" s="2">
        <v>1.48</v>
      </c>
      <c r="AH3903" s="2">
        <v>1.48</v>
      </c>
      <c r="AJ3903" s="2">
        <f t="shared" si="486"/>
        <v>0</v>
      </c>
      <c r="AK3903" s="2">
        <f t="shared" si="491"/>
        <v>0</v>
      </c>
      <c r="AL3903" s="5">
        <f t="shared" si="490"/>
        <v>0</v>
      </c>
    </row>
    <row r="3904" spans="1:38" x14ac:dyDescent="0.2">
      <c r="A3904" s="2">
        <v>2026</v>
      </c>
      <c r="B3904" s="2">
        <v>5</v>
      </c>
      <c r="D3904" s="2" t="s">
        <v>1359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1360</v>
      </c>
      <c r="L3904" s="2" t="s">
        <v>419</v>
      </c>
      <c r="P3904" s="2" t="s">
        <v>283</v>
      </c>
      <c r="Q3904" s="2" t="s">
        <v>1517</v>
      </c>
      <c r="R3904" s="2" t="s">
        <v>1518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9"/>
        <v>0.39011111111111113</v>
      </c>
      <c r="Z3904" s="2" t="s">
        <v>3237</v>
      </c>
      <c r="AA3904" s="2" t="s">
        <v>72</v>
      </c>
      <c r="AB3904" s="2" t="s">
        <v>1607</v>
      </c>
      <c r="AC3904" s="2" t="s">
        <v>1607</v>
      </c>
      <c r="AF3904" s="2">
        <f t="shared" si="485"/>
        <v>0</v>
      </c>
      <c r="AJ3904" s="2">
        <f t="shared" si="486"/>
        <v>0</v>
      </c>
      <c r="AK3904" s="2">
        <f t="shared" si="491"/>
        <v>17.555</v>
      </c>
      <c r="AL3904" s="5">
        <f t="shared" si="490"/>
        <v>0.39011111111111113</v>
      </c>
    </row>
    <row r="3905" spans="1:38" x14ac:dyDescent="0.2">
      <c r="A3905" s="2">
        <v>2026</v>
      </c>
      <c r="B3905" s="2">
        <v>5</v>
      </c>
      <c r="D3905" s="2" t="s">
        <v>2565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2945</v>
      </c>
      <c r="J3905" s="2" t="s">
        <v>2946</v>
      </c>
      <c r="K3905" s="2">
        <v>962004672</v>
      </c>
      <c r="L3905" s="2" t="s">
        <v>399</v>
      </c>
      <c r="M3905" s="2" t="s">
        <v>81</v>
      </c>
      <c r="O3905" s="2" t="s">
        <v>2947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9"/>
        <v>0.52504545454545459</v>
      </c>
      <c r="Z3905" s="2" t="s">
        <v>3237</v>
      </c>
      <c r="AA3905" s="2" t="s">
        <v>76</v>
      </c>
      <c r="AB3905" s="2" t="s">
        <v>77</v>
      </c>
      <c r="AC3905" s="2" t="s">
        <v>78</v>
      </c>
      <c r="AF3905" s="2">
        <f t="shared" si="485"/>
        <v>0</v>
      </c>
      <c r="AG3905" s="2">
        <v>104.49</v>
      </c>
      <c r="AH3905" s="2">
        <v>220</v>
      </c>
      <c r="AJ3905" s="2">
        <f t="shared" si="486"/>
        <v>0</v>
      </c>
      <c r="AK3905" s="2">
        <f t="shared" si="491"/>
        <v>115.51</v>
      </c>
      <c r="AL3905" s="5">
        <f t="shared" si="490"/>
        <v>0.52504545454545459</v>
      </c>
    </row>
    <row r="3906" spans="1:38" x14ac:dyDescent="0.2">
      <c r="A3906" s="2">
        <v>2026</v>
      </c>
      <c r="B3906" s="2">
        <v>5</v>
      </c>
      <c r="D3906" s="2" t="s">
        <v>2565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9"/>
        <v>1</v>
      </c>
      <c r="Z3906" s="2" t="s">
        <v>3237</v>
      </c>
      <c r="AA3906" s="2" t="s">
        <v>97</v>
      </c>
      <c r="AB3906" s="2" t="s">
        <v>77</v>
      </c>
      <c r="AC3906" s="2" t="s">
        <v>94</v>
      </c>
      <c r="AF3906" s="2">
        <f t="shared" si="485"/>
        <v>0</v>
      </c>
      <c r="AJ3906" s="2">
        <f t="shared" si="486"/>
        <v>0</v>
      </c>
      <c r="AK3906" s="2">
        <f t="shared" si="491"/>
        <v>1.48</v>
      </c>
      <c r="AL3906" s="5">
        <f t="shared" si="490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2948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9"/>
        <v>0.31428571428571428</v>
      </c>
      <c r="Z3907" s="2" t="s">
        <v>3237</v>
      </c>
      <c r="AA3907" s="2" t="s">
        <v>46</v>
      </c>
      <c r="AB3907" s="2" t="s">
        <v>47</v>
      </c>
      <c r="AC3907" s="2" t="s">
        <v>48</v>
      </c>
      <c r="AF3907" s="2">
        <f t="shared" ref="AF3907:AF3970" si="492">AJ3907</f>
        <v>0</v>
      </c>
      <c r="AG3907" s="2">
        <v>14.4</v>
      </c>
      <c r="AH3907" s="2">
        <v>21</v>
      </c>
      <c r="AJ3907" s="2">
        <f t="shared" ref="AJ3907:AJ3970" si="493">AI3907*T3907</f>
        <v>0</v>
      </c>
      <c r="AK3907" s="2">
        <f t="shared" si="491"/>
        <v>6.6</v>
      </c>
      <c r="AL3907" s="5">
        <f t="shared" si="490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2949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9"/>
        <v>0.29333333333333333</v>
      </c>
      <c r="Z3908" s="2" t="s">
        <v>3237</v>
      </c>
      <c r="AA3908" s="2" t="s">
        <v>46</v>
      </c>
      <c r="AB3908" s="2" t="s">
        <v>57</v>
      </c>
      <c r="AC3908" s="2" t="s">
        <v>58</v>
      </c>
      <c r="AF3908" s="2">
        <f t="shared" si="492"/>
        <v>0</v>
      </c>
      <c r="AG3908" s="2">
        <v>10.6</v>
      </c>
      <c r="AH3908" s="2">
        <v>18</v>
      </c>
      <c r="AJ3908" s="2">
        <f t="shared" si="493"/>
        <v>0</v>
      </c>
      <c r="AK3908" s="2">
        <f t="shared" si="491"/>
        <v>44</v>
      </c>
      <c r="AL3908" s="5">
        <f t="shared" si="490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2948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9"/>
        <v>0.38692653061224486</v>
      </c>
      <c r="Z3909" s="2" t="s">
        <v>3237</v>
      </c>
      <c r="AA3909" s="2" t="s">
        <v>46</v>
      </c>
      <c r="AB3909" s="2" t="s">
        <v>68</v>
      </c>
      <c r="AC3909" s="2" t="s">
        <v>58</v>
      </c>
      <c r="AF3909" s="2">
        <f t="shared" si="492"/>
        <v>0</v>
      </c>
      <c r="AG3909" s="2">
        <v>15.020300000000001</v>
      </c>
      <c r="AH3909" s="2">
        <v>27.6</v>
      </c>
      <c r="AJ3909" s="2">
        <f t="shared" si="493"/>
        <v>0</v>
      </c>
      <c r="AK3909" s="2">
        <f t="shared" si="491"/>
        <v>9.4796999999999993</v>
      </c>
      <c r="AL3909" s="5">
        <f t="shared" si="490"/>
        <v>0.38692653061224486</v>
      </c>
    </row>
    <row r="3910" spans="1:38" x14ac:dyDescent="0.2">
      <c r="A3910" s="2">
        <v>2026</v>
      </c>
      <c r="B3910" s="2">
        <v>5</v>
      </c>
      <c r="D3910" s="2" t="s">
        <v>1531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1532</v>
      </c>
      <c r="J3910" s="2" t="s">
        <v>1533</v>
      </c>
      <c r="K3910" s="2">
        <v>962461409</v>
      </c>
      <c r="L3910" s="2" t="s">
        <v>345</v>
      </c>
      <c r="M3910" s="2" t="s">
        <v>40</v>
      </c>
      <c r="O3910" s="2" t="s">
        <v>2950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94">(T3910-W3910)/T3910</f>
        <v>1</v>
      </c>
      <c r="Z3910" s="2" t="s">
        <v>118</v>
      </c>
      <c r="AA3910" s="2" t="s">
        <v>1314</v>
      </c>
      <c r="AF3910" s="2">
        <f t="shared" si="492"/>
        <v>0</v>
      </c>
      <c r="AJ3910" s="2">
        <f t="shared" si="493"/>
        <v>0</v>
      </c>
      <c r="AK3910" s="2">
        <f t="shared" si="491"/>
        <v>104.83</v>
      </c>
      <c r="AL3910" s="5">
        <f t="shared" ref="AL3910:AL3940" si="495">(T3910-W3910)/T3910</f>
        <v>1</v>
      </c>
    </row>
    <row r="3911" spans="1:38" x14ac:dyDescent="0.2">
      <c r="A3911" s="2">
        <v>2026</v>
      </c>
      <c r="B3911" s="2">
        <v>5</v>
      </c>
      <c r="D3911" s="2" t="s">
        <v>2951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94"/>
        <v>0.29333333333333333</v>
      </c>
      <c r="Z3911" s="2" t="s">
        <v>3237</v>
      </c>
      <c r="AA3911" s="2" t="s">
        <v>46</v>
      </c>
      <c r="AB3911" s="2" t="s">
        <v>57</v>
      </c>
      <c r="AC3911" s="2" t="s">
        <v>58</v>
      </c>
      <c r="AF3911" s="2">
        <f t="shared" si="492"/>
        <v>0</v>
      </c>
      <c r="AG3911" s="2">
        <v>10.6</v>
      </c>
      <c r="AH3911" s="2">
        <v>18</v>
      </c>
      <c r="AJ3911" s="2">
        <f t="shared" si="493"/>
        <v>0</v>
      </c>
      <c r="AK3911" s="2">
        <f t="shared" si="491"/>
        <v>44</v>
      </c>
      <c r="AL3911" s="5">
        <f t="shared" si="495"/>
        <v>0.29333333333333333</v>
      </c>
    </row>
    <row r="3912" spans="1:38" x14ac:dyDescent="0.2">
      <c r="A3912" s="2">
        <v>2026</v>
      </c>
      <c r="B3912" s="2">
        <v>5</v>
      </c>
      <c r="D3912" s="2" t="s">
        <v>2239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94"/>
        <v>0.25454545454545452</v>
      </c>
      <c r="Z3912" s="2" t="s">
        <v>3237</v>
      </c>
      <c r="AA3912" s="2" t="s">
        <v>46</v>
      </c>
      <c r="AB3912" s="2" t="s">
        <v>61</v>
      </c>
      <c r="AC3912" s="2" t="s">
        <v>58</v>
      </c>
      <c r="AF3912" s="2">
        <f t="shared" si="492"/>
        <v>0</v>
      </c>
      <c r="AG3912" s="2">
        <v>8.1999999999999993</v>
      </c>
      <c r="AH3912" s="2">
        <v>13</v>
      </c>
      <c r="AJ3912" s="2">
        <f t="shared" si="493"/>
        <v>0</v>
      </c>
      <c r="AK3912" s="2">
        <f t="shared" si="491"/>
        <v>28</v>
      </c>
      <c r="AL3912" s="5">
        <f t="shared" si="495"/>
        <v>0.25454545454545452</v>
      </c>
    </row>
    <row r="3913" spans="1:38" x14ac:dyDescent="0.2">
      <c r="A3913" s="2">
        <v>2026</v>
      </c>
      <c r="B3913" s="2">
        <v>5</v>
      </c>
      <c r="D3913" s="2" t="s">
        <v>2239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94"/>
        <v>1</v>
      </c>
      <c r="Z3913" s="2" t="s">
        <v>170</v>
      </c>
      <c r="AA3913" s="2" t="s">
        <v>170</v>
      </c>
      <c r="AF3913" s="2">
        <f t="shared" si="492"/>
        <v>0</v>
      </c>
      <c r="AJ3913" s="2">
        <f t="shared" si="493"/>
        <v>0</v>
      </c>
      <c r="AK3913" s="2">
        <f t="shared" si="491"/>
        <v>5</v>
      </c>
      <c r="AL3913" s="5">
        <f t="shared" si="495"/>
        <v>1</v>
      </c>
    </row>
    <row r="3914" spans="1:38" x14ac:dyDescent="0.2">
      <c r="A3914" s="2">
        <v>2026</v>
      </c>
      <c r="B3914" s="2">
        <v>5</v>
      </c>
      <c r="D3914" s="2" t="s">
        <v>2952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94"/>
        <v>0.33938947368421052</v>
      </c>
      <c r="Z3914" s="2" t="s">
        <v>3237</v>
      </c>
      <c r="AA3914" s="2" t="s">
        <v>76</v>
      </c>
      <c r="AB3914" s="2" t="s">
        <v>77</v>
      </c>
      <c r="AC3914" s="2" t="s">
        <v>78</v>
      </c>
      <c r="AF3914" s="2">
        <f t="shared" si="492"/>
        <v>0</v>
      </c>
      <c r="AG3914" s="2">
        <v>125.51600000000001</v>
      </c>
      <c r="AH3914" s="2">
        <v>220</v>
      </c>
      <c r="AJ3914" s="2">
        <f t="shared" si="493"/>
        <v>0</v>
      </c>
      <c r="AK3914" s="2">
        <f t="shared" si="491"/>
        <v>64.483999999999995</v>
      </c>
      <c r="AL3914" s="5">
        <f t="shared" si="495"/>
        <v>0.33938947368421052</v>
      </c>
    </row>
    <row r="3915" spans="1:38" x14ac:dyDescent="0.2">
      <c r="A3915" s="2">
        <v>2026</v>
      </c>
      <c r="B3915" s="2">
        <v>5</v>
      </c>
      <c r="D3915" s="2" t="s">
        <v>2952</v>
      </c>
      <c r="M3915" s="2" t="s">
        <v>40</v>
      </c>
      <c r="P3915" s="2" t="s">
        <v>188</v>
      </c>
      <c r="Q3915" s="2" t="s">
        <v>1312</v>
      </c>
      <c r="R3915" s="2" t="s">
        <v>1313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1314</v>
      </c>
      <c r="AF3915" s="2">
        <f t="shared" si="492"/>
        <v>0</v>
      </c>
      <c r="AJ3915" s="2">
        <f t="shared" si="493"/>
        <v>0</v>
      </c>
      <c r="AK3915" s="2">
        <f t="shared" si="491"/>
        <v>0</v>
      </c>
      <c r="AL3915" s="5">
        <v>0</v>
      </c>
    </row>
    <row r="3916" spans="1:38" x14ac:dyDescent="0.2">
      <c r="A3916" s="2">
        <v>2026</v>
      </c>
      <c r="B3916" s="2">
        <v>5</v>
      </c>
      <c r="D3916" s="2" t="s">
        <v>2952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94"/>
        <v>0</v>
      </c>
      <c r="Z3916" s="2" t="s">
        <v>3237</v>
      </c>
      <c r="AA3916" s="2" t="s">
        <v>97</v>
      </c>
      <c r="AB3916" s="2" t="s">
        <v>77</v>
      </c>
      <c r="AC3916" s="2" t="s">
        <v>94</v>
      </c>
      <c r="AF3916" s="2">
        <f t="shared" si="492"/>
        <v>0</v>
      </c>
      <c r="AJ3916" s="2">
        <f t="shared" si="493"/>
        <v>0</v>
      </c>
      <c r="AK3916" s="2">
        <f t="shared" si="491"/>
        <v>0</v>
      </c>
      <c r="AL3916" s="5">
        <f t="shared" si="495"/>
        <v>0</v>
      </c>
    </row>
    <row r="3917" spans="1:38" x14ac:dyDescent="0.2">
      <c r="A3917" s="2">
        <v>2026</v>
      </c>
      <c r="B3917" s="2">
        <v>5</v>
      </c>
      <c r="D3917" s="2" t="s">
        <v>2885</v>
      </c>
      <c r="G3917" s="2">
        <v>506647188</v>
      </c>
      <c r="I3917" s="2" t="s">
        <v>2953</v>
      </c>
      <c r="M3917" s="2" t="s">
        <v>40</v>
      </c>
      <c r="O3917" s="2" t="s">
        <v>2954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94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2"/>
        <v>0</v>
      </c>
      <c r="AG3917" s="2">
        <v>35.931699999999999</v>
      </c>
      <c r="AJ3917" s="2">
        <f t="shared" si="493"/>
        <v>0</v>
      </c>
      <c r="AK3917" s="2">
        <f t="shared" si="491"/>
        <v>69.596600000000009</v>
      </c>
      <c r="AL3917" s="5">
        <f t="shared" si="495"/>
        <v>0.49198784108581933</v>
      </c>
    </row>
    <row r="3918" spans="1:38" x14ac:dyDescent="0.2">
      <c r="A3918" s="2">
        <v>2026</v>
      </c>
      <c r="B3918" s="2">
        <v>5</v>
      </c>
      <c r="D3918" s="2" t="s">
        <v>2885</v>
      </c>
      <c r="M3918" s="2" t="s">
        <v>40</v>
      </c>
      <c r="O3918" s="2" t="s">
        <v>2954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94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2"/>
        <v>0</v>
      </c>
      <c r="AG3918" s="2">
        <v>5.33</v>
      </c>
      <c r="AJ3918" s="2">
        <f t="shared" si="493"/>
        <v>0</v>
      </c>
      <c r="AK3918" s="2">
        <f t="shared" si="491"/>
        <v>60.230000000000004</v>
      </c>
      <c r="AL3918" s="5">
        <f t="shared" si="495"/>
        <v>0.58549625741226796</v>
      </c>
    </row>
    <row r="3919" spans="1:38" x14ac:dyDescent="0.2">
      <c r="A3919" s="2">
        <v>2026</v>
      </c>
      <c r="B3919" s="2">
        <v>5</v>
      </c>
      <c r="D3919" s="2" t="s">
        <v>2139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92"/>
        <v>0</v>
      </c>
      <c r="AG3919" s="2">
        <f>W3919</f>
        <v>-27.400000000000002</v>
      </c>
      <c r="AJ3919" s="2">
        <f t="shared" si="493"/>
        <v>0</v>
      </c>
      <c r="AK3919" s="2">
        <f t="shared" si="491"/>
        <v>-41.099999999999994</v>
      </c>
    </row>
    <row r="3920" spans="1:38" x14ac:dyDescent="0.2">
      <c r="A3920" s="2">
        <v>2026</v>
      </c>
      <c r="B3920" s="2">
        <v>5</v>
      </c>
      <c r="D3920" s="2" t="s">
        <v>2139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92"/>
        <v>0</v>
      </c>
      <c r="AG3920" s="2">
        <f>W3920</f>
        <v>0</v>
      </c>
      <c r="AJ3920" s="2">
        <f t="shared" si="493"/>
        <v>0</v>
      </c>
      <c r="AK3920" s="2">
        <f t="shared" si="491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2955</v>
      </c>
      <c r="P3921" s="2" t="s">
        <v>115</v>
      </c>
      <c r="Q3921" s="2" t="s">
        <v>1154</v>
      </c>
      <c r="R3921" s="2" t="s">
        <v>1155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94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2"/>
        <v>0</v>
      </c>
      <c r="AJ3921" s="2">
        <f t="shared" si="493"/>
        <v>0</v>
      </c>
      <c r="AK3921" s="2">
        <f t="shared" si="491"/>
        <v>146.92000000000002</v>
      </c>
      <c r="AL3921" s="5">
        <f t="shared" si="495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2956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94"/>
        <v>0.29333333333333333</v>
      </c>
      <c r="Z3922" s="2" t="s">
        <v>3237</v>
      </c>
      <c r="AA3922" s="2" t="s">
        <v>46</v>
      </c>
      <c r="AB3922" s="2" t="s">
        <v>57</v>
      </c>
      <c r="AC3922" s="2" t="s">
        <v>58</v>
      </c>
      <c r="AF3922" s="2">
        <f t="shared" si="492"/>
        <v>0</v>
      </c>
      <c r="AG3922" s="2">
        <v>10.6</v>
      </c>
      <c r="AH3922" s="2">
        <v>18</v>
      </c>
      <c r="AJ3922" s="2">
        <f t="shared" si="493"/>
        <v>0</v>
      </c>
      <c r="AK3922" s="2">
        <f t="shared" si="491"/>
        <v>17.600000000000001</v>
      </c>
      <c r="AL3922" s="5">
        <f t="shared" si="495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2957</v>
      </c>
      <c r="P3923" s="2" t="s">
        <v>43</v>
      </c>
      <c r="Q3923" s="2" t="s">
        <v>2877</v>
      </c>
      <c r="R3923" s="2" t="s">
        <v>2878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94"/>
        <v>0.28439999999999999</v>
      </c>
      <c r="Z3923" s="2" t="s">
        <v>3237</v>
      </c>
      <c r="AA3923" s="2" t="s">
        <v>46</v>
      </c>
      <c r="AB3923" s="2" t="s">
        <v>91</v>
      </c>
      <c r="AC3923" s="2" t="s">
        <v>58</v>
      </c>
      <c r="AF3923" s="2">
        <f t="shared" si="492"/>
        <v>0</v>
      </c>
      <c r="AJ3923" s="2">
        <f t="shared" si="493"/>
        <v>0</v>
      </c>
      <c r="AK3923" s="2">
        <f t="shared" si="491"/>
        <v>14.219999999999999</v>
      </c>
      <c r="AL3923" s="5">
        <f t="shared" si="495"/>
        <v>0.28439999999999999</v>
      </c>
    </row>
    <row r="3924" spans="1:38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2958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94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2"/>
        <v>0</v>
      </c>
      <c r="AG3924" s="2">
        <v>35.931699999999999</v>
      </c>
      <c r="AJ3924" s="2">
        <f t="shared" si="493"/>
        <v>0</v>
      </c>
      <c r="AK3924" s="2">
        <f t="shared" si="491"/>
        <v>85.316600000000008</v>
      </c>
      <c r="AL3924" s="5">
        <f t="shared" si="495"/>
        <v>0.54279552105865891</v>
      </c>
    </row>
    <row r="3925" spans="1:38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94"/>
        <v>0.45578623188405798</v>
      </c>
      <c r="Z3925" s="2" t="s">
        <v>3237</v>
      </c>
      <c r="AA3925" s="2" t="s">
        <v>46</v>
      </c>
      <c r="AB3925" s="2" t="s">
        <v>68</v>
      </c>
      <c r="AC3925" s="2" t="s">
        <v>58</v>
      </c>
      <c r="AF3925" s="2">
        <f t="shared" si="492"/>
        <v>0</v>
      </c>
      <c r="AG3925" s="2">
        <v>15.020300000000001</v>
      </c>
      <c r="AH3925" s="2">
        <v>27.6</v>
      </c>
      <c r="AJ3925" s="2">
        <f t="shared" si="493"/>
        <v>0</v>
      </c>
      <c r="AK3925" s="2">
        <f t="shared" si="491"/>
        <v>12.579700000000001</v>
      </c>
      <c r="AL3925" s="5">
        <f t="shared" si="495"/>
        <v>0.45578623188405798</v>
      </c>
    </row>
    <row r="3926" spans="1:38" x14ac:dyDescent="0.2">
      <c r="A3926" s="2">
        <v>2026</v>
      </c>
      <c r="B3926" s="2">
        <v>5</v>
      </c>
      <c r="D3926" s="2" t="s">
        <v>2959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2960</v>
      </c>
      <c r="J3926" s="2" t="s">
        <v>2961</v>
      </c>
      <c r="K3926" s="2">
        <v>962543971</v>
      </c>
      <c r="L3926" s="2" t="s">
        <v>134</v>
      </c>
      <c r="M3926" s="2" t="s">
        <v>110</v>
      </c>
      <c r="O3926" s="2" t="s">
        <v>2962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94"/>
        <v>0.42639130434782607</v>
      </c>
      <c r="Z3926" s="2" t="s">
        <v>3237</v>
      </c>
      <c r="AA3926" s="2" t="s">
        <v>76</v>
      </c>
      <c r="AB3926" s="2" t="s">
        <v>77</v>
      </c>
      <c r="AC3926" s="2" t="s">
        <v>78</v>
      </c>
      <c r="AF3926" s="2">
        <f t="shared" si="492"/>
        <v>0</v>
      </c>
      <c r="AG3926" s="2">
        <v>131.93</v>
      </c>
      <c r="AH3926" s="2">
        <v>220</v>
      </c>
      <c r="AJ3926" s="2">
        <f t="shared" si="493"/>
        <v>0</v>
      </c>
      <c r="AK3926" s="2">
        <f t="shared" si="491"/>
        <v>98.07</v>
      </c>
      <c r="AL3926" s="5">
        <f t="shared" si="495"/>
        <v>0.42639130434782607</v>
      </c>
    </row>
    <row r="3927" spans="1:38" x14ac:dyDescent="0.2">
      <c r="A3927" s="2">
        <v>2026</v>
      </c>
      <c r="B3927" s="2">
        <v>5</v>
      </c>
      <c r="D3927" s="2" t="s">
        <v>2959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94"/>
        <v>0</v>
      </c>
      <c r="Z3927" s="2" t="s">
        <v>3237</v>
      </c>
      <c r="AA3927" s="2" t="s">
        <v>97</v>
      </c>
      <c r="AB3927" s="2" t="s">
        <v>77</v>
      </c>
      <c r="AC3927" s="2" t="s">
        <v>94</v>
      </c>
      <c r="AF3927" s="2">
        <f t="shared" si="492"/>
        <v>0</v>
      </c>
      <c r="AJ3927" s="2">
        <f t="shared" si="493"/>
        <v>0</v>
      </c>
      <c r="AK3927" s="2">
        <f t="shared" si="491"/>
        <v>0</v>
      </c>
      <c r="AL3927" s="5">
        <f t="shared" si="495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2963</v>
      </c>
      <c r="P3928" s="2" t="s">
        <v>43</v>
      </c>
      <c r="Q3928" s="2" t="s">
        <v>2931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94"/>
        <v>0.65133333333333332</v>
      </c>
      <c r="Z3928" s="2" t="s">
        <v>3237</v>
      </c>
      <c r="AA3928" s="2" t="s">
        <v>46</v>
      </c>
      <c r="AB3928" s="2" t="s">
        <v>91</v>
      </c>
      <c r="AC3928" s="2" t="s">
        <v>58</v>
      </c>
      <c r="AF3928" s="2">
        <f t="shared" si="492"/>
        <v>0</v>
      </c>
      <c r="AG3928" s="2">
        <v>5.23</v>
      </c>
      <c r="AH3928" s="2">
        <v>10.8</v>
      </c>
      <c r="AJ3928" s="2">
        <f t="shared" si="493"/>
        <v>0</v>
      </c>
      <c r="AK3928" s="2">
        <f t="shared" si="491"/>
        <v>9.77</v>
      </c>
      <c r="AL3928" s="5">
        <f t="shared" si="495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2963</v>
      </c>
      <c r="P3929" s="2" t="s">
        <v>43</v>
      </c>
      <c r="Q3929" s="2" t="s">
        <v>2932</v>
      </c>
      <c r="R3929" s="2" t="s">
        <v>2933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494"/>
        <v>0.80600000000000005</v>
      </c>
      <c r="Z3929" s="2" t="s">
        <v>3237</v>
      </c>
      <c r="AA3929" s="2" t="s">
        <v>46</v>
      </c>
      <c r="AB3929" s="2" t="s">
        <v>91</v>
      </c>
      <c r="AC3929" s="2" t="s">
        <v>58</v>
      </c>
      <c r="AF3929" s="2">
        <f t="shared" si="492"/>
        <v>0</v>
      </c>
      <c r="AG3929" s="2">
        <v>0.97</v>
      </c>
      <c r="AH3929" s="2">
        <v>6</v>
      </c>
      <c r="AJ3929" s="2">
        <f t="shared" si="493"/>
        <v>0</v>
      </c>
      <c r="AK3929" s="2">
        <f t="shared" si="491"/>
        <v>4.03</v>
      </c>
      <c r="AL3929" s="5">
        <f t="shared" si="495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94"/>
        <v>0.58491111111111116</v>
      </c>
      <c r="Z3930" s="2" t="s">
        <v>3237</v>
      </c>
      <c r="AA3930" s="2" t="s">
        <v>46</v>
      </c>
      <c r="AB3930" s="2" t="s">
        <v>47</v>
      </c>
      <c r="AC3930" s="2" t="s">
        <v>48</v>
      </c>
      <c r="AF3930" s="2">
        <f t="shared" si="492"/>
        <v>0</v>
      </c>
      <c r="AG3930" s="2">
        <v>3.7357999999999998</v>
      </c>
      <c r="AH3930" s="2">
        <v>9</v>
      </c>
      <c r="AJ3930" s="2">
        <f t="shared" si="493"/>
        <v>0</v>
      </c>
      <c r="AK3930" s="2">
        <f t="shared" si="491"/>
        <v>5.2642000000000007</v>
      </c>
      <c r="AL3930" s="5">
        <f t="shared" si="495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94"/>
        <v>0.41111111111111109</v>
      </c>
      <c r="Z3931" s="2" t="s">
        <v>3237</v>
      </c>
      <c r="AA3931" s="2" t="s">
        <v>46</v>
      </c>
      <c r="AB3931" s="2" t="s">
        <v>57</v>
      </c>
      <c r="AC3931" s="2" t="s">
        <v>58</v>
      </c>
      <c r="AF3931" s="2">
        <f t="shared" si="492"/>
        <v>0</v>
      </c>
      <c r="AG3931" s="2">
        <v>10.6</v>
      </c>
      <c r="AH3931" s="2">
        <v>18</v>
      </c>
      <c r="AJ3931" s="2">
        <f t="shared" si="493"/>
        <v>0</v>
      </c>
      <c r="AK3931" s="2">
        <f t="shared" si="491"/>
        <v>37</v>
      </c>
      <c r="AL3931" s="5">
        <f t="shared" si="495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94"/>
        <v>0.24885496183206102</v>
      </c>
      <c r="Z3932" s="2" t="s">
        <v>3237</v>
      </c>
      <c r="AA3932" s="2" t="s">
        <v>46</v>
      </c>
      <c r="AB3932" s="2" t="s">
        <v>61</v>
      </c>
      <c r="AC3932" s="2" t="s">
        <v>58</v>
      </c>
      <c r="AF3932" s="2">
        <f t="shared" si="492"/>
        <v>0</v>
      </c>
      <c r="AG3932" s="2">
        <v>8.1999999999999993</v>
      </c>
      <c r="AH3932" s="2">
        <v>13</v>
      </c>
      <c r="AJ3932" s="2">
        <f t="shared" si="493"/>
        <v>0</v>
      </c>
      <c r="AK3932" s="2">
        <f t="shared" si="491"/>
        <v>32.599999999999994</v>
      </c>
      <c r="AL3932" s="5">
        <f t="shared" si="495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94"/>
        <v>0.42875000000000008</v>
      </c>
      <c r="Z3933" s="2" t="s">
        <v>3237</v>
      </c>
      <c r="AA3933" s="2" t="s">
        <v>46</v>
      </c>
      <c r="AB3933" s="2" t="s">
        <v>61</v>
      </c>
      <c r="AC3933" s="2" t="s">
        <v>58</v>
      </c>
      <c r="AF3933" s="2">
        <f t="shared" si="492"/>
        <v>0</v>
      </c>
      <c r="AJ3933" s="2">
        <f t="shared" si="493"/>
        <v>0</v>
      </c>
      <c r="AK3933" s="2">
        <f t="shared" si="491"/>
        <v>6.8600000000000012</v>
      </c>
      <c r="AL3933" s="5">
        <f t="shared" si="495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94"/>
        <v>0.36923076923076914</v>
      </c>
      <c r="Z3934" s="2" t="s">
        <v>3237</v>
      </c>
      <c r="AA3934" s="2" t="s">
        <v>46</v>
      </c>
      <c r="AB3934" s="2" t="s">
        <v>61</v>
      </c>
      <c r="AC3934" s="2" t="s">
        <v>58</v>
      </c>
      <c r="AF3934" s="2">
        <f t="shared" si="492"/>
        <v>0</v>
      </c>
      <c r="AG3934" s="2">
        <v>8.1999999999999993</v>
      </c>
      <c r="AH3934" s="2">
        <v>13</v>
      </c>
      <c r="AJ3934" s="2">
        <f t="shared" si="493"/>
        <v>0</v>
      </c>
      <c r="AK3934" s="2">
        <f t="shared" si="491"/>
        <v>4.7999999999999989</v>
      </c>
      <c r="AL3934" s="5">
        <f t="shared" si="495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94"/>
        <v>0.42947272727272723</v>
      </c>
      <c r="Z3935" s="2" t="s">
        <v>3237</v>
      </c>
      <c r="AA3935" s="2" t="s">
        <v>76</v>
      </c>
      <c r="AB3935" s="2" t="s">
        <v>77</v>
      </c>
      <c r="AC3935" s="2" t="s">
        <v>78</v>
      </c>
      <c r="AF3935" s="2">
        <f t="shared" si="492"/>
        <v>0</v>
      </c>
      <c r="AG3935" s="2">
        <v>125.51600000000001</v>
      </c>
      <c r="AH3935" s="2">
        <v>220</v>
      </c>
      <c r="AJ3935" s="2">
        <f t="shared" si="493"/>
        <v>0</v>
      </c>
      <c r="AK3935" s="2">
        <f t="shared" si="491"/>
        <v>94.483999999999995</v>
      </c>
      <c r="AL3935" s="5">
        <f t="shared" si="495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94"/>
        <v>1</v>
      </c>
      <c r="Z3936" s="2" t="s">
        <v>3237</v>
      </c>
      <c r="AA3936" s="2" t="s">
        <v>97</v>
      </c>
      <c r="AB3936" s="2" t="s">
        <v>77</v>
      </c>
      <c r="AC3936" s="2" t="s">
        <v>94</v>
      </c>
      <c r="AF3936" s="2">
        <f t="shared" si="492"/>
        <v>0</v>
      </c>
      <c r="AJ3936" s="2">
        <f t="shared" si="493"/>
        <v>0</v>
      </c>
      <c r="AK3936" s="2">
        <f t="shared" si="491"/>
        <v>1.48</v>
      </c>
      <c r="AL3936" s="5">
        <f t="shared" si="495"/>
        <v>1</v>
      </c>
    </row>
    <row r="3937" spans="1:38" x14ac:dyDescent="0.2">
      <c r="A3937" s="2">
        <v>2026</v>
      </c>
      <c r="B3937" s="2">
        <v>5</v>
      </c>
      <c r="D3937" s="2" t="s">
        <v>1020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1021</v>
      </c>
      <c r="J3937" s="2" t="s">
        <v>1022</v>
      </c>
      <c r="L3937" s="2" t="s">
        <v>294</v>
      </c>
      <c r="M3937" s="2" t="s">
        <v>81</v>
      </c>
      <c r="O3937" s="2" t="s">
        <v>2964</v>
      </c>
      <c r="P3937" s="2" t="s">
        <v>1041</v>
      </c>
      <c r="Q3937" s="2" t="s">
        <v>2965</v>
      </c>
      <c r="R3937" s="2" t="s">
        <v>2966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94"/>
        <v>0.35232383808095952</v>
      </c>
      <c r="Z3937" s="2" t="s">
        <v>3237</v>
      </c>
      <c r="AA3937" s="2" t="s">
        <v>76</v>
      </c>
      <c r="AB3937" s="2" t="s">
        <v>77</v>
      </c>
      <c r="AC3937" s="2" t="s">
        <v>1041</v>
      </c>
      <c r="AF3937" s="2">
        <f t="shared" si="492"/>
        <v>0</v>
      </c>
      <c r="AJ3937" s="2">
        <f t="shared" si="493"/>
        <v>0</v>
      </c>
      <c r="AK3937" s="2">
        <f t="shared" si="491"/>
        <v>94</v>
      </c>
      <c r="AL3937" s="5">
        <f t="shared" si="495"/>
        <v>0.35232383808095952</v>
      </c>
    </row>
    <row r="3938" spans="1:38" x14ac:dyDescent="0.2">
      <c r="A3938" s="2">
        <v>2026</v>
      </c>
      <c r="B3938" s="2">
        <v>5</v>
      </c>
      <c r="D3938" s="2" t="s">
        <v>1020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1021</v>
      </c>
      <c r="J3938" s="2" t="s">
        <v>1022</v>
      </c>
      <c r="L3938" s="2" t="s">
        <v>294</v>
      </c>
      <c r="M3938" s="2" t="s">
        <v>81</v>
      </c>
      <c r="O3938" s="2" t="s">
        <v>2964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94"/>
        <v>0</v>
      </c>
      <c r="Z3938" s="2" t="s">
        <v>3237</v>
      </c>
      <c r="AA3938" s="2" t="s">
        <v>97</v>
      </c>
      <c r="AB3938" s="2" t="s">
        <v>77</v>
      </c>
      <c r="AC3938" s="2" t="s">
        <v>94</v>
      </c>
      <c r="AF3938" s="2">
        <f t="shared" si="492"/>
        <v>0</v>
      </c>
      <c r="AG3938" s="2">
        <v>1.48</v>
      </c>
      <c r="AH3938" s="2">
        <v>1.48</v>
      </c>
      <c r="AJ3938" s="2">
        <f t="shared" si="493"/>
        <v>0</v>
      </c>
      <c r="AK3938" s="2">
        <f t="shared" si="491"/>
        <v>0</v>
      </c>
      <c r="AL3938" s="5">
        <f t="shared" si="495"/>
        <v>0</v>
      </c>
    </row>
    <row r="3939" spans="1:38" x14ac:dyDescent="0.2">
      <c r="A3939" s="2">
        <v>2026</v>
      </c>
      <c r="B3939" s="2">
        <v>5</v>
      </c>
      <c r="D3939" s="2" t="s">
        <v>1909</v>
      </c>
      <c r="G3939" s="2">
        <v>505757486</v>
      </c>
      <c r="I3939" s="2" t="s">
        <v>2967</v>
      </c>
      <c r="M3939" s="2" t="s">
        <v>81</v>
      </c>
      <c r="O3939" s="2" t="s">
        <v>2968</v>
      </c>
      <c r="P3939" s="2" t="s">
        <v>73</v>
      </c>
      <c r="Q3939" s="2" t="s">
        <v>1078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94"/>
        <v>0.38066770186335414</v>
      </c>
      <c r="Z3939" s="2" t="s">
        <v>3237</v>
      </c>
      <c r="AA3939" s="2" t="s">
        <v>76</v>
      </c>
      <c r="AB3939" s="2" t="s">
        <v>77</v>
      </c>
      <c r="AC3939" s="2" t="s">
        <v>78</v>
      </c>
      <c r="AF3939" s="2">
        <f t="shared" si="492"/>
        <v>0</v>
      </c>
      <c r="AG3939" s="2">
        <f>144.14+15.4</f>
        <v>159.54</v>
      </c>
      <c r="AH3939" s="2">
        <v>280</v>
      </c>
      <c r="AJ3939" s="2">
        <f t="shared" si="493"/>
        <v>0</v>
      </c>
      <c r="AK3939" s="2">
        <f t="shared" si="491"/>
        <v>98.060000000000031</v>
      </c>
      <c r="AL3939" s="5">
        <f t="shared" si="495"/>
        <v>0.38066770186335414</v>
      </c>
    </row>
    <row r="3940" spans="1:38" x14ac:dyDescent="0.2">
      <c r="A3940" s="2">
        <v>2026</v>
      </c>
      <c r="B3940" s="2">
        <v>5</v>
      </c>
      <c r="D3940" s="2" t="s">
        <v>1909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94"/>
        <v>0</v>
      </c>
      <c r="Z3940" s="2" t="s">
        <v>3237</v>
      </c>
      <c r="AA3940" s="2" t="s">
        <v>97</v>
      </c>
      <c r="AB3940" s="2" t="s">
        <v>77</v>
      </c>
      <c r="AC3940" s="2" t="s">
        <v>94</v>
      </c>
      <c r="AF3940" s="2">
        <f t="shared" si="492"/>
        <v>0</v>
      </c>
      <c r="AJ3940" s="2">
        <f t="shared" si="493"/>
        <v>0</v>
      </c>
      <c r="AK3940" s="2">
        <f t="shared" si="491"/>
        <v>0</v>
      </c>
      <c r="AL3940" s="5">
        <f t="shared" si="495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2"/>
        <v>0</v>
      </c>
      <c r="AJ3941" s="2">
        <f t="shared" si="493"/>
        <v>0</v>
      </c>
    </row>
    <row r="3942" spans="1:38" x14ac:dyDescent="0.2">
      <c r="A3942" s="2">
        <v>2026</v>
      </c>
      <c r="B3942" s="2">
        <v>5</v>
      </c>
      <c r="D3942" s="2" t="s">
        <v>2969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2970</v>
      </c>
      <c r="J3942" s="2" t="s">
        <v>2971</v>
      </c>
      <c r="K3942" s="2">
        <v>966567958</v>
      </c>
      <c r="L3942" s="2" t="s">
        <v>345</v>
      </c>
      <c r="M3942" s="2" t="s">
        <v>81</v>
      </c>
      <c r="O3942" s="2" t="s">
        <v>2972</v>
      </c>
      <c r="P3942" s="2" t="s">
        <v>283</v>
      </c>
      <c r="Q3942" s="2" t="s">
        <v>1440</v>
      </c>
      <c r="R3942" s="2" t="s">
        <v>1441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96">(T3942-W3942)/T3942</f>
        <v>0.25579710144927542</v>
      </c>
      <c r="Z3942" s="2" t="s">
        <v>3237</v>
      </c>
      <c r="AA3942" s="2" t="s">
        <v>72</v>
      </c>
      <c r="AB3942" s="2" t="s">
        <v>120</v>
      </c>
      <c r="AC3942" s="2" t="s">
        <v>120</v>
      </c>
      <c r="AF3942" s="2">
        <f t="shared" si="492"/>
        <v>0</v>
      </c>
      <c r="AG3942" s="2">
        <v>5.1349999999999998</v>
      </c>
      <c r="AJ3942" s="2">
        <f t="shared" si="493"/>
        <v>0</v>
      </c>
      <c r="AK3942" s="2">
        <f t="shared" si="491"/>
        <v>17.650000000000006</v>
      </c>
      <c r="AL3942" s="5">
        <f t="shared" ref="AL3942:AL3947" si="497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2969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2970</v>
      </c>
      <c r="J3943" s="2" t="s">
        <v>2971</v>
      </c>
      <c r="K3943" s="2">
        <v>966567958</v>
      </c>
      <c r="L3943" s="2" t="s">
        <v>345</v>
      </c>
      <c r="M3943" s="2" t="s">
        <v>81</v>
      </c>
      <c r="O3943" s="2" t="s">
        <v>2972</v>
      </c>
      <c r="P3943" s="2" t="s">
        <v>283</v>
      </c>
      <c r="Q3943" s="2" t="s">
        <v>1595</v>
      </c>
      <c r="R3943" s="2" t="s">
        <v>1596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96"/>
        <v>0.25579710144927542</v>
      </c>
      <c r="Z3943" s="2" t="s">
        <v>3237</v>
      </c>
      <c r="AA3943" s="2" t="s">
        <v>72</v>
      </c>
      <c r="AB3943" s="2" t="s">
        <v>120</v>
      </c>
      <c r="AC3943" s="2" t="s">
        <v>120</v>
      </c>
      <c r="AF3943" s="2">
        <f t="shared" si="492"/>
        <v>0</v>
      </c>
      <c r="AG3943" s="2">
        <v>5.1349999999999998</v>
      </c>
      <c r="AJ3943" s="2">
        <f t="shared" si="493"/>
        <v>0</v>
      </c>
      <c r="AK3943" s="2">
        <f t="shared" si="491"/>
        <v>17.650000000000006</v>
      </c>
      <c r="AL3943" s="5">
        <f t="shared" si="497"/>
        <v>0.25579710144927542</v>
      </c>
    </row>
    <row r="3944" spans="1:38" x14ac:dyDescent="0.2">
      <c r="A3944" s="2">
        <v>2026</v>
      </c>
      <c r="B3944" s="2">
        <v>5</v>
      </c>
      <c r="D3944" s="2" t="s">
        <v>2969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2970</v>
      </c>
      <c r="J3944" s="2" t="s">
        <v>2971</v>
      </c>
      <c r="K3944" s="2">
        <v>966567958</v>
      </c>
      <c r="L3944" s="2" t="s">
        <v>345</v>
      </c>
      <c r="M3944" s="2" t="s">
        <v>81</v>
      </c>
      <c r="O3944" s="2" t="s">
        <v>2972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96"/>
        <v>0.31428571428571428</v>
      </c>
      <c r="Z3944" s="2" t="s">
        <v>3237</v>
      </c>
      <c r="AA3944" s="2" t="s">
        <v>46</v>
      </c>
      <c r="AB3944" s="2" t="s">
        <v>47</v>
      </c>
      <c r="AC3944" s="2" t="s">
        <v>48</v>
      </c>
      <c r="AF3944" s="2">
        <f t="shared" si="492"/>
        <v>0</v>
      </c>
      <c r="AG3944" s="2">
        <v>14.4</v>
      </c>
      <c r="AH3944" s="2">
        <v>21</v>
      </c>
      <c r="AJ3944" s="2">
        <f t="shared" si="493"/>
        <v>0</v>
      </c>
      <c r="AK3944" s="2">
        <f t="shared" si="491"/>
        <v>6.6</v>
      </c>
      <c r="AL3944" s="5">
        <f t="shared" si="497"/>
        <v>0.31428571428571428</v>
      </c>
    </row>
    <row r="3945" spans="1:38" x14ac:dyDescent="0.2">
      <c r="A3945" s="2">
        <v>2026</v>
      </c>
      <c r="B3945" s="2">
        <v>5</v>
      </c>
      <c r="D3945" s="2" t="s">
        <v>2969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2970</v>
      </c>
      <c r="J3945" s="2" t="s">
        <v>2971</v>
      </c>
      <c r="K3945" s="2">
        <v>966567958</v>
      </c>
      <c r="L3945" s="2" t="s">
        <v>345</v>
      </c>
      <c r="M3945" s="2" t="s">
        <v>81</v>
      </c>
      <c r="O3945" s="2" t="s">
        <v>2972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96"/>
        <v>0.61904761904761907</v>
      </c>
      <c r="Z3945" s="2" t="s">
        <v>3237</v>
      </c>
      <c r="AA3945" s="2" t="s">
        <v>46</v>
      </c>
      <c r="AB3945" s="2" t="s">
        <v>47</v>
      </c>
      <c r="AC3945" s="2" t="s">
        <v>48</v>
      </c>
      <c r="AF3945" s="2">
        <f t="shared" si="492"/>
        <v>0</v>
      </c>
      <c r="AJ3945" s="2">
        <f t="shared" si="493"/>
        <v>0</v>
      </c>
      <c r="AK3945" s="2">
        <f t="shared" si="491"/>
        <v>26</v>
      </c>
      <c r="AL3945" s="5">
        <f t="shared" si="497"/>
        <v>0.61904761904761907</v>
      </c>
    </row>
    <row r="3946" spans="1:38" x14ac:dyDescent="0.2">
      <c r="A3946" s="2">
        <v>2026</v>
      </c>
      <c r="B3946" s="2">
        <v>5</v>
      </c>
      <c r="D3946" s="2" t="s">
        <v>2969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2970</v>
      </c>
      <c r="J3946" s="2" t="s">
        <v>2971</v>
      </c>
      <c r="K3946" s="2">
        <v>966567958</v>
      </c>
      <c r="L3946" s="2" t="s">
        <v>345</v>
      </c>
      <c r="M3946" s="2" t="s">
        <v>81</v>
      </c>
      <c r="O3946" s="2" t="s">
        <v>2972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96"/>
        <v>0.48696666666666666</v>
      </c>
      <c r="Z3946" s="2" t="s">
        <v>3237</v>
      </c>
      <c r="AA3946" s="2" t="s">
        <v>46</v>
      </c>
      <c r="AB3946" s="2" t="s">
        <v>57</v>
      </c>
      <c r="AC3946" s="2" t="s">
        <v>58</v>
      </c>
      <c r="AF3946" s="2">
        <f t="shared" si="492"/>
        <v>0</v>
      </c>
      <c r="AG3946" s="2">
        <v>9.2346000000000004</v>
      </c>
      <c r="AJ3946" s="2">
        <f t="shared" si="493"/>
        <v>0</v>
      </c>
      <c r="AK3946" s="2">
        <f t="shared" si="491"/>
        <v>8.7653999999999996</v>
      </c>
      <c r="AL3946" s="5">
        <f t="shared" si="497"/>
        <v>0.48696666666666666</v>
      </c>
    </row>
    <row r="3947" spans="1:38" x14ac:dyDescent="0.2">
      <c r="A3947" s="2">
        <v>2026</v>
      </c>
      <c r="B3947" s="2">
        <v>5</v>
      </c>
      <c r="D3947" s="2" t="s">
        <v>2969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2970</v>
      </c>
      <c r="J3947" s="2" t="s">
        <v>2971</v>
      </c>
      <c r="K3947" s="2">
        <v>966567958</v>
      </c>
      <c r="L3947" s="2" t="s">
        <v>345</v>
      </c>
      <c r="M3947" s="2" t="s">
        <v>81</v>
      </c>
      <c r="O3947" s="2" t="s">
        <v>2972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96"/>
        <v>0.25454545454545452</v>
      </c>
      <c r="Z3947" s="2" t="s">
        <v>3237</v>
      </c>
      <c r="AA3947" s="2" t="s">
        <v>46</v>
      </c>
      <c r="AB3947" s="2" t="s">
        <v>61</v>
      </c>
      <c r="AC3947" s="2" t="s">
        <v>58</v>
      </c>
      <c r="AF3947" s="2">
        <f t="shared" si="492"/>
        <v>0</v>
      </c>
      <c r="AG3947" s="2">
        <v>8.1999999999999993</v>
      </c>
      <c r="AH3947" s="2">
        <v>13</v>
      </c>
      <c r="AJ3947" s="2">
        <f t="shared" si="493"/>
        <v>0</v>
      </c>
      <c r="AK3947" s="2">
        <f t="shared" si="491"/>
        <v>28</v>
      </c>
      <c r="AL3947" s="5">
        <f t="shared" si="497"/>
        <v>0.25454545454545452</v>
      </c>
    </row>
    <row r="3948" spans="1:38" x14ac:dyDescent="0.2">
      <c r="A3948" s="2">
        <v>2026</v>
      </c>
      <c r="B3948" s="2">
        <v>5</v>
      </c>
      <c r="D3948" s="2" t="s">
        <v>2969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2970</v>
      </c>
      <c r="J3948" s="2" t="s">
        <v>2971</v>
      </c>
      <c r="K3948" s="2">
        <v>966567958</v>
      </c>
      <c r="L3948" s="2" t="s">
        <v>345</v>
      </c>
      <c r="M3948" s="2" t="s">
        <v>81</v>
      </c>
      <c r="O3948" s="2" t="s">
        <v>2972</v>
      </c>
      <c r="P3948" s="2" t="s">
        <v>43</v>
      </c>
      <c r="Q3948" s="2" t="s">
        <v>2973</v>
      </c>
      <c r="R3948" s="2" t="s">
        <v>2974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3237</v>
      </c>
      <c r="AA3948" s="2" t="s">
        <v>46</v>
      </c>
      <c r="AB3948" s="2" t="s">
        <v>57</v>
      </c>
      <c r="AC3948" s="2" t="s">
        <v>58</v>
      </c>
      <c r="AF3948" s="2">
        <f t="shared" si="492"/>
        <v>0</v>
      </c>
      <c r="AG3948" s="2">
        <v>19.68</v>
      </c>
      <c r="AJ3948" s="2">
        <f t="shared" si="493"/>
        <v>0</v>
      </c>
      <c r="AK3948" s="2">
        <f t="shared" si="491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2969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2970</v>
      </c>
      <c r="J3949" s="2" t="s">
        <v>2971</v>
      </c>
      <c r="K3949" s="2">
        <v>966567958</v>
      </c>
      <c r="L3949" s="2" t="s">
        <v>345</v>
      </c>
      <c r="M3949" s="2" t="s">
        <v>81</v>
      </c>
      <c r="O3949" s="2" t="s">
        <v>2972</v>
      </c>
      <c r="P3949" s="2" t="s">
        <v>43</v>
      </c>
      <c r="Q3949" s="2" t="s">
        <v>2975</v>
      </c>
      <c r="R3949" s="2" t="s">
        <v>2976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3237</v>
      </c>
      <c r="AA3949" s="2" t="s">
        <v>46</v>
      </c>
      <c r="AB3949" s="2" t="s">
        <v>57</v>
      </c>
      <c r="AC3949" s="2" t="s">
        <v>58</v>
      </c>
      <c r="AF3949" s="2">
        <f t="shared" si="492"/>
        <v>0</v>
      </c>
      <c r="AG3949" s="2">
        <v>11.525</v>
      </c>
      <c r="AJ3949" s="2">
        <f t="shared" si="493"/>
        <v>0</v>
      </c>
      <c r="AK3949" s="2">
        <f t="shared" si="491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2246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2977</v>
      </c>
      <c r="J3950" s="2" t="s">
        <v>2978</v>
      </c>
      <c r="K3950" s="2">
        <v>939310247</v>
      </c>
      <c r="L3950" s="2" t="s">
        <v>462</v>
      </c>
      <c r="M3950" s="2" t="s">
        <v>40</v>
      </c>
      <c r="O3950" s="2" t="s">
        <v>2979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2"/>
        <v>0</v>
      </c>
      <c r="AG3950" s="2">
        <v>25.2</v>
      </c>
      <c r="AJ3950" s="2">
        <f t="shared" si="493"/>
        <v>0</v>
      </c>
      <c r="AK3950" s="2">
        <f t="shared" si="491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2980</v>
      </c>
      <c r="P3951" s="2" t="s">
        <v>115</v>
      </c>
      <c r="Q3951" s="2" t="s">
        <v>1585</v>
      </c>
      <c r="R3951" s="2" t="s">
        <v>1586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2"/>
        <v>0</v>
      </c>
      <c r="AG3951" s="2">
        <f>4893.23+171</f>
        <v>5064.2299999999996</v>
      </c>
      <c r="AJ3951" s="2">
        <f t="shared" si="493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2981</v>
      </c>
      <c r="P3952" s="2" t="s">
        <v>115</v>
      </c>
      <c r="Q3952" s="2" t="s">
        <v>958</v>
      </c>
      <c r="R3952" s="2" t="s">
        <v>959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8">(T3952-W3952)/T3952</f>
        <v>0.34856696878147031</v>
      </c>
      <c r="Z3952" s="2" t="s">
        <v>105</v>
      </c>
      <c r="AA3952" s="2" t="s">
        <v>617</v>
      </c>
      <c r="AB3952" s="2" t="s">
        <v>960</v>
      </c>
      <c r="AC3952" s="2" t="s">
        <v>115</v>
      </c>
      <c r="AF3952" s="2">
        <f t="shared" si="492"/>
        <v>0</v>
      </c>
      <c r="AG3952" s="2">
        <v>6468.73</v>
      </c>
      <c r="AJ3952" s="2">
        <f t="shared" si="493"/>
        <v>0</v>
      </c>
      <c r="AK3952" s="2">
        <f t="shared" ref="AK3952:AK3983" si="499">T3952-W3952</f>
        <v>3461.2700000000004</v>
      </c>
      <c r="AL3952" s="5">
        <f t="shared" ref="AL3952:AL3983" si="500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2982</v>
      </c>
      <c r="P3953" s="2" t="s">
        <v>3241</v>
      </c>
      <c r="Q3953" s="2" t="s">
        <v>2983</v>
      </c>
      <c r="R3953" s="2" t="s">
        <v>2984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8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3241</v>
      </c>
      <c r="AF3953" s="2">
        <f t="shared" si="492"/>
        <v>0</v>
      </c>
      <c r="AJ3953" s="2">
        <f t="shared" si="493"/>
        <v>0</v>
      </c>
      <c r="AK3953" s="2">
        <f t="shared" si="499"/>
        <v>1163.8</v>
      </c>
      <c r="AL3953" s="5">
        <f t="shared" si="500"/>
        <v>0.47308943089430894</v>
      </c>
    </row>
    <row r="3954" spans="1:38" x14ac:dyDescent="0.2">
      <c r="A3954" s="2">
        <v>2026</v>
      </c>
      <c r="B3954" s="2">
        <v>5</v>
      </c>
      <c r="D3954" s="2" t="s">
        <v>2575</v>
      </c>
      <c r="P3954" s="2" t="s">
        <v>73</v>
      </c>
      <c r="Q3954" s="2" t="s">
        <v>1453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8"/>
        <v>0.46762608695652175</v>
      </c>
      <c r="Z3954" s="2" t="s">
        <v>3237</v>
      </c>
      <c r="AA3954" s="2" t="s">
        <v>76</v>
      </c>
      <c r="AB3954" s="2" t="s">
        <v>77</v>
      </c>
      <c r="AC3954" s="2" t="s">
        <v>78</v>
      </c>
      <c r="AF3954" s="2">
        <f t="shared" si="492"/>
        <v>0</v>
      </c>
      <c r="AG3954" s="2">
        <v>122.446</v>
      </c>
      <c r="AH3954" s="2">
        <v>230</v>
      </c>
      <c r="AJ3954" s="2">
        <f t="shared" si="493"/>
        <v>0</v>
      </c>
      <c r="AK3954" s="2">
        <f t="shared" si="499"/>
        <v>107.554</v>
      </c>
      <c r="AL3954" s="5">
        <f t="shared" si="500"/>
        <v>0.46762608695652175</v>
      </c>
    </row>
    <row r="3955" spans="1:38" x14ac:dyDescent="0.2">
      <c r="A3955" s="2">
        <v>2026</v>
      </c>
      <c r="B3955" s="2">
        <v>5</v>
      </c>
      <c r="D3955" s="2" t="s">
        <v>2575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8"/>
        <v>0</v>
      </c>
      <c r="Z3955" s="2" t="s">
        <v>3237</v>
      </c>
      <c r="AA3955" s="2" t="s">
        <v>97</v>
      </c>
      <c r="AB3955" s="2" t="s">
        <v>77</v>
      </c>
      <c r="AC3955" s="2" t="s">
        <v>94</v>
      </c>
      <c r="AF3955" s="2">
        <f t="shared" si="492"/>
        <v>0</v>
      </c>
      <c r="AJ3955" s="2">
        <f t="shared" si="493"/>
        <v>0</v>
      </c>
      <c r="AK3955" s="2">
        <f t="shared" si="499"/>
        <v>0</v>
      </c>
      <c r="AL3955" s="5">
        <f t="shared" si="500"/>
        <v>0</v>
      </c>
    </row>
    <row r="3956" spans="1:38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2985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8"/>
        <v>0.44777500000000003</v>
      </c>
      <c r="Z3956" s="2" t="s">
        <v>3237</v>
      </c>
      <c r="AA3956" s="2" t="s">
        <v>46</v>
      </c>
      <c r="AB3956" s="2" t="s">
        <v>47</v>
      </c>
      <c r="AC3956" s="2" t="s">
        <v>48</v>
      </c>
      <c r="AF3956" s="2">
        <f t="shared" si="492"/>
        <v>0</v>
      </c>
      <c r="AG3956" s="2">
        <v>6.6266999999999996</v>
      </c>
      <c r="AH3956" s="2">
        <v>12</v>
      </c>
      <c r="AJ3956" s="2">
        <f t="shared" si="493"/>
        <v>0</v>
      </c>
      <c r="AK3956" s="2">
        <f t="shared" si="499"/>
        <v>5.3733000000000004</v>
      </c>
      <c r="AL3956" s="5">
        <f t="shared" si="500"/>
        <v>0.44777500000000003</v>
      </c>
    </row>
    <row r="3957" spans="1:38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2985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8"/>
        <v>0.41111111111111115</v>
      </c>
      <c r="Z3957" s="2" t="s">
        <v>3237</v>
      </c>
      <c r="AA3957" s="2" t="s">
        <v>46</v>
      </c>
      <c r="AB3957" s="2" t="s">
        <v>57</v>
      </c>
      <c r="AC3957" s="2" t="s">
        <v>58</v>
      </c>
      <c r="AF3957" s="2">
        <f t="shared" si="492"/>
        <v>0</v>
      </c>
      <c r="AG3957" s="2">
        <v>10.6</v>
      </c>
      <c r="AH3957" s="2">
        <v>18</v>
      </c>
      <c r="AJ3957" s="2">
        <f t="shared" si="493"/>
        <v>0</v>
      </c>
      <c r="AK3957" s="2">
        <f t="shared" si="499"/>
        <v>14.8</v>
      </c>
      <c r="AL3957" s="5">
        <f t="shared" si="500"/>
        <v>0.41111111111111115</v>
      </c>
    </row>
    <row r="3958" spans="1:38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2986</v>
      </c>
      <c r="P3958" s="2" t="s">
        <v>115</v>
      </c>
      <c r="Q3958" s="2" t="s">
        <v>1387</v>
      </c>
      <c r="R3958" s="2" t="s">
        <v>1388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8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2"/>
        <v>0</v>
      </c>
      <c r="AG3958" s="2">
        <v>71.381</v>
      </c>
      <c r="AJ3958" s="2">
        <f t="shared" si="493"/>
        <v>0</v>
      </c>
      <c r="AK3958" s="2">
        <f t="shared" si="499"/>
        <v>81.028999999999996</v>
      </c>
      <c r="AL3958" s="5">
        <f t="shared" si="500"/>
        <v>0.53165146643921002</v>
      </c>
    </row>
    <row r="3959" spans="1:38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2986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8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2"/>
        <v>0</v>
      </c>
      <c r="AG3959" s="2">
        <f>9.75+0.63</f>
        <v>10.38</v>
      </c>
      <c r="AJ3959" s="2">
        <f t="shared" si="493"/>
        <v>0</v>
      </c>
      <c r="AK3959" s="2">
        <f t="shared" si="499"/>
        <v>22.23</v>
      </c>
      <c r="AL3959" s="5">
        <f t="shared" si="500"/>
        <v>0.51709699930216324</v>
      </c>
    </row>
    <row r="3960" spans="1:38" x14ac:dyDescent="0.2">
      <c r="A3960" s="2">
        <v>2026</v>
      </c>
      <c r="B3960" s="2">
        <v>5</v>
      </c>
      <c r="D3960" s="2" t="s">
        <v>1259</v>
      </c>
      <c r="P3960" s="2" t="s">
        <v>73</v>
      </c>
      <c r="Q3960" s="2" t="s">
        <v>1453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8"/>
        <v>0.46762608695652175</v>
      </c>
      <c r="Z3960" s="2" t="s">
        <v>3237</v>
      </c>
      <c r="AA3960" s="2" t="s">
        <v>76</v>
      </c>
      <c r="AB3960" s="2" t="s">
        <v>77</v>
      </c>
      <c r="AC3960" s="2" t="s">
        <v>78</v>
      </c>
      <c r="AF3960" s="2">
        <f t="shared" si="492"/>
        <v>0</v>
      </c>
      <c r="AG3960" s="2">
        <v>122.446</v>
      </c>
      <c r="AH3960" s="2">
        <v>230</v>
      </c>
      <c r="AJ3960" s="2">
        <f t="shared" si="493"/>
        <v>0</v>
      </c>
      <c r="AK3960" s="2">
        <f t="shared" si="499"/>
        <v>107.554</v>
      </c>
      <c r="AL3960" s="5">
        <f t="shared" si="500"/>
        <v>0.46762608695652175</v>
      </c>
    </row>
    <row r="3961" spans="1:38" x14ac:dyDescent="0.2">
      <c r="A3961" s="2">
        <v>2026</v>
      </c>
      <c r="B3961" s="2">
        <v>5</v>
      </c>
      <c r="D3961" s="2" t="s">
        <v>1259</v>
      </c>
      <c r="P3961" s="2" t="s">
        <v>1041</v>
      </c>
      <c r="Q3961" s="2" t="s">
        <v>2987</v>
      </c>
      <c r="R3961" s="2" t="s">
        <v>2988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8"/>
        <v>0.41537037037037039</v>
      </c>
      <c r="Z3961" s="2" t="s">
        <v>3237</v>
      </c>
      <c r="AA3961" s="2" t="s">
        <v>76</v>
      </c>
      <c r="AB3961" s="2" t="s">
        <v>77</v>
      </c>
      <c r="AC3961" s="2" t="s">
        <v>1041</v>
      </c>
      <c r="AF3961" s="2">
        <f t="shared" si="492"/>
        <v>0</v>
      </c>
      <c r="AJ3961" s="2">
        <f t="shared" si="493"/>
        <v>0</v>
      </c>
      <c r="AK3961" s="2">
        <f t="shared" si="499"/>
        <v>112.15</v>
      </c>
      <c r="AL3961" s="5">
        <f t="shared" si="500"/>
        <v>0.41537037037037039</v>
      </c>
    </row>
    <row r="3962" spans="1:38" x14ac:dyDescent="0.2">
      <c r="A3962" s="2">
        <v>2026</v>
      </c>
      <c r="B3962" s="2">
        <v>5</v>
      </c>
      <c r="D3962" s="2" t="s">
        <v>1259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8"/>
        <v>0</v>
      </c>
      <c r="Z3962" s="2" t="s">
        <v>3237</v>
      </c>
      <c r="AA3962" s="2" t="s">
        <v>97</v>
      </c>
      <c r="AB3962" s="2" t="s">
        <v>77</v>
      </c>
      <c r="AC3962" s="2" t="s">
        <v>94</v>
      </c>
      <c r="AF3962" s="2">
        <f t="shared" si="492"/>
        <v>0</v>
      </c>
      <c r="AJ3962" s="2">
        <f t="shared" si="493"/>
        <v>0</v>
      </c>
      <c r="AK3962" s="2">
        <f t="shared" si="499"/>
        <v>0</v>
      </c>
      <c r="AL3962" s="5">
        <f t="shared" si="500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2989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8"/>
        <v>1</v>
      </c>
      <c r="Z3963" s="2" t="s">
        <v>120</v>
      </c>
      <c r="AA3963" s="2" t="s">
        <v>493</v>
      </c>
      <c r="AF3963" s="2">
        <f t="shared" si="492"/>
        <v>0</v>
      </c>
      <c r="AJ3963" s="2">
        <f t="shared" si="493"/>
        <v>0</v>
      </c>
      <c r="AK3963" s="2">
        <f t="shared" si="499"/>
        <v>1357.82</v>
      </c>
      <c r="AL3963" s="5">
        <f t="shared" si="500"/>
        <v>1</v>
      </c>
    </row>
    <row r="3964" spans="1:38" x14ac:dyDescent="0.2">
      <c r="A3964" s="2">
        <v>2026</v>
      </c>
      <c r="B3964" s="2">
        <v>5</v>
      </c>
      <c r="D3964" s="2" t="s">
        <v>2990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2991</v>
      </c>
      <c r="J3964" s="2" t="s">
        <v>1105</v>
      </c>
      <c r="K3964" s="2">
        <v>934645042</v>
      </c>
      <c r="L3964" s="2" t="s">
        <v>100</v>
      </c>
      <c r="M3964" s="2" t="s">
        <v>40</v>
      </c>
      <c r="O3964" s="2" t="s">
        <v>2992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8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2"/>
        <v>0</v>
      </c>
      <c r="AG3964" s="2">
        <f>88.6+1.81</f>
        <v>90.41</v>
      </c>
      <c r="AJ3964" s="2">
        <f t="shared" si="493"/>
        <v>0</v>
      </c>
      <c r="AK3964" s="2">
        <f t="shared" si="499"/>
        <v>97.509999999999991</v>
      </c>
      <c r="AL3964" s="5">
        <f t="shared" si="500"/>
        <v>0.51889101745423583</v>
      </c>
    </row>
    <row r="3965" spans="1:38" x14ac:dyDescent="0.2">
      <c r="A3965" s="2">
        <v>2026</v>
      </c>
      <c r="B3965" s="2">
        <v>5</v>
      </c>
      <c r="D3965" s="2" t="s">
        <v>2990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2991</v>
      </c>
      <c r="J3965" s="2" t="s">
        <v>1105</v>
      </c>
      <c r="K3965" s="2">
        <v>934645042</v>
      </c>
      <c r="L3965" s="2" t="s">
        <v>100</v>
      </c>
      <c r="M3965" s="2" t="s">
        <v>40</v>
      </c>
      <c r="O3965" s="2" t="s">
        <v>2992</v>
      </c>
      <c r="P3965" s="2" t="s">
        <v>115</v>
      </c>
      <c r="Q3965" s="2" t="s">
        <v>797</v>
      </c>
      <c r="R3965" s="2" t="s">
        <v>2993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8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2"/>
        <v>0</v>
      </c>
      <c r="AG3965" s="2">
        <f>12.87+0.3</f>
        <v>13.17</v>
      </c>
      <c r="AJ3965" s="2">
        <f t="shared" si="493"/>
        <v>0</v>
      </c>
      <c r="AK3965" s="2">
        <f t="shared" si="499"/>
        <v>15.209999999999999</v>
      </c>
      <c r="AL3965" s="5">
        <f t="shared" si="500"/>
        <v>0.53594080338266381</v>
      </c>
    </row>
    <row r="3966" spans="1:38" x14ac:dyDescent="0.2">
      <c r="A3966" s="2">
        <v>2026</v>
      </c>
      <c r="B3966" s="2">
        <v>5</v>
      </c>
      <c r="D3966" s="2" t="s">
        <v>2990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2991</v>
      </c>
      <c r="J3966" s="2" t="s">
        <v>1105</v>
      </c>
      <c r="K3966" s="2">
        <v>934645042</v>
      </c>
      <c r="L3966" s="2" t="s">
        <v>100</v>
      </c>
      <c r="M3966" s="2" t="s">
        <v>40</v>
      </c>
      <c r="O3966" s="2" t="s">
        <v>2992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8"/>
        <v>0.6</v>
      </c>
      <c r="Z3966" s="2" t="s">
        <v>118</v>
      </c>
      <c r="AA3966" s="2" t="s">
        <v>191</v>
      </c>
      <c r="AF3966" s="2">
        <f t="shared" si="492"/>
        <v>0</v>
      </c>
      <c r="AG3966" s="2">
        <f>W3966</f>
        <v>37.6</v>
      </c>
      <c r="AJ3966" s="2">
        <f t="shared" si="493"/>
        <v>0</v>
      </c>
      <c r="AK3966" s="2">
        <f t="shared" si="499"/>
        <v>56.4</v>
      </c>
      <c r="AL3966" s="5">
        <f t="shared" si="500"/>
        <v>0.6</v>
      </c>
    </row>
    <row r="3967" spans="1:38" x14ac:dyDescent="0.2">
      <c r="A3967" s="2">
        <v>2026</v>
      </c>
      <c r="B3967" s="2">
        <v>5</v>
      </c>
      <c r="D3967" s="2" t="s">
        <v>2990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2991</v>
      </c>
      <c r="J3967" s="2" t="s">
        <v>1105</v>
      </c>
      <c r="K3967" s="2">
        <v>934645042</v>
      </c>
      <c r="L3967" s="2" t="s">
        <v>100</v>
      </c>
      <c r="M3967" s="2" t="s">
        <v>40</v>
      </c>
      <c r="O3967" s="2" t="s">
        <v>2992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8"/>
        <v>0.5</v>
      </c>
      <c r="Z3967" s="2" t="s">
        <v>118</v>
      </c>
      <c r="AA3967" s="2" t="s">
        <v>191</v>
      </c>
      <c r="AF3967" s="2">
        <f t="shared" si="492"/>
        <v>0</v>
      </c>
      <c r="AG3967" s="2">
        <f>W3967</f>
        <v>27.5</v>
      </c>
      <c r="AJ3967" s="2">
        <f t="shared" si="493"/>
        <v>0</v>
      </c>
      <c r="AK3967" s="2">
        <f t="shared" si="499"/>
        <v>27.5</v>
      </c>
      <c r="AL3967" s="5">
        <f t="shared" si="500"/>
        <v>0.5</v>
      </c>
    </row>
    <row r="3968" spans="1:38" x14ac:dyDescent="0.2">
      <c r="A3968" s="2">
        <v>2026</v>
      </c>
      <c r="B3968" s="2">
        <v>5</v>
      </c>
      <c r="D3968" s="2" t="s">
        <v>2990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2991</v>
      </c>
      <c r="J3968" s="2" t="s">
        <v>1105</v>
      </c>
      <c r="K3968" s="2">
        <v>934645042</v>
      </c>
      <c r="L3968" s="2" t="s">
        <v>100</v>
      </c>
      <c r="M3968" s="2" t="s">
        <v>40</v>
      </c>
      <c r="O3968" s="2" t="s">
        <v>2992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8"/>
        <v>1</v>
      </c>
      <c r="Z3968" s="2" t="s">
        <v>118</v>
      </c>
      <c r="AA3968" s="2" t="s">
        <v>1314</v>
      </c>
      <c r="AF3968" s="2">
        <f t="shared" si="492"/>
        <v>0</v>
      </c>
      <c r="AJ3968" s="2">
        <f t="shared" si="493"/>
        <v>0</v>
      </c>
      <c r="AK3968" s="2">
        <f t="shared" si="499"/>
        <v>87.5</v>
      </c>
      <c r="AL3968" s="5">
        <f t="shared" si="500"/>
        <v>1</v>
      </c>
    </row>
    <row r="3969" spans="1:38" x14ac:dyDescent="0.2">
      <c r="A3969" s="2">
        <v>2026</v>
      </c>
      <c r="B3969" s="2">
        <v>5</v>
      </c>
      <c r="D3969" s="2" t="s">
        <v>1056</v>
      </c>
      <c r="E3969" s="2" t="s">
        <v>184</v>
      </c>
      <c r="F3969" s="2" t="s">
        <v>1057</v>
      </c>
      <c r="G3969" s="2">
        <v>500199523</v>
      </c>
      <c r="H3969" s="2" t="s">
        <v>291</v>
      </c>
      <c r="I3969" s="2" t="s">
        <v>294</v>
      </c>
      <c r="J3969" s="2" t="s">
        <v>1058</v>
      </c>
      <c r="L3969" s="2" t="s">
        <v>294</v>
      </c>
      <c r="M3969" s="2" t="s">
        <v>81</v>
      </c>
      <c r="O3969" s="2" t="s">
        <v>2994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8"/>
        <v>0.4729523809523809</v>
      </c>
      <c r="Z3969" s="2" t="s">
        <v>3237</v>
      </c>
      <c r="AA3969" s="2" t="s">
        <v>76</v>
      </c>
      <c r="AB3969" s="2" t="s">
        <v>77</v>
      </c>
      <c r="AC3969" s="2" t="s">
        <v>78</v>
      </c>
      <c r="AF3969" s="2">
        <f t="shared" si="492"/>
        <v>0</v>
      </c>
      <c r="AG3969" s="2">
        <v>110.68</v>
      </c>
      <c r="AH3969" s="2">
        <v>210</v>
      </c>
      <c r="AJ3969" s="2">
        <f t="shared" si="493"/>
        <v>0</v>
      </c>
      <c r="AK3969" s="2">
        <f t="shared" si="499"/>
        <v>198.64</v>
      </c>
      <c r="AL3969" s="5">
        <f t="shared" si="500"/>
        <v>0.4729523809523809</v>
      </c>
    </row>
    <row r="3970" spans="1:38" x14ac:dyDescent="0.2">
      <c r="A3970" s="2">
        <v>2026</v>
      </c>
      <c r="B3970" s="2">
        <v>5</v>
      </c>
      <c r="D3970" s="2" t="s">
        <v>1056</v>
      </c>
      <c r="E3970" s="2" t="s">
        <v>184</v>
      </c>
      <c r="F3970" s="2" t="s">
        <v>1057</v>
      </c>
      <c r="G3970" s="2">
        <v>500199523</v>
      </c>
      <c r="H3970" s="2" t="s">
        <v>291</v>
      </c>
      <c r="I3970" s="2" t="s">
        <v>294</v>
      </c>
      <c r="J3970" s="2" t="s">
        <v>1058</v>
      </c>
      <c r="L3970" s="2" t="s">
        <v>294</v>
      </c>
      <c r="M3970" s="2" t="s">
        <v>81</v>
      </c>
      <c r="O3970" s="2" t="s">
        <v>2994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8"/>
        <v>0</v>
      </c>
      <c r="Z3970" s="2" t="s">
        <v>3237</v>
      </c>
      <c r="AA3970" s="2" t="s">
        <v>97</v>
      </c>
      <c r="AB3970" s="2" t="s">
        <v>77</v>
      </c>
      <c r="AC3970" s="2" t="s">
        <v>94</v>
      </c>
      <c r="AF3970" s="2">
        <f t="shared" si="492"/>
        <v>0</v>
      </c>
      <c r="AJ3970" s="2">
        <f t="shared" si="493"/>
        <v>0</v>
      </c>
      <c r="AK3970" s="2">
        <f t="shared" si="499"/>
        <v>0</v>
      </c>
      <c r="AL3970" s="5">
        <f t="shared" si="500"/>
        <v>0</v>
      </c>
    </row>
    <row r="3971" spans="1:38" x14ac:dyDescent="0.2">
      <c r="A3971" s="2">
        <v>2026</v>
      </c>
      <c r="B3971" s="2">
        <v>5</v>
      </c>
      <c r="D3971" s="2" t="s">
        <v>2995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3237</v>
      </c>
      <c r="AA3971" s="2" t="s">
        <v>76</v>
      </c>
      <c r="AB3971" s="2" t="s">
        <v>77</v>
      </c>
      <c r="AC3971" s="2" t="s">
        <v>78</v>
      </c>
      <c r="AF3971" s="2">
        <f t="shared" ref="AF3971:AF4034" si="501">AJ3971</f>
        <v>0</v>
      </c>
      <c r="AG3971" s="2">
        <v>125.51600000000001</v>
      </c>
      <c r="AH3971" s="2">
        <v>220</v>
      </c>
      <c r="AJ3971" s="2">
        <f t="shared" ref="AJ3971:AJ4034" si="502">AI3971*T3971</f>
        <v>0</v>
      </c>
      <c r="AK3971" s="2">
        <f t="shared" si="499"/>
        <v>94.483999999999995</v>
      </c>
      <c r="AL3971" s="5">
        <f t="shared" si="500"/>
        <v>0.42947272727272723</v>
      </c>
    </row>
    <row r="3972" spans="1:38" x14ac:dyDescent="0.2">
      <c r="A3972" s="2">
        <v>2026</v>
      </c>
      <c r="B3972" s="2">
        <v>5</v>
      </c>
      <c r="D3972" s="2" t="s">
        <v>2995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3">(T3972-W3972)/T3972</f>
        <v>0</v>
      </c>
      <c r="Z3972" s="2" t="s">
        <v>3237</v>
      </c>
      <c r="AA3972" s="2" t="s">
        <v>97</v>
      </c>
      <c r="AB3972" s="2" t="s">
        <v>77</v>
      </c>
      <c r="AC3972" s="2" t="s">
        <v>94</v>
      </c>
      <c r="AF3972" s="2">
        <f t="shared" si="501"/>
        <v>0</v>
      </c>
      <c r="AJ3972" s="2">
        <f t="shared" si="502"/>
        <v>0</v>
      </c>
      <c r="AK3972" s="2">
        <f t="shared" si="499"/>
        <v>0</v>
      </c>
      <c r="AL3972" s="5">
        <f t="shared" si="500"/>
        <v>0</v>
      </c>
    </row>
    <row r="3973" spans="1:38" x14ac:dyDescent="0.2">
      <c r="A3973" s="2">
        <v>2026</v>
      </c>
      <c r="B3973" s="2">
        <v>5</v>
      </c>
      <c r="D3973" s="2" t="s">
        <v>2996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3"/>
        <v>0.44659999999999994</v>
      </c>
      <c r="Z3973" s="2" t="s">
        <v>3237</v>
      </c>
      <c r="AA3973" s="2" t="s">
        <v>76</v>
      </c>
      <c r="AB3973" s="2" t="s">
        <v>77</v>
      </c>
      <c r="AC3973" s="2" t="s">
        <v>78</v>
      </c>
      <c r="AF3973" s="2">
        <f t="shared" si="501"/>
        <v>0</v>
      </c>
      <c r="AG3973" s="2">
        <v>110.68</v>
      </c>
      <c r="AH3973" s="2">
        <v>210</v>
      </c>
      <c r="AJ3973" s="2">
        <f t="shared" si="502"/>
        <v>0</v>
      </c>
      <c r="AK3973" s="2">
        <f t="shared" si="499"/>
        <v>89.32</v>
      </c>
      <c r="AL3973" s="5">
        <f t="shared" si="500"/>
        <v>0.44659999999999994</v>
      </c>
    </row>
    <row r="3974" spans="1:38" x14ac:dyDescent="0.2">
      <c r="A3974" s="2">
        <v>2026</v>
      </c>
      <c r="B3974" s="2">
        <v>5</v>
      </c>
      <c r="D3974" s="2" t="s">
        <v>2996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3"/>
        <v>0</v>
      </c>
      <c r="Z3974" s="2" t="s">
        <v>3237</v>
      </c>
      <c r="AA3974" s="2" t="s">
        <v>97</v>
      </c>
      <c r="AB3974" s="2" t="s">
        <v>77</v>
      </c>
      <c r="AC3974" s="2" t="s">
        <v>94</v>
      </c>
      <c r="AF3974" s="2">
        <f t="shared" si="501"/>
        <v>0</v>
      </c>
      <c r="AJ3974" s="2">
        <f t="shared" si="502"/>
        <v>0</v>
      </c>
      <c r="AK3974" s="2">
        <f t="shared" si="499"/>
        <v>0</v>
      </c>
      <c r="AL3974" s="5">
        <f t="shared" si="500"/>
        <v>0</v>
      </c>
    </row>
    <row r="3975" spans="1:38" x14ac:dyDescent="0.2">
      <c r="A3975" s="2">
        <v>2026</v>
      </c>
      <c r="B3975" s="2">
        <v>5</v>
      </c>
      <c r="D3975" s="2" t="s">
        <v>1600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1601</v>
      </c>
      <c r="J3975" s="2" t="s">
        <v>1602</v>
      </c>
      <c r="L3975" s="2" t="s">
        <v>202</v>
      </c>
      <c r="M3975" s="2" t="s">
        <v>81</v>
      </c>
      <c r="O3975" s="2" t="s">
        <v>2997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3"/>
        <v>0.37426086956521742</v>
      </c>
      <c r="Z3975" s="2" t="s">
        <v>3237</v>
      </c>
      <c r="AA3975" s="2" t="s">
        <v>76</v>
      </c>
      <c r="AB3975" s="2" t="s">
        <v>77</v>
      </c>
      <c r="AC3975" s="2" t="s">
        <v>78</v>
      </c>
      <c r="AF3975" s="2">
        <f t="shared" si="501"/>
        <v>0</v>
      </c>
      <c r="AG3975" s="2">
        <v>143.91999999999999</v>
      </c>
      <c r="AJ3975" s="2">
        <f t="shared" si="502"/>
        <v>0</v>
      </c>
      <c r="AK3975" s="2">
        <f t="shared" si="499"/>
        <v>86.080000000000013</v>
      </c>
      <c r="AL3975" s="5">
        <f t="shared" si="500"/>
        <v>0.37426086956521742</v>
      </c>
    </row>
    <row r="3976" spans="1:38" x14ac:dyDescent="0.2">
      <c r="A3976" s="2">
        <v>2026</v>
      </c>
      <c r="B3976" s="2">
        <v>5</v>
      </c>
      <c r="D3976" s="2" t="s">
        <v>1600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1601</v>
      </c>
      <c r="J3976" s="2" t="s">
        <v>1602</v>
      </c>
      <c r="L3976" s="2" t="s">
        <v>202</v>
      </c>
      <c r="M3976" s="2" t="s">
        <v>81</v>
      </c>
      <c r="O3976" s="2" t="s">
        <v>2997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3"/>
        <v>0</v>
      </c>
      <c r="Z3976" s="2" t="s">
        <v>3237</v>
      </c>
      <c r="AA3976" s="2" t="s">
        <v>97</v>
      </c>
      <c r="AB3976" s="2" t="s">
        <v>77</v>
      </c>
      <c r="AC3976" s="2" t="s">
        <v>94</v>
      </c>
      <c r="AF3976" s="2">
        <f t="shared" si="501"/>
        <v>0</v>
      </c>
      <c r="AG3976" s="2">
        <v>1.48</v>
      </c>
      <c r="AH3976" s="2">
        <v>1.48</v>
      </c>
      <c r="AJ3976" s="2">
        <f t="shared" si="502"/>
        <v>0</v>
      </c>
      <c r="AK3976" s="2">
        <f t="shared" si="499"/>
        <v>0</v>
      </c>
      <c r="AL3976" s="5">
        <f t="shared" si="500"/>
        <v>0</v>
      </c>
    </row>
    <row r="3977" spans="1:38" x14ac:dyDescent="0.2">
      <c r="A3977" s="2">
        <v>2026</v>
      </c>
      <c r="B3977" s="2">
        <v>5</v>
      </c>
      <c r="D3977" s="2" t="s">
        <v>1727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3245</v>
      </c>
      <c r="J3977" s="2" t="s">
        <v>3246</v>
      </c>
      <c r="L3977" s="2" t="s">
        <v>572</v>
      </c>
      <c r="M3977" s="2" t="s">
        <v>81</v>
      </c>
      <c r="O3977" s="2" t="s">
        <v>3248</v>
      </c>
      <c r="P3977" s="2" t="s">
        <v>73</v>
      </c>
      <c r="Q3977" s="2" t="s">
        <v>2422</v>
      </c>
      <c r="R3977" s="2" t="s">
        <v>2423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3"/>
        <v>0.53546153846153843</v>
      </c>
      <c r="Z3977" s="2" t="s">
        <v>3237</v>
      </c>
      <c r="AA3977" s="2" t="s">
        <v>76</v>
      </c>
      <c r="AB3977" s="2" t="s">
        <v>77</v>
      </c>
      <c r="AC3977" s="2" t="s">
        <v>78</v>
      </c>
      <c r="AF3977" s="2">
        <f t="shared" si="501"/>
        <v>0</v>
      </c>
      <c r="AG3977" s="2">
        <v>120.78</v>
      </c>
      <c r="AH3977" s="2">
        <v>210</v>
      </c>
      <c r="AJ3977" s="2">
        <f t="shared" si="502"/>
        <v>0</v>
      </c>
      <c r="AK3977" s="2">
        <f t="shared" si="499"/>
        <v>139.22</v>
      </c>
      <c r="AL3977" s="5">
        <f t="shared" si="500"/>
        <v>0.53546153846153843</v>
      </c>
    </row>
    <row r="3978" spans="1:38" x14ac:dyDescent="0.2">
      <c r="A3978" s="2">
        <v>2026</v>
      </c>
      <c r="B3978" s="2">
        <v>5</v>
      </c>
      <c r="D3978" s="2" t="s">
        <v>1727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3245</v>
      </c>
      <c r="J3978" s="2" t="s">
        <v>3246</v>
      </c>
      <c r="L3978" s="2" t="s">
        <v>572</v>
      </c>
      <c r="M3978" s="2" t="s">
        <v>81</v>
      </c>
      <c r="O3978" s="2" t="s">
        <v>3248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3"/>
        <v>0</v>
      </c>
      <c r="Z3978" s="2" t="s">
        <v>3237</v>
      </c>
      <c r="AA3978" s="2" t="s">
        <v>97</v>
      </c>
      <c r="AB3978" s="2" t="s">
        <v>77</v>
      </c>
      <c r="AC3978" s="2" t="s">
        <v>94</v>
      </c>
      <c r="AF3978" s="2">
        <f t="shared" si="501"/>
        <v>0</v>
      </c>
      <c r="AJ3978" s="2">
        <f t="shared" si="502"/>
        <v>0</v>
      </c>
      <c r="AK3978" s="2">
        <f t="shared" si="499"/>
        <v>0</v>
      </c>
      <c r="AL3978" s="5">
        <f t="shared" si="500"/>
        <v>0</v>
      </c>
    </row>
    <row r="3979" spans="1:38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3"/>
        <v>0.6</v>
      </c>
      <c r="Z3979" s="2" t="s">
        <v>118</v>
      </c>
      <c r="AA3979" s="2" t="s">
        <v>191</v>
      </c>
      <c r="AF3979" s="2">
        <f t="shared" si="501"/>
        <v>0</v>
      </c>
      <c r="AG3979" s="2">
        <f>W3979</f>
        <v>24</v>
      </c>
      <c r="AJ3979" s="2">
        <f t="shared" si="502"/>
        <v>0</v>
      </c>
      <c r="AK3979" s="2">
        <f t="shared" si="499"/>
        <v>36</v>
      </c>
      <c r="AL3979" s="5">
        <f t="shared" si="500"/>
        <v>0.6</v>
      </c>
    </row>
    <row r="3980" spans="1:38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3"/>
        <v>0.5</v>
      </c>
      <c r="Z3980" s="2" t="s">
        <v>118</v>
      </c>
      <c r="AA3980" s="2" t="s">
        <v>191</v>
      </c>
      <c r="AF3980" s="2">
        <f t="shared" si="501"/>
        <v>0</v>
      </c>
      <c r="AG3980" s="2">
        <f>W3980</f>
        <v>27.5</v>
      </c>
      <c r="AJ3980" s="2">
        <f t="shared" si="502"/>
        <v>0</v>
      </c>
      <c r="AK3980" s="2">
        <f t="shared" si="499"/>
        <v>27.5</v>
      </c>
      <c r="AL3980" s="5">
        <f t="shared" si="500"/>
        <v>0.5</v>
      </c>
    </row>
    <row r="3981" spans="1:38" x14ac:dyDescent="0.2">
      <c r="A3981" s="2">
        <v>2026</v>
      </c>
      <c r="B3981" s="2">
        <v>5</v>
      </c>
      <c r="D3981" s="2" t="s">
        <v>2057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2787</v>
      </c>
      <c r="J3981" s="2" t="s">
        <v>2828</v>
      </c>
      <c r="K3981" s="2">
        <v>914732950</v>
      </c>
      <c r="L3981" s="2" t="s">
        <v>481</v>
      </c>
      <c r="M3981" s="2" t="s">
        <v>40</v>
      </c>
      <c r="O3981" s="2" t="s">
        <v>2998</v>
      </c>
      <c r="P3981" s="2" t="s">
        <v>1611</v>
      </c>
      <c r="Q3981" s="2" t="s">
        <v>1609</v>
      </c>
      <c r="R3981" s="2" t="s">
        <v>1610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1611</v>
      </c>
      <c r="AF3981" s="2">
        <f t="shared" si="501"/>
        <v>0</v>
      </c>
      <c r="AG3981" s="2">
        <v>10.15</v>
      </c>
      <c r="AJ3981" s="2">
        <f t="shared" si="502"/>
        <v>0</v>
      </c>
      <c r="AK3981" s="2">
        <f t="shared" si="499"/>
        <v>-68.86</v>
      </c>
      <c r="AL3981" s="5">
        <f t="shared" si="500"/>
        <v>1</v>
      </c>
    </row>
    <row r="3982" spans="1:38" x14ac:dyDescent="0.2">
      <c r="A3982" s="2">
        <v>2026</v>
      </c>
      <c r="B3982" s="2">
        <v>5</v>
      </c>
      <c r="D3982" s="2" t="s">
        <v>2057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04">(T3982-W3982)/T3982</f>
        <v>0.6</v>
      </c>
      <c r="Z3982" s="2" t="s">
        <v>118</v>
      </c>
      <c r="AA3982" s="2" t="s">
        <v>191</v>
      </c>
      <c r="AF3982" s="2">
        <f t="shared" si="501"/>
        <v>0</v>
      </c>
      <c r="AG3982" s="2">
        <f>W3982</f>
        <v>58.800000000000004</v>
      </c>
      <c r="AJ3982" s="2">
        <f t="shared" si="502"/>
        <v>0</v>
      </c>
      <c r="AK3982" s="2">
        <f t="shared" si="499"/>
        <v>88.199999999999989</v>
      </c>
      <c r="AL3982" s="5">
        <f t="shared" si="500"/>
        <v>0.6</v>
      </c>
    </row>
    <row r="3983" spans="1:38" x14ac:dyDescent="0.2">
      <c r="A3983" s="2">
        <v>2026</v>
      </c>
      <c r="B3983" s="2">
        <v>5</v>
      </c>
      <c r="D3983" s="2" t="s">
        <v>2057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04"/>
        <v>0.5</v>
      </c>
      <c r="Z3983" s="2" t="s">
        <v>118</v>
      </c>
      <c r="AA3983" s="2" t="s">
        <v>191</v>
      </c>
      <c r="AF3983" s="2">
        <f t="shared" si="501"/>
        <v>0</v>
      </c>
      <c r="AG3983" s="2">
        <f>W3983</f>
        <v>27.5</v>
      </c>
      <c r="AJ3983" s="2">
        <f t="shared" si="502"/>
        <v>0</v>
      </c>
      <c r="AK3983" s="2">
        <f t="shared" si="499"/>
        <v>27.5</v>
      </c>
      <c r="AL3983" s="5">
        <f t="shared" si="500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04"/>
        <v>0.37321392902323725</v>
      </c>
      <c r="Z3984" s="2" t="s">
        <v>3237</v>
      </c>
      <c r="AA3984" s="2" t="s">
        <v>76</v>
      </c>
      <c r="AB3984" s="2" t="s">
        <v>77</v>
      </c>
      <c r="AC3984" s="2" t="s">
        <v>78</v>
      </c>
      <c r="AF3984" s="2">
        <f t="shared" si="501"/>
        <v>0</v>
      </c>
      <c r="AG3984" s="2">
        <v>125.51600000000001</v>
      </c>
      <c r="AH3984" s="2">
        <v>220</v>
      </c>
      <c r="AJ3984" s="2">
        <f t="shared" si="502"/>
        <v>0</v>
      </c>
      <c r="AK3984" s="2">
        <f t="shared" ref="AK3984:AK4015" si="505">T3984-W3984</f>
        <v>224.21199999999999</v>
      </c>
      <c r="AL3984" s="5">
        <f t="shared" ref="AL3984:AL4015" si="506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1349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04"/>
        <v>0.56271602692377654</v>
      </c>
      <c r="Z3985" s="2" t="s">
        <v>3237</v>
      </c>
      <c r="AA3985" s="2" t="s">
        <v>76</v>
      </c>
      <c r="AB3985" s="2" t="s">
        <v>77</v>
      </c>
      <c r="AC3985" s="2" t="s">
        <v>78</v>
      </c>
      <c r="AF3985" s="2">
        <f t="shared" si="501"/>
        <v>0</v>
      </c>
      <c r="AJ3985" s="2">
        <f t="shared" si="502"/>
        <v>0</v>
      </c>
      <c r="AK3985" s="2">
        <f t="shared" si="505"/>
        <v>123.72999999999999</v>
      </c>
      <c r="AL3985" s="5">
        <f t="shared" si="506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04"/>
        <v>0.47693761814744795</v>
      </c>
      <c r="Z3986" s="2" t="s">
        <v>3237</v>
      </c>
      <c r="AA3986" s="2" t="s">
        <v>76</v>
      </c>
      <c r="AB3986" s="2" t="s">
        <v>77</v>
      </c>
      <c r="AC3986" s="2" t="s">
        <v>78</v>
      </c>
      <c r="AF3986" s="2">
        <f t="shared" si="501"/>
        <v>0</v>
      </c>
      <c r="AG3986" s="2">
        <v>110.68</v>
      </c>
      <c r="AH3986" s="2">
        <v>210</v>
      </c>
      <c r="AJ3986" s="2">
        <f t="shared" si="502"/>
        <v>0</v>
      </c>
      <c r="AK3986" s="2">
        <f t="shared" si="505"/>
        <v>100.91999999999999</v>
      </c>
      <c r="AL3986" s="5">
        <f t="shared" si="506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04"/>
        <v>0</v>
      </c>
      <c r="Z3987" s="2" t="s">
        <v>3237</v>
      </c>
      <c r="AA3987" s="2" t="s">
        <v>97</v>
      </c>
      <c r="AB3987" s="2" t="s">
        <v>77</v>
      </c>
      <c r="AC3987" s="2" t="s">
        <v>94</v>
      </c>
      <c r="AF3987" s="2">
        <f t="shared" si="501"/>
        <v>0</v>
      </c>
      <c r="AJ3987" s="2">
        <f t="shared" si="502"/>
        <v>0</v>
      </c>
      <c r="AK3987" s="2">
        <f t="shared" si="505"/>
        <v>0</v>
      </c>
      <c r="AL3987" s="5">
        <f t="shared" si="506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1041</v>
      </c>
      <c r="Q3988" s="2" t="s">
        <v>2999</v>
      </c>
      <c r="R3988" s="2" t="s">
        <v>3000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04"/>
        <v>0.41106099656357398</v>
      </c>
      <c r="Z3988" s="2" t="s">
        <v>3237</v>
      </c>
      <c r="AA3988" s="2" t="s">
        <v>76</v>
      </c>
      <c r="AB3988" s="2" t="s">
        <v>77</v>
      </c>
      <c r="AC3988" s="2" t="s">
        <v>1041</v>
      </c>
      <c r="AF3988" s="2">
        <f t="shared" si="501"/>
        <v>0</v>
      </c>
      <c r="AJ3988" s="2">
        <f t="shared" si="502"/>
        <v>0</v>
      </c>
      <c r="AK3988" s="2">
        <f t="shared" si="505"/>
        <v>191.39000000000004</v>
      </c>
      <c r="AL3988" s="5">
        <f t="shared" si="506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04"/>
        <v>0.23333333333333334</v>
      </c>
      <c r="Z3989" s="2" t="s">
        <v>170</v>
      </c>
      <c r="AA3989" s="2" t="s">
        <v>170</v>
      </c>
      <c r="AF3989" s="2">
        <f t="shared" si="501"/>
        <v>0</v>
      </c>
      <c r="AJ3989" s="2">
        <f t="shared" si="502"/>
        <v>0</v>
      </c>
      <c r="AK3989" s="2">
        <f t="shared" si="505"/>
        <v>7</v>
      </c>
      <c r="AL3989" s="5">
        <f t="shared" si="506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04"/>
        <v>0</v>
      </c>
      <c r="Z3990" s="2" t="s">
        <v>3237</v>
      </c>
      <c r="AA3990" s="2" t="s">
        <v>97</v>
      </c>
      <c r="AB3990" s="2" t="s">
        <v>77</v>
      </c>
      <c r="AC3990" s="2" t="s">
        <v>94</v>
      </c>
      <c r="AF3990" s="2">
        <f t="shared" si="501"/>
        <v>0</v>
      </c>
      <c r="AJ3990" s="2">
        <f t="shared" si="502"/>
        <v>0</v>
      </c>
      <c r="AK3990" s="2">
        <f t="shared" si="505"/>
        <v>0</v>
      </c>
      <c r="AL3990" s="5">
        <f t="shared" si="506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04"/>
        <v>0.12471332542506916</v>
      </c>
      <c r="Z3991" s="2" t="s">
        <v>3237</v>
      </c>
      <c r="AA3991" s="2" t="s">
        <v>76</v>
      </c>
      <c r="AB3991" s="2" t="s">
        <v>77</v>
      </c>
      <c r="AC3991" s="2" t="s">
        <v>78</v>
      </c>
      <c r="AF3991" s="2">
        <f t="shared" si="501"/>
        <v>0</v>
      </c>
      <c r="AG3991" s="2">
        <v>110.68</v>
      </c>
      <c r="AH3991" s="2">
        <v>210</v>
      </c>
      <c r="AJ3991" s="2">
        <f t="shared" si="502"/>
        <v>0</v>
      </c>
      <c r="AK3991" s="2">
        <f t="shared" si="505"/>
        <v>31.539999999999992</v>
      </c>
      <c r="AL3991" s="5">
        <f t="shared" si="506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04"/>
        <v>0</v>
      </c>
      <c r="Z3992" s="2" t="s">
        <v>3237</v>
      </c>
      <c r="AA3992" s="2" t="s">
        <v>97</v>
      </c>
      <c r="AB3992" s="2" t="s">
        <v>77</v>
      </c>
      <c r="AC3992" s="2" t="s">
        <v>94</v>
      </c>
      <c r="AF3992" s="2">
        <f t="shared" si="501"/>
        <v>0</v>
      </c>
      <c r="AJ3992" s="2">
        <f t="shared" si="502"/>
        <v>0</v>
      </c>
      <c r="AK3992" s="2">
        <f t="shared" si="505"/>
        <v>0</v>
      </c>
      <c r="AL3992" s="5">
        <f t="shared" si="506"/>
        <v>0</v>
      </c>
    </row>
    <row r="3993" spans="1:38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04"/>
        <v>0.42947272727272723</v>
      </c>
      <c r="Z3993" s="2" t="s">
        <v>3237</v>
      </c>
      <c r="AA3993" s="2" t="s">
        <v>76</v>
      </c>
      <c r="AB3993" s="2" t="s">
        <v>77</v>
      </c>
      <c r="AC3993" s="2" t="s">
        <v>78</v>
      </c>
      <c r="AF3993" s="2">
        <f t="shared" si="501"/>
        <v>0</v>
      </c>
      <c r="AG3993" s="2">
        <v>125.51600000000001</v>
      </c>
      <c r="AH3993" s="2">
        <v>220</v>
      </c>
      <c r="AJ3993" s="2">
        <f t="shared" si="502"/>
        <v>0</v>
      </c>
      <c r="AK3993" s="2">
        <f t="shared" si="505"/>
        <v>94.483999999999995</v>
      </c>
      <c r="AL3993" s="5">
        <f t="shared" si="506"/>
        <v>0.42947272727272723</v>
      </c>
    </row>
    <row r="3994" spans="1:38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04"/>
        <v>0</v>
      </c>
      <c r="Z3994" s="2" t="s">
        <v>3237</v>
      </c>
      <c r="AA3994" s="2" t="s">
        <v>97</v>
      </c>
      <c r="AB3994" s="2" t="s">
        <v>77</v>
      </c>
      <c r="AC3994" s="2" t="s">
        <v>94</v>
      </c>
      <c r="AF3994" s="2">
        <f t="shared" si="501"/>
        <v>0</v>
      </c>
      <c r="AJ3994" s="2">
        <f t="shared" si="502"/>
        <v>0</v>
      </c>
      <c r="AK3994" s="2">
        <f t="shared" si="505"/>
        <v>0</v>
      </c>
      <c r="AL3994" s="5">
        <f t="shared" si="506"/>
        <v>0</v>
      </c>
    </row>
    <row r="3995" spans="1:38" x14ac:dyDescent="0.2">
      <c r="A3995" s="2">
        <v>2026</v>
      </c>
      <c r="B3995" s="2">
        <v>5</v>
      </c>
      <c r="D3995" s="2" t="s">
        <v>1629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1630</v>
      </c>
      <c r="J3995" s="2" t="s">
        <v>1631</v>
      </c>
      <c r="L3995" s="2" t="s">
        <v>294</v>
      </c>
      <c r="M3995" s="2" t="s">
        <v>40</v>
      </c>
      <c r="O3995" s="2" t="s">
        <v>3001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04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1"/>
        <v>0</v>
      </c>
      <c r="AJ3995" s="2">
        <f t="shared" si="502"/>
        <v>0</v>
      </c>
      <c r="AK3995" s="2">
        <f t="shared" si="505"/>
        <v>9.715799999999998</v>
      </c>
      <c r="AL3995" s="5">
        <f t="shared" si="506"/>
        <v>0.649886287625418</v>
      </c>
    </row>
    <row r="3996" spans="1:38" x14ac:dyDescent="0.2">
      <c r="A3996" s="2">
        <v>2026</v>
      </c>
      <c r="B3996" s="2">
        <v>5</v>
      </c>
      <c r="D3996" s="2" t="s">
        <v>1629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1630</v>
      </c>
      <c r="J3996" s="2" t="s">
        <v>1631</v>
      </c>
      <c r="L3996" s="2" t="s">
        <v>294</v>
      </c>
      <c r="M3996" s="2" t="s">
        <v>40</v>
      </c>
      <c r="O3996" s="2" t="s">
        <v>3001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04"/>
        <v>1</v>
      </c>
      <c r="Z3996" s="2" t="s">
        <v>170</v>
      </c>
      <c r="AA3996" s="2" t="s">
        <v>170</v>
      </c>
      <c r="AF3996" s="2">
        <f t="shared" si="501"/>
        <v>0</v>
      </c>
      <c r="AJ3996" s="2">
        <f t="shared" si="502"/>
        <v>0</v>
      </c>
      <c r="AK3996" s="2">
        <f t="shared" si="505"/>
        <v>5</v>
      </c>
      <c r="AL3996" s="5">
        <f t="shared" si="506"/>
        <v>1</v>
      </c>
    </row>
    <row r="3997" spans="1:38" x14ac:dyDescent="0.2">
      <c r="A3997" s="2">
        <v>2026</v>
      </c>
      <c r="B3997" s="2">
        <v>5</v>
      </c>
      <c r="D3997" s="2" t="s">
        <v>1285</v>
      </c>
      <c r="E3997" s="2" t="s">
        <v>184</v>
      </c>
      <c r="F3997" s="2" t="s">
        <v>3002</v>
      </c>
      <c r="G3997" s="2">
        <v>517805383</v>
      </c>
      <c r="H3997" s="2" t="s">
        <v>40</v>
      </c>
      <c r="I3997" s="2" t="s">
        <v>100</v>
      </c>
      <c r="J3997" s="2" t="s">
        <v>3003</v>
      </c>
      <c r="K3997" s="2">
        <v>964651239</v>
      </c>
      <c r="L3997" s="2" t="s">
        <v>100</v>
      </c>
      <c r="M3997" s="2" t="s">
        <v>40</v>
      </c>
      <c r="O3997" s="2" t="s">
        <v>3004</v>
      </c>
      <c r="P3997" s="2" t="s">
        <v>283</v>
      </c>
      <c r="Q3997" s="2" t="s">
        <v>3005</v>
      </c>
      <c r="R3997" s="2" t="s">
        <v>3006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04"/>
        <v>0.31578947368421051</v>
      </c>
      <c r="Z3997" s="2" t="s">
        <v>118</v>
      </c>
      <c r="AA3997" s="2" t="s">
        <v>182</v>
      </c>
      <c r="AB3997" s="2" t="s">
        <v>3393</v>
      </c>
      <c r="AC3997" s="2" t="s">
        <v>1331</v>
      </c>
      <c r="AF3997" s="2">
        <f t="shared" si="501"/>
        <v>0</v>
      </c>
      <c r="AG3997" s="2">
        <v>773.5</v>
      </c>
      <c r="AJ3997" s="2">
        <f t="shared" si="502"/>
        <v>0</v>
      </c>
      <c r="AK3997" s="2">
        <f t="shared" si="505"/>
        <v>357</v>
      </c>
      <c r="AL3997" s="5">
        <f t="shared" si="506"/>
        <v>0.31578947368421051</v>
      </c>
    </row>
    <row r="3998" spans="1:38" x14ac:dyDescent="0.2">
      <c r="A3998" s="2">
        <v>2026</v>
      </c>
      <c r="B3998" s="2">
        <v>5</v>
      </c>
      <c r="D3998" s="2" t="s">
        <v>3007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3008</v>
      </c>
      <c r="J3998" s="2" t="s">
        <v>3009</v>
      </c>
      <c r="K3998" s="2">
        <v>969030161</v>
      </c>
      <c r="L3998" s="2" t="s">
        <v>3010</v>
      </c>
      <c r="M3998" s="2" t="s">
        <v>40</v>
      </c>
      <c r="O3998" s="2" t="s">
        <v>3011</v>
      </c>
      <c r="P3998" s="2" t="s">
        <v>115</v>
      </c>
      <c r="Q3998" s="2" t="s">
        <v>1475</v>
      </c>
      <c r="R3998" s="2" t="s">
        <v>1476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04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1"/>
        <v>0</v>
      </c>
      <c r="AG3998" s="2">
        <v>343.38</v>
      </c>
      <c r="AJ3998" s="2">
        <f t="shared" si="502"/>
        <v>0</v>
      </c>
      <c r="AK3998" s="2">
        <f t="shared" si="505"/>
        <v>347.23</v>
      </c>
      <c r="AL3998" s="5">
        <f t="shared" si="506"/>
        <v>0.50278739085735802</v>
      </c>
    </row>
    <row r="3999" spans="1:38" x14ac:dyDescent="0.2">
      <c r="A3999" s="2">
        <v>2026</v>
      </c>
      <c r="B3999" s="2">
        <v>5</v>
      </c>
      <c r="D3999" s="2" t="s">
        <v>3007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3008</v>
      </c>
      <c r="J3999" s="2" t="s">
        <v>3009</v>
      </c>
      <c r="K3999" s="2">
        <v>969030161</v>
      </c>
      <c r="L3999" s="2" t="s">
        <v>3010</v>
      </c>
      <c r="M3999" s="2" t="s">
        <v>40</v>
      </c>
      <c r="O3999" s="2" t="s">
        <v>3011</v>
      </c>
      <c r="P3999" s="2" t="s">
        <v>115</v>
      </c>
      <c r="Q3999" s="2" t="s">
        <v>1585</v>
      </c>
      <c r="R3999" s="2" t="s">
        <v>1586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04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1"/>
        <v>0</v>
      </c>
      <c r="AG3999" s="2">
        <f>4893.23+171</f>
        <v>5064.2299999999996</v>
      </c>
      <c r="AJ3999" s="2">
        <f t="shared" si="502"/>
        <v>0</v>
      </c>
      <c r="AK3999" s="2">
        <f t="shared" si="505"/>
        <v>1925.7700000000004</v>
      </c>
      <c r="AL3999" s="5">
        <f t="shared" si="506"/>
        <v>0.27550357653791135</v>
      </c>
    </row>
    <row r="4000" spans="1:38" x14ac:dyDescent="0.2">
      <c r="A4000" s="2">
        <v>2026</v>
      </c>
      <c r="B4000" s="2">
        <v>5</v>
      </c>
      <c r="D4000" s="2" t="s">
        <v>2342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3012</v>
      </c>
      <c r="L4000" s="2" t="s">
        <v>178</v>
      </c>
      <c r="M4000" s="2" t="s">
        <v>41</v>
      </c>
      <c r="O4000" s="2" t="s">
        <v>3013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04"/>
        <v>0.34034999999999999</v>
      </c>
      <c r="Z4000" s="2" t="s">
        <v>3237</v>
      </c>
      <c r="AA4000" s="2" t="s">
        <v>76</v>
      </c>
      <c r="AB4000" s="2" t="s">
        <v>77</v>
      </c>
      <c r="AC4000" s="2" t="s">
        <v>78</v>
      </c>
      <c r="AF4000" s="2">
        <f t="shared" si="501"/>
        <v>0</v>
      </c>
      <c r="AG4000" s="2">
        <v>131.93</v>
      </c>
      <c r="AH4000" s="2">
        <v>220</v>
      </c>
      <c r="AJ4000" s="2">
        <f t="shared" si="502"/>
        <v>0</v>
      </c>
      <c r="AK4000" s="2">
        <f t="shared" si="505"/>
        <v>68.069999999999993</v>
      </c>
      <c r="AL4000" s="5">
        <f t="shared" si="506"/>
        <v>0.34034999999999999</v>
      </c>
    </row>
    <row r="4001" spans="1:38" x14ac:dyDescent="0.2">
      <c r="A4001" s="2">
        <v>2026</v>
      </c>
      <c r="B4001" s="2">
        <v>5</v>
      </c>
      <c r="D4001" s="2" t="s">
        <v>2342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04"/>
        <v>0</v>
      </c>
      <c r="Z4001" s="2" t="s">
        <v>3237</v>
      </c>
      <c r="AA4001" s="2" t="s">
        <v>97</v>
      </c>
      <c r="AB4001" s="2" t="s">
        <v>77</v>
      </c>
      <c r="AC4001" s="2" t="s">
        <v>94</v>
      </c>
      <c r="AF4001" s="2">
        <f t="shared" si="501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3014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3251</v>
      </c>
      <c r="L4002" s="2" t="s">
        <v>113</v>
      </c>
      <c r="M4002" s="2" t="s">
        <v>110</v>
      </c>
      <c r="O4002" s="2" t="s">
        <v>3252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04"/>
        <v>0.45165454545454548</v>
      </c>
      <c r="Z4002" s="2" t="s">
        <v>3237</v>
      </c>
      <c r="AA4002" s="2" t="s">
        <v>76</v>
      </c>
      <c r="AB4002" s="2" t="s">
        <v>77</v>
      </c>
      <c r="AC4002" s="2" t="s">
        <v>78</v>
      </c>
      <c r="AF4002" s="2">
        <f t="shared" si="501"/>
        <v>0</v>
      </c>
      <c r="AG4002" s="2">
        <v>120.636</v>
      </c>
      <c r="AH4002" s="2">
        <v>220</v>
      </c>
      <c r="AJ4002" s="2">
        <f t="shared" si="502"/>
        <v>0</v>
      </c>
      <c r="AK4002" s="2">
        <f t="shared" si="505"/>
        <v>99.364000000000004</v>
      </c>
      <c r="AL4002" s="5">
        <f t="shared" si="506"/>
        <v>0.45165454545454548</v>
      </c>
    </row>
    <row r="4003" spans="1:38" x14ac:dyDescent="0.2">
      <c r="A4003" s="2">
        <v>2026</v>
      </c>
      <c r="B4003" s="2">
        <v>5</v>
      </c>
      <c r="D4003" s="2" t="s">
        <v>3014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3251</v>
      </c>
      <c r="L4003" s="2" t="s">
        <v>113</v>
      </c>
      <c r="M4003" s="2" t="s">
        <v>110</v>
      </c>
      <c r="O4003" s="2" t="s">
        <v>3252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04"/>
        <v>0</v>
      </c>
      <c r="Z4003" s="2" t="s">
        <v>3237</v>
      </c>
      <c r="AA4003" s="2" t="s">
        <v>97</v>
      </c>
      <c r="AB4003" s="2" t="s">
        <v>77</v>
      </c>
      <c r="AC4003" s="2" t="s">
        <v>94</v>
      </c>
      <c r="AF4003" s="2">
        <f t="shared" si="501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3015</v>
      </c>
      <c r="P4004" s="2" t="s">
        <v>115</v>
      </c>
      <c r="Q4004" s="2" t="s">
        <v>2219</v>
      </c>
      <c r="R4004" s="2" t="s">
        <v>2220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04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1"/>
        <v>0</v>
      </c>
      <c r="AG4004" s="2">
        <f>78.74+0.63</f>
        <v>79.36999999999999</v>
      </c>
      <c r="AJ4004" s="2">
        <f t="shared" si="502"/>
        <v>0</v>
      </c>
      <c r="AK4004" s="2">
        <f t="shared" si="505"/>
        <v>73.650000000000006</v>
      </c>
      <c r="AL4004" s="5">
        <f t="shared" si="506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04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1"/>
        <v>0</v>
      </c>
      <c r="AG4005" s="2">
        <f>78.74+0.63</f>
        <v>79.36999999999999</v>
      </c>
      <c r="AJ4005" s="2">
        <f t="shared" si="502"/>
        <v>0</v>
      </c>
      <c r="AK4005" s="2">
        <f t="shared" si="505"/>
        <v>9.9999999999994316E-2</v>
      </c>
      <c r="AL4005" s="5">
        <f t="shared" si="506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3016</v>
      </c>
      <c r="R4006" s="2" t="s">
        <v>3017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04"/>
        <v>1</v>
      </c>
      <c r="Z4006" s="2" t="s">
        <v>105</v>
      </c>
      <c r="AA4006" s="2" t="s">
        <v>617</v>
      </c>
      <c r="AB4006" s="2" t="s">
        <v>3018</v>
      </c>
      <c r="AC4006" s="2" t="s">
        <v>115</v>
      </c>
      <c r="AF4006" s="2">
        <f t="shared" si="501"/>
        <v>0</v>
      </c>
      <c r="AJ4006" s="2">
        <f t="shared" si="502"/>
        <v>0</v>
      </c>
      <c r="AK4006" s="2">
        <f t="shared" si="505"/>
        <v>3990</v>
      </c>
      <c r="AL4006" s="5">
        <f t="shared" si="506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3019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04"/>
        <v>0.47838888888888892</v>
      </c>
      <c r="Z4007" s="2" t="s">
        <v>3237</v>
      </c>
      <c r="AA4007" s="2" t="s">
        <v>46</v>
      </c>
      <c r="AB4007" s="2" t="s">
        <v>61</v>
      </c>
      <c r="AC4007" s="2" t="s">
        <v>58</v>
      </c>
      <c r="AF4007" s="2">
        <f t="shared" si="501"/>
        <v>0</v>
      </c>
      <c r="AG4007" s="2">
        <v>3.7555999999999998</v>
      </c>
      <c r="AH4007" s="2">
        <v>7.2</v>
      </c>
      <c r="AJ4007" s="2">
        <f t="shared" si="502"/>
        <v>0</v>
      </c>
      <c r="AK4007" s="2">
        <f t="shared" si="505"/>
        <v>51.666000000000004</v>
      </c>
      <c r="AL4007" s="5">
        <f t="shared" si="506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04"/>
        <v>0.62926666666666664</v>
      </c>
      <c r="Z4008" s="2" t="s">
        <v>3237</v>
      </c>
      <c r="AA4008" s="2" t="s">
        <v>46</v>
      </c>
      <c r="AB4008" s="2" t="s">
        <v>61</v>
      </c>
      <c r="AC4008" s="2" t="s">
        <v>58</v>
      </c>
      <c r="AF4008" s="2">
        <f t="shared" si="501"/>
        <v>0</v>
      </c>
      <c r="AG4008" s="2">
        <v>1.1122000000000001</v>
      </c>
      <c r="AH4008" s="2">
        <v>3</v>
      </c>
      <c r="AJ4008" s="2">
        <f t="shared" si="502"/>
        <v>0</v>
      </c>
      <c r="AK4008" s="2">
        <f t="shared" si="505"/>
        <v>37.756</v>
      </c>
      <c r="AL4008" s="5">
        <f t="shared" si="506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04"/>
        <v>0.38692653061224486</v>
      </c>
      <c r="Z4009" s="2" t="s">
        <v>3237</v>
      </c>
      <c r="AA4009" s="2" t="s">
        <v>46</v>
      </c>
      <c r="AB4009" s="2" t="s">
        <v>68</v>
      </c>
      <c r="AC4009" s="2" t="s">
        <v>58</v>
      </c>
      <c r="AF4009" s="2">
        <f t="shared" si="501"/>
        <v>0</v>
      </c>
      <c r="AG4009" s="2">
        <v>15.020300000000001</v>
      </c>
      <c r="AH4009" s="2">
        <v>27.6</v>
      </c>
      <c r="AJ4009" s="2">
        <f t="shared" si="502"/>
        <v>0</v>
      </c>
      <c r="AK4009" s="2">
        <f t="shared" si="505"/>
        <v>18.959399999999999</v>
      </c>
      <c r="AL4009" s="5">
        <f t="shared" si="506"/>
        <v>0.38692653061224486</v>
      </c>
    </row>
    <row r="4010" spans="1:38" x14ac:dyDescent="0.2">
      <c r="A4010" s="2">
        <v>2026</v>
      </c>
      <c r="B4010" s="2">
        <v>5</v>
      </c>
      <c r="D4010" s="2" t="s">
        <v>3020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04"/>
        <v>0.34714285714285725</v>
      </c>
      <c r="Z4010" s="2" t="s">
        <v>3237</v>
      </c>
      <c r="AA4010" s="2" t="s">
        <v>46</v>
      </c>
      <c r="AB4010" s="2" t="s">
        <v>61</v>
      </c>
      <c r="AC4010" s="2" t="s">
        <v>58</v>
      </c>
      <c r="AF4010" s="2">
        <f t="shared" si="501"/>
        <v>0</v>
      </c>
      <c r="AJ4010" s="2">
        <f t="shared" si="502"/>
        <v>0</v>
      </c>
      <c r="AK4010" s="2">
        <f t="shared" si="505"/>
        <v>4.8600000000000012</v>
      </c>
      <c r="AL4010" s="5">
        <f t="shared" si="506"/>
        <v>0.34714285714285725</v>
      </c>
    </row>
    <row r="4011" spans="1:38" x14ac:dyDescent="0.2">
      <c r="A4011" s="2">
        <v>2026</v>
      </c>
      <c r="B4011" s="2">
        <v>5</v>
      </c>
      <c r="D4011" s="2" t="s">
        <v>3020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04"/>
        <v>1</v>
      </c>
      <c r="Z4011" s="2" t="s">
        <v>170</v>
      </c>
      <c r="AA4011" s="2" t="s">
        <v>170</v>
      </c>
      <c r="AF4011" s="2">
        <f t="shared" si="501"/>
        <v>0</v>
      </c>
      <c r="AJ4011" s="2">
        <f t="shared" si="502"/>
        <v>0</v>
      </c>
      <c r="AK4011" s="2">
        <f t="shared" si="505"/>
        <v>5</v>
      </c>
      <c r="AL4011" s="5">
        <f t="shared" si="506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04"/>
        <v>0.31428571428571428</v>
      </c>
      <c r="Z4012" s="2" t="s">
        <v>3237</v>
      </c>
      <c r="AA4012" s="2" t="s">
        <v>46</v>
      </c>
      <c r="AB4012" s="2" t="s">
        <v>47</v>
      </c>
      <c r="AC4012" s="2" t="s">
        <v>48</v>
      </c>
      <c r="AF4012" s="2">
        <f t="shared" si="501"/>
        <v>0</v>
      </c>
      <c r="AG4012" s="2">
        <v>14.4</v>
      </c>
      <c r="AH4012" s="2">
        <v>21</v>
      </c>
      <c r="AJ4012" s="2">
        <f t="shared" si="502"/>
        <v>0</v>
      </c>
      <c r="AK4012" s="2">
        <f t="shared" si="505"/>
        <v>6.6</v>
      </c>
      <c r="AL4012" s="5">
        <f t="shared" si="506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04"/>
        <v>0.25454545454545452</v>
      </c>
      <c r="Z4013" s="2" t="s">
        <v>3237</v>
      </c>
      <c r="AA4013" s="2" t="s">
        <v>46</v>
      </c>
      <c r="AB4013" s="2" t="s">
        <v>61</v>
      </c>
      <c r="AC4013" s="2" t="s">
        <v>58</v>
      </c>
      <c r="AF4013" s="2">
        <f t="shared" si="501"/>
        <v>0</v>
      </c>
      <c r="AG4013" s="2">
        <v>8.1999999999999993</v>
      </c>
      <c r="AH4013" s="2">
        <v>13</v>
      </c>
      <c r="AJ4013" s="2">
        <f t="shared" si="502"/>
        <v>0</v>
      </c>
      <c r="AK4013" s="2">
        <f t="shared" si="505"/>
        <v>28</v>
      </c>
      <c r="AL4013" s="5">
        <f t="shared" si="506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04"/>
        <v>1</v>
      </c>
      <c r="Z4014" s="2" t="s">
        <v>3237</v>
      </c>
      <c r="AA4014" s="2" t="s">
        <v>88</v>
      </c>
      <c r="AB4014" s="2" t="s">
        <v>61</v>
      </c>
      <c r="AC4014" s="2" t="s">
        <v>85</v>
      </c>
      <c r="AF4014" s="2">
        <f t="shared" si="501"/>
        <v>0</v>
      </c>
      <c r="AJ4014" s="2">
        <f t="shared" si="502"/>
        <v>0</v>
      </c>
      <c r="AK4014" s="2">
        <f t="shared" si="505"/>
        <v>10.15</v>
      </c>
      <c r="AL4014" s="5">
        <f t="shared" si="506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04"/>
        <v>0.6</v>
      </c>
      <c r="Z4015" s="2" t="s">
        <v>118</v>
      </c>
      <c r="AA4015" s="2" t="s">
        <v>191</v>
      </c>
      <c r="AF4015" s="2">
        <f t="shared" si="501"/>
        <v>0</v>
      </c>
      <c r="AG4015" s="2">
        <f>W4015</f>
        <v>30.400000000000002</v>
      </c>
      <c r="AJ4015" s="2">
        <f t="shared" si="502"/>
        <v>0</v>
      </c>
      <c r="AK4015" s="2">
        <f t="shared" si="505"/>
        <v>45.599999999999994</v>
      </c>
      <c r="AL4015" s="5">
        <f t="shared" si="506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04"/>
        <v>0.5</v>
      </c>
      <c r="Z4016" s="2" t="s">
        <v>118</v>
      </c>
      <c r="AA4016" s="2" t="s">
        <v>191</v>
      </c>
      <c r="AF4016" s="2">
        <f t="shared" si="501"/>
        <v>0</v>
      </c>
      <c r="AG4016" s="2">
        <f>W4016</f>
        <v>27.5</v>
      </c>
      <c r="AJ4016" s="2">
        <f t="shared" si="502"/>
        <v>0</v>
      </c>
      <c r="AK4016" s="2">
        <f t="shared" ref="AK4016:AK4044" si="507">T4016-W4016</f>
        <v>27.5</v>
      </c>
      <c r="AL4016" s="5">
        <f t="shared" ref="AL4016:AL4044" si="508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04"/>
        <v>1</v>
      </c>
      <c r="Z4017" s="2" t="s">
        <v>120</v>
      </c>
      <c r="AA4017" s="2" t="s">
        <v>3392</v>
      </c>
      <c r="AF4017" s="2">
        <f t="shared" si="501"/>
        <v>0</v>
      </c>
      <c r="AJ4017" s="2">
        <f t="shared" si="502"/>
        <v>0</v>
      </c>
      <c r="AK4017" s="2">
        <f t="shared" si="507"/>
        <v>5.99</v>
      </c>
      <c r="AL4017" s="5">
        <f t="shared" si="508"/>
        <v>1</v>
      </c>
    </row>
    <row r="4018" spans="1:38" x14ac:dyDescent="0.2">
      <c r="A4018" s="2">
        <v>2026</v>
      </c>
      <c r="B4018" s="2">
        <v>5</v>
      </c>
      <c r="D4018" s="2" t="s">
        <v>1748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1129</v>
      </c>
      <c r="J4018" s="2" t="s">
        <v>1749</v>
      </c>
      <c r="K4018" s="2">
        <v>968602188</v>
      </c>
      <c r="L4018" s="2" t="s">
        <v>462</v>
      </c>
      <c r="M4018" s="2" t="s">
        <v>40</v>
      </c>
      <c r="O4018" s="2" t="s">
        <v>3021</v>
      </c>
      <c r="P4018" s="2" t="s">
        <v>115</v>
      </c>
      <c r="Q4018" s="2" t="s">
        <v>1475</v>
      </c>
      <c r="R4018" s="2" t="s">
        <v>1476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04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1"/>
        <v>0</v>
      </c>
      <c r="AG4018" s="2">
        <v>343.38</v>
      </c>
      <c r="AJ4018" s="2">
        <f t="shared" si="502"/>
        <v>0</v>
      </c>
      <c r="AK4018" s="2">
        <f t="shared" si="507"/>
        <v>355.91999999999996</v>
      </c>
      <c r="AL4018" s="5">
        <f t="shared" si="508"/>
        <v>0.50896610896610894</v>
      </c>
    </row>
    <row r="4019" spans="1:38" x14ac:dyDescent="0.2">
      <c r="A4019" s="2">
        <v>2026</v>
      </c>
      <c r="B4019" s="2">
        <v>5</v>
      </c>
      <c r="D4019" s="2" t="s">
        <v>1748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1129</v>
      </c>
      <c r="J4019" s="2" t="s">
        <v>1749</v>
      </c>
      <c r="K4019" s="2">
        <v>968602188</v>
      </c>
      <c r="L4019" s="2" t="s">
        <v>462</v>
      </c>
      <c r="M4019" s="2" t="s">
        <v>40</v>
      </c>
      <c r="O4019" s="2" t="s">
        <v>3021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04"/>
        <v>0.6</v>
      </c>
      <c r="Z4019" s="2" t="s">
        <v>118</v>
      </c>
      <c r="AA4019" s="2" t="s">
        <v>191</v>
      </c>
      <c r="AF4019" s="2">
        <f t="shared" si="501"/>
        <v>0</v>
      </c>
      <c r="AG4019" s="2">
        <f>W4019</f>
        <v>90</v>
      </c>
      <c r="AJ4019" s="2">
        <f t="shared" si="502"/>
        <v>0</v>
      </c>
      <c r="AK4019" s="2">
        <f t="shared" si="507"/>
        <v>135</v>
      </c>
      <c r="AL4019" s="5">
        <f t="shared" si="508"/>
        <v>0.6</v>
      </c>
    </row>
    <row r="4020" spans="1:38" x14ac:dyDescent="0.2">
      <c r="A4020" s="2">
        <v>2026</v>
      </c>
      <c r="B4020" s="2">
        <v>5</v>
      </c>
      <c r="D4020" s="2" t="s">
        <v>1748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1129</v>
      </c>
      <c r="J4020" s="2" t="s">
        <v>1749</v>
      </c>
      <c r="K4020" s="2">
        <v>968602188</v>
      </c>
      <c r="L4020" s="2" t="s">
        <v>462</v>
      </c>
      <c r="M4020" s="2" t="s">
        <v>40</v>
      </c>
      <c r="O4020" s="2" t="s">
        <v>3021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501"/>
        <v>0</v>
      </c>
      <c r="AG4020" s="2">
        <f>W4020</f>
        <v>0</v>
      </c>
      <c r="AJ4020" s="2">
        <f t="shared" si="502"/>
        <v>0</v>
      </c>
      <c r="AK4020" s="2">
        <f t="shared" si="507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1299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1300</v>
      </c>
      <c r="L4021" s="2" t="s">
        <v>340</v>
      </c>
      <c r="M4021" s="2" t="s">
        <v>81</v>
      </c>
      <c r="O4021" s="2" t="s">
        <v>3022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9">(T4021-W4021)/T4021</f>
        <v>0.46676190476190477</v>
      </c>
      <c r="Z4021" s="2" t="s">
        <v>3237</v>
      </c>
      <c r="AA4021" s="2" t="s">
        <v>76</v>
      </c>
      <c r="AB4021" s="2" t="s">
        <v>77</v>
      </c>
      <c r="AC4021" s="2" t="s">
        <v>78</v>
      </c>
      <c r="AF4021" s="2">
        <f t="shared" si="501"/>
        <v>0</v>
      </c>
      <c r="AG4021" s="2">
        <v>111.98</v>
      </c>
      <c r="AH4021" s="2">
        <v>210</v>
      </c>
      <c r="AJ4021" s="2">
        <f t="shared" si="502"/>
        <v>0</v>
      </c>
      <c r="AK4021" s="2">
        <f t="shared" si="507"/>
        <v>98.02</v>
      </c>
      <c r="AL4021" s="5">
        <f t="shared" si="508"/>
        <v>0.46676190476190477</v>
      </c>
    </row>
    <row r="4022" spans="1:38" x14ac:dyDescent="0.2">
      <c r="A4022" s="2">
        <v>2026</v>
      </c>
      <c r="B4022" s="2">
        <v>5</v>
      </c>
      <c r="D4022" s="2" t="s">
        <v>1299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1300</v>
      </c>
      <c r="L4022" s="2" t="s">
        <v>340</v>
      </c>
      <c r="M4022" s="2" t="s">
        <v>81</v>
      </c>
      <c r="O4022" s="2" t="s">
        <v>3022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9"/>
        <v>0</v>
      </c>
      <c r="Z4022" s="2" t="s">
        <v>3237</v>
      </c>
      <c r="AA4022" s="2" t="s">
        <v>97</v>
      </c>
      <c r="AB4022" s="2" t="s">
        <v>77</v>
      </c>
      <c r="AC4022" s="2" t="s">
        <v>94</v>
      </c>
      <c r="AF4022" s="2">
        <f t="shared" si="501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7"/>
        <v>0</v>
      </c>
      <c r="AL4022" s="5">
        <f t="shared" si="508"/>
        <v>0</v>
      </c>
    </row>
    <row r="4023" spans="1:38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1367</v>
      </c>
      <c r="R4023" s="2" t="s">
        <v>1368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09"/>
        <v>0.71491228070175439</v>
      </c>
      <c r="Z4023" s="2" t="s">
        <v>3237</v>
      </c>
      <c r="AA4023" s="2" t="s">
        <v>46</v>
      </c>
      <c r="AB4023" s="2" t="s">
        <v>47</v>
      </c>
      <c r="AC4023" s="2" t="s">
        <v>48</v>
      </c>
      <c r="AF4023" s="2">
        <f t="shared" si="501"/>
        <v>0</v>
      </c>
      <c r="AJ4023" s="2">
        <f t="shared" si="502"/>
        <v>0</v>
      </c>
      <c r="AK4023" s="2">
        <f t="shared" si="507"/>
        <v>48.900000000000006</v>
      </c>
      <c r="AL4023" s="5">
        <f t="shared" si="508"/>
        <v>0.71491228070175439</v>
      </c>
    </row>
    <row r="4024" spans="1:38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9"/>
        <v>0.58491111111111116</v>
      </c>
      <c r="Z4024" s="2" t="s">
        <v>3237</v>
      </c>
      <c r="AA4024" s="2" t="s">
        <v>46</v>
      </c>
      <c r="AB4024" s="2" t="s">
        <v>47</v>
      </c>
      <c r="AC4024" s="2" t="s">
        <v>48</v>
      </c>
      <c r="AF4024" s="2">
        <f t="shared" si="501"/>
        <v>0</v>
      </c>
      <c r="AG4024" s="2">
        <v>3.7357999999999998</v>
      </c>
      <c r="AH4024" s="2">
        <v>9</v>
      </c>
      <c r="AJ4024" s="2">
        <f t="shared" si="502"/>
        <v>0</v>
      </c>
      <c r="AK4024" s="2">
        <f t="shared" si="507"/>
        <v>10.528400000000001</v>
      </c>
      <c r="AL4024" s="5">
        <f t="shared" si="508"/>
        <v>0.58491111111111116</v>
      </c>
    </row>
    <row r="4025" spans="1:38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9"/>
        <v>0.26896551724137929</v>
      </c>
      <c r="Z4025" s="2" t="s">
        <v>3237</v>
      </c>
      <c r="AA4025" s="2" t="s">
        <v>46</v>
      </c>
      <c r="AB4025" s="2" t="s">
        <v>57</v>
      </c>
      <c r="AC4025" s="2" t="s">
        <v>58</v>
      </c>
      <c r="AF4025" s="2">
        <f t="shared" si="501"/>
        <v>0</v>
      </c>
      <c r="AG4025" s="2">
        <v>10.6</v>
      </c>
      <c r="AH4025" s="2">
        <v>18</v>
      </c>
      <c r="AJ4025" s="2">
        <f t="shared" si="502"/>
        <v>0</v>
      </c>
      <c r="AK4025" s="2">
        <f t="shared" si="507"/>
        <v>39</v>
      </c>
      <c r="AL4025" s="5">
        <f t="shared" si="508"/>
        <v>0.26896551724137929</v>
      </c>
    </row>
    <row r="4026" spans="1:38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3023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9"/>
        <v>0.29692307692307696</v>
      </c>
      <c r="Z4026" s="2" t="s">
        <v>3237</v>
      </c>
      <c r="AA4026" s="2" t="s">
        <v>46</v>
      </c>
      <c r="AB4026" s="2" t="s">
        <v>61</v>
      </c>
      <c r="AC4026" s="2" t="s">
        <v>58</v>
      </c>
      <c r="AF4026" s="2">
        <f t="shared" si="501"/>
        <v>0</v>
      </c>
      <c r="AG4026" s="2">
        <v>9.14</v>
      </c>
      <c r="AH4026" s="2">
        <v>16</v>
      </c>
      <c r="AJ4026" s="2">
        <f t="shared" si="502"/>
        <v>0</v>
      </c>
      <c r="AK4026" s="2">
        <f t="shared" si="507"/>
        <v>11.580000000000002</v>
      </c>
      <c r="AL4026" s="5">
        <f t="shared" si="508"/>
        <v>0.29692307692307696</v>
      </c>
    </row>
    <row r="4027" spans="1:38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9"/>
        <v>0.3692307692307692</v>
      </c>
      <c r="Z4027" s="2" t="s">
        <v>3237</v>
      </c>
      <c r="AA4027" s="2" t="s">
        <v>46</v>
      </c>
      <c r="AB4027" s="2" t="s">
        <v>61</v>
      </c>
      <c r="AC4027" s="2" t="s">
        <v>58</v>
      </c>
      <c r="AF4027" s="2">
        <f t="shared" si="501"/>
        <v>0</v>
      </c>
      <c r="AG4027" s="2">
        <v>8.1999999999999993</v>
      </c>
      <c r="AH4027" s="2">
        <v>13</v>
      </c>
      <c r="AJ4027" s="2">
        <f t="shared" si="502"/>
        <v>0</v>
      </c>
      <c r="AK4027" s="2">
        <f t="shared" si="507"/>
        <v>14.399999999999999</v>
      </c>
      <c r="AL4027" s="5">
        <f t="shared" si="508"/>
        <v>0.3692307692307692</v>
      </c>
    </row>
    <row r="4028" spans="1:38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3024</v>
      </c>
      <c r="P4028" s="2" t="s">
        <v>43</v>
      </c>
      <c r="Q4028" s="2" t="s">
        <v>3025</v>
      </c>
      <c r="R4028" s="2" t="s">
        <v>3026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9"/>
        <v>0.62374999999999992</v>
      </c>
      <c r="Z4028" s="2" t="s">
        <v>3237</v>
      </c>
      <c r="AA4028" s="2" t="s">
        <v>46</v>
      </c>
      <c r="AB4028" s="2" t="s">
        <v>61</v>
      </c>
      <c r="AC4028" s="2" t="s">
        <v>58</v>
      </c>
      <c r="AF4028" s="2">
        <f t="shared" si="501"/>
        <v>0</v>
      </c>
      <c r="AG4028" s="2">
        <v>0.90300000000000002</v>
      </c>
      <c r="AH4028" s="2">
        <v>2.4</v>
      </c>
      <c r="AJ4028" s="2">
        <f t="shared" si="502"/>
        <v>0</v>
      </c>
      <c r="AK4028" s="2">
        <f t="shared" si="507"/>
        <v>17.963999999999999</v>
      </c>
      <c r="AL4028" s="5">
        <f t="shared" si="508"/>
        <v>0.62374999999999992</v>
      </c>
    </row>
    <row r="4029" spans="1:38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3024</v>
      </c>
      <c r="P4029" s="2" t="s">
        <v>43</v>
      </c>
      <c r="Q4029" s="2" t="s">
        <v>3027</v>
      </c>
      <c r="R4029" s="2" t="s">
        <v>3028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9"/>
        <v>0.62416666666666665</v>
      </c>
      <c r="Z4029" s="2" t="s">
        <v>3237</v>
      </c>
      <c r="AA4029" s="2" t="s">
        <v>46</v>
      </c>
      <c r="AB4029" s="2" t="s">
        <v>61</v>
      </c>
      <c r="AC4029" s="2" t="s">
        <v>58</v>
      </c>
      <c r="AF4029" s="2">
        <f t="shared" si="501"/>
        <v>0</v>
      </c>
      <c r="AG4029" s="2">
        <v>0.90200000000000002</v>
      </c>
      <c r="AH4029" s="2">
        <v>2.8</v>
      </c>
      <c r="AJ4029" s="2">
        <f t="shared" si="502"/>
        <v>0</v>
      </c>
      <c r="AK4029" s="2">
        <f t="shared" si="507"/>
        <v>17.975999999999999</v>
      </c>
      <c r="AL4029" s="5">
        <f t="shared" si="508"/>
        <v>0.62416666666666665</v>
      </c>
    </row>
    <row r="4030" spans="1:38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3029</v>
      </c>
      <c r="P4030" s="2" t="s">
        <v>115</v>
      </c>
      <c r="Q4030" s="2" t="s">
        <v>3030</v>
      </c>
      <c r="R4030" s="2" t="s">
        <v>3031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9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1"/>
        <v>0</v>
      </c>
      <c r="AG4030" s="2">
        <f>104.4+1.77</f>
        <v>106.17</v>
      </c>
      <c r="AJ4030" s="2">
        <f t="shared" si="502"/>
        <v>0</v>
      </c>
      <c r="AK4030" s="2">
        <f t="shared" si="507"/>
        <v>139.08000000000001</v>
      </c>
      <c r="AL4030" s="5">
        <f t="shared" si="508"/>
        <v>0.39576575038415573</v>
      </c>
    </row>
    <row r="4031" spans="1:38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3032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9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1"/>
        <v>0</v>
      </c>
      <c r="AG4031" s="2">
        <v>342.22</v>
      </c>
      <c r="AJ4031" s="2">
        <f t="shared" si="502"/>
        <v>0</v>
      </c>
      <c r="AK4031" s="2">
        <f t="shared" si="507"/>
        <v>120.4966</v>
      </c>
      <c r="AL4031" s="5">
        <f t="shared" si="508"/>
        <v>0.25874296757569254</v>
      </c>
    </row>
    <row r="4032" spans="1:38" x14ac:dyDescent="0.2">
      <c r="A4032" s="2">
        <v>2026</v>
      </c>
      <c r="B4032" s="2">
        <v>5</v>
      </c>
      <c r="D4032" s="2" t="s">
        <v>3033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9"/>
        <v>0.42947272727272723</v>
      </c>
      <c r="Z4032" s="2" t="s">
        <v>3237</v>
      </c>
      <c r="AA4032" s="2" t="s">
        <v>76</v>
      </c>
      <c r="AB4032" s="2" t="s">
        <v>77</v>
      </c>
      <c r="AC4032" s="2" t="s">
        <v>78</v>
      </c>
      <c r="AF4032" s="2">
        <f t="shared" si="501"/>
        <v>0</v>
      </c>
      <c r="AG4032" s="2">
        <v>125.51600000000001</v>
      </c>
      <c r="AH4032" s="2">
        <v>220</v>
      </c>
      <c r="AJ4032" s="2">
        <f t="shared" si="502"/>
        <v>0</v>
      </c>
      <c r="AK4032" s="2">
        <f t="shared" si="507"/>
        <v>94.483999999999995</v>
      </c>
      <c r="AL4032" s="5">
        <f t="shared" si="508"/>
        <v>0.42947272727272723</v>
      </c>
    </row>
    <row r="4033" spans="1:38" x14ac:dyDescent="0.2">
      <c r="A4033" s="2">
        <v>2026</v>
      </c>
      <c r="B4033" s="2">
        <v>5</v>
      </c>
      <c r="D4033" s="2" t="s">
        <v>3033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9"/>
        <v>0</v>
      </c>
      <c r="Z4033" s="2" t="s">
        <v>3237</v>
      </c>
      <c r="AA4033" s="2" t="s">
        <v>97</v>
      </c>
      <c r="AB4033" s="2" t="s">
        <v>77</v>
      </c>
      <c r="AC4033" s="2" t="s">
        <v>94</v>
      </c>
      <c r="AF4033" s="2">
        <f t="shared" si="501"/>
        <v>0</v>
      </c>
      <c r="AJ4033" s="2">
        <f>AI4033*T4033</f>
        <v>0</v>
      </c>
      <c r="AK4033" s="2">
        <f t="shared" si="507"/>
        <v>0</v>
      </c>
      <c r="AL4033" s="5">
        <f t="shared" si="508"/>
        <v>0</v>
      </c>
    </row>
    <row r="4034" spans="1:38" x14ac:dyDescent="0.2">
      <c r="A4034" s="2">
        <v>2026</v>
      </c>
      <c r="B4034" s="2">
        <v>5</v>
      </c>
      <c r="D4034" s="2" t="s">
        <v>3034</v>
      </c>
      <c r="M4034" s="2" t="s">
        <v>40</v>
      </c>
      <c r="O4034" s="2" t="s">
        <v>3035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9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1"/>
        <v>0</v>
      </c>
      <c r="AJ4034" s="2">
        <f t="shared" si="502"/>
        <v>0</v>
      </c>
      <c r="AK4034" s="2">
        <f t="shared" si="507"/>
        <v>352.72999999999996</v>
      </c>
      <c r="AL4034" s="5">
        <f t="shared" si="508"/>
        <v>0.50440440440440437</v>
      </c>
    </row>
    <row r="4035" spans="1:38" x14ac:dyDescent="0.2">
      <c r="A4035" s="2">
        <v>2026</v>
      </c>
      <c r="B4035" s="2">
        <v>5</v>
      </c>
      <c r="D4035" s="2" t="s">
        <v>3034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9"/>
        <v>0.6</v>
      </c>
      <c r="Z4035" s="2" t="s">
        <v>118</v>
      </c>
      <c r="AA4035" s="2" t="s">
        <v>191</v>
      </c>
      <c r="AF4035" s="2">
        <f t="shared" ref="AF4035:AF4042" si="510">AJ4035</f>
        <v>0</v>
      </c>
      <c r="AG4035" s="2">
        <f>W4035</f>
        <v>70</v>
      </c>
      <c r="AJ4035" s="2">
        <f t="shared" ref="AJ4035:AJ4044" si="511">AI4035*T4035</f>
        <v>0</v>
      </c>
      <c r="AK4035" s="2">
        <f t="shared" si="507"/>
        <v>105</v>
      </c>
      <c r="AL4035" s="5">
        <f t="shared" si="508"/>
        <v>0.6</v>
      </c>
    </row>
    <row r="4036" spans="1:38" x14ac:dyDescent="0.2">
      <c r="A4036" s="2">
        <v>2026</v>
      </c>
      <c r="B4036" s="2">
        <v>5</v>
      </c>
      <c r="D4036" s="2" t="s">
        <v>3034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9"/>
        <v>0.5</v>
      </c>
      <c r="Z4036" s="2" t="s">
        <v>118</v>
      </c>
      <c r="AA4036" s="2" t="s">
        <v>191</v>
      </c>
      <c r="AF4036" s="2">
        <f t="shared" si="510"/>
        <v>0</v>
      </c>
      <c r="AG4036" s="2">
        <f>W4036</f>
        <v>110</v>
      </c>
      <c r="AJ4036" s="2">
        <f t="shared" si="511"/>
        <v>0</v>
      </c>
      <c r="AK4036" s="2">
        <f t="shared" si="507"/>
        <v>110</v>
      </c>
      <c r="AL4036" s="5">
        <f t="shared" si="508"/>
        <v>0.5</v>
      </c>
    </row>
    <row r="4037" spans="1:38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3036</v>
      </c>
      <c r="P4037" s="2" t="s">
        <v>73</v>
      </c>
      <c r="Q4037" s="2" t="s">
        <v>3037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9"/>
        <v>0.39445595854922277</v>
      </c>
      <c r="Z4037" s="2" t="s">
        <v>3237</v>
      </c>
      <c r="AA4037" s="2" t="s">
        <v>76</v>
      </c>
      <c r="AB4037" s="2" t="s">
        <v>77</v>
      </c>
      <c r="AC4037" s="2" t="s">
        <v>78</v>
      </c>
      <c r="AF4037" s="2">
        <f t="shared" si="510"/>
        <v>0</v>
      </c>
      <c r="AG4037" s="2">
        <v>125.51600000000001</v>
      </c>
      <c r="AH4037" s="2">
        <v>220</v>
      </c>
      <c r="AJ4037" s="2">
        <f t="shared" si="511"/>
        <v>0</v>
      </c>
      <c r="AK4037" s="2">
        <f t="shared" si="507"/>
        <v>76.13</v>
      </c>
      <c r="AL4037" s="5">
        <f t="shared" si="508"/>
        <v>0.39445595854922277</v>
      </c>
    </row>
    <row r="4038" spans="1:38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9"/>
        <v>0.49690909090909086</v>
      </c>
      <c r="Z4038" s="2" t="s">
        <v>3237</v>
      </c>
      <c r="AA4038" s="2" t="s">
        <v>76</v>
      </c>
      <c r="AB4038" s="2" t="s">
        <v>77</v>
      </c>
      <c r="AC4038" s="2" t="s">
        <v>78</v>
      </c>
      <c r="AF4038" s="2">
        <f t="shared" si="510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1041</v>
      </c>
      <c r="Q4039" s="2" t="s">
        <v>3038</v>
      </c>
      <c r="R4039" s="2" t="s">
        <v>3039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9"/>
        <v>0.45881818181818179</v>
      </c>
      <c r="Z4039" s="2" t="s">
        <v>3237</v>
      </c>
      <c r="AA4039" s="2" t="s">
        <v>76</v>
      </c>
      <c r="AB4039" s="2" t="s">
        <v>77</v>
      </c>
      <c r="AC4039" s="2" t="s">
        <v>1041</v>
      </c>
      <c r="AF4039" s="2">
        <f t="shared" si="510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9"/>
        <v>2.000401846171453E-16</v>
      </c>
      <c r="Z4040" s="2" t="s">
        <v>3237</v>
      </c>
      <c r="AA4040" s="2" t="s">
        <v>97</v>
      </c>
      <c r="AB4040" s="2" t="s">
        <v>77</v>
      </c>
      <c r="AC4040" s="2" t="s">
        <v>94</v>
      </c>
      <c r="AF4040" s="2">
        <f t="shared" si="510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2372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2373</v>
      </c>
      <c r="J4041" s="2" t="s">
        <v>2374</v>
      </c>
      <c r="K4041" s="2">
        <v>963062174</v>
      </c>
      <c r="L4041" s="2" t="s">
        <v>419</v>
      </c>
      <c r="M4041" s="2" t="s">
        <v>41</v>
      </c>
      <c r="O4041" s="2" t="s">
        <v>3040</v>
      </c>
      <c r="P4041" s="2" t="s">
        <v>283</v>
      </c>
      <c r="Q4041" s="2" t="s">
        <v>3041</v>
      </c>
      <c r="R4041" s="2" t="s">
        <v>3042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9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0"/>
        <v>0</v>
      </c>
      <c r="AG4041" s="2">
        <v>285</v>
      </c>
      <c r="AJ4041" s="2">
        <f t="shared" si="511"/>
        <v>0</v>
      </c>
      <c r="AK4041" s="2">
        <f t="shared" si="507"/>
        <v>-45</v>
      </c>
      <c r="AL4041" s="5">
        <f t="shared" si="508"/>
        <v>-0.1875</v>
      </c>
    </row>
    <row r="4042" spans="1:38" x14ac:dyDescent="0.2">
      <c r="A4042" s="2">
        <v>2026</v>
      </c>
      <c r="B4042" s="2">
        <v>5</v>
      </c>
      <c r="D4042" s="2" t="s">
        <v>2372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2373</v>
      </c>
      <c r="J4042" s="2" t="s">
        <v>2374</v>
      </c>
      <c r="K4042" s="2">
        <v>963062174</v>
      </c>
      <c r="L4042" s="2" t="s">
        <v>419</v>
      </c>
      <c r="M4042" s="2" t="s">
        <v>41</v>
      </c>
      <c r="O4042" s="2" t="s">
        <v>3040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9"/>
        <v>0.37647058823529411</v>
      </c>
      <c r="Z4042" s="2" t="s">
        <v>3237</v>
      </c>
      <c r="AA4042" s="2" t="s">
        <v>46</v>
      </c>
      <c r="AB4042" s="2" t="s">
        <v>57</v>
      </c>
      <c r="AC4042" s="2" t="s">
        <v>58</v>
      </c>
      <c r="AF4042" s="2">
        <f t="shared" si="510"/>
        <v>0</v>
      </c>
      <c r="AG4042" s="2">
        <v>10.6</v>
      </c>
      <c r="AH4042" s="2">
        <v>18</v>
      </c>
      <c r="AJ4042" s="2">
        <f t="shared" si="511"/>
        <v>0</v>
      </c>
      <c r="AK4042" s="2">
        <f t="shared" si="507"/>
        <v>25.6</v>
      </c>
      <c r="AL4042" s="5">
        <f t="shared" si="508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3043</v>
      </c>
      <c r="P4043" s="2" t="s">
        <v>115</v>
      </c>
      <c r="Q4043" s="2" t="s">
        <v>1585</v>
      </c>
      <c r="R4043" s="2" t="s">
        <v>1586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9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1"/>
        <v>0</v>
      </c>
      <c r="AK4043" s="2">
        <f t="shared" si="507"/>
        <v>425.77000000000044</v>
      </c>
      <c r="AL4043" s="5">
        <f t="shared" si="508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3044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9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11"/>
        <v>0</v>
      </c>
      <c r="AK4044" s="2">
        <f t="shared" si="507"/>
        <v>43.8</v>
      </c>
      <c r="AL4044" s="5">
        <f t="shared" si="508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3044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9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9"/>
        <v>0.41211538461538466</v>
      </c>
      <c r="Z4046" s="2" t="s">
        <v>3237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9"/>
        <v>0</v>
      </c>
      <c r="Z4047" s="2" t="s">
        <v>3237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1454</v>
      </c>
      <c r="P4048" s="2" t="s">
        <v>115</v>
      </c>
      <c r="Q4048" s="2" t="s">
        <v>1082</v>
      </c>
      <c r="R4048" s="2" t="s">
        <v>1083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1454</v>
      </c>
      <c r="P4049" s="2" t="s">
        <v>115</v>
      </c>
      <c r="Q4049" s="2" t="s">
        <v>2488</v>
      </c>
      <c r="R4049" s="2" t="s">
        <v>1391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1454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2">T4050*23%</f>
        <v>28.75</v>
      </c>
      <c r="V4050" s="2">
        <f t="shared" ref="V4050:V4064" si="513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1454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2"/>
        <v>25.3</v>
      </c>
      <c r="V4051" s="2">
        <f t="shared" si="513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1327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2"/>
        <v>4.1400000000000006</v>
      </c>
      <c r="V4052" s="10">
        <f t="shared" si="513"/>
        <v>22.14</v>
      </c>
      <c r="X4052" s="5">
        <f>(T4052-W4052)/T4052</f>
        <v>1</v>
      </c>
      <c r="Z4052" s="2" t="s">
        <v>3237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1327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2"/>
        <v>2.99</v>
      </c>
      <c r="V4053" s="10">
        <f t="shared" si="513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3237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14">T4053-W4053</f>
        <v>4.7999999999999989</v>
      </c>
      <c r="AL4053" s="5">
        <f t="shared" ref="AL4053" si="515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1327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2"/>
        <v>4.6000000000000005</v>
      </c>
      <c r="V4054" s="10">
        <f t="shared" si="513"/>
        <v>24.6</v>
      </c>
      <c r="X4054" s="5">
        <f>(T4054-W4054)/T4054</f>
        <v>1</v>
      </c>
      <c r="Z4054" s="2" t="s">
        <v>3237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3110</v>
      </c>
      <c r="P4055" s="2" t="s">
        <v>1041</v>
      </c>
      <c r="Q4055" s="2" t="s">
        <v>3045</v>
      </c>
      <c r="R4055" s="2" t="s">
        <v>3046</v>
      </c>
      <c r="S4055" s="9">
        <v>1</v>
      </c>
      <c r="T4055" s="10">
        <v>280</v>
      </c>
      <c r="U4055" s="2">
        <f t="shared" si="512"/>
        <v>64.400000000000006</v>
      </c>
      <c r="V4055" s="2">
        <f t="shared" si="513"/>
        <v>344.4</v>
      </c>
      <c r="W4055" s="2">
        <v>153.4</v>
      </c>
      <c r="X4055" s="5">
        <f t="shared" ref="X4055:X4060" si="516">(T4055-W4055)/T4055</f>
        <v>0.45214285714285712</v>
      </c>
      <c r="Z4055" s="2" t="s">
        <v>3237</v>
      </c>
      <c r="AA4055" s="2" t="s">
        <v>76</v>
      </c>
      <c r="AB4055" s="2" t="s">
        <v>77</v>
      </c>
      <c r="AC4055" s="2" t="s">
        <v>1041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3110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2"/>
        <v>0.34040000000000004</v>
      </c>
      <c r="V4056" s="10">
        <f t="shared" si="513"/>
        <v>1.8204</v>
      </c>
      <c r="W4056" s="2">
        <f>1.48*S4056</f>
        <v>1.48</v>
      </c>
      <c r="X4056" s="5">
        <f t="shared" si="516"/>
        <v>0</v>
      </c>
      <c r="Z4056" s="2" t="s">
        <v>3237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2"/>
        <v>4.83</v>
      </c>
      <c r="V4057" s="10">
        <f t="shared" si="513"/>
        <v>25.83</v>
      </c>
      <c r="X4057" s="5">
        <f t="shared" si="516"/>
        <v>1</v>
      </c>
      <c r="Z4057" s="2" t="s">
        <v>3237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2"/>
        <v>6.9</v>
      </c>
      <c r="V4058" s="10">
        <f t="shared" si="513"/>
        <v>36.9</v>
      </c>
      <c r="X4058" s="5">
        <f t="shared" si="516"/>
        <v>1</v>
      </c>
      <c r="Z4058" s="2" t="s">
        <v>3237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2"/>
        <v>4.5540000000000003</v>
      </c>
      <c r="V4059" s="10">
        <f t="shared" si="513"/>
        <v>24.353999999999999</v>
      </c>
      <c r="X4059" s="5">
        <f t="shared" si="516"/>
        <v>1</v>
      </c>
      <c r="Z4059" s="2" t="s">
        <v>3237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2"/>
        <v>8.2800000000000011</v>
      </c>
      <c r="V4060" s="10">
        <f t="shared" si="513"/>
        <v>44.28</v>
      </c>
      <c r="X4060" s="5">
        <f t="shared" si="516"/>
        <v>1</v>
      </c>
      <c r="Z4060" s="2" t="s">
        <v>3237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1153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2"/>
        <v>50.6</v>
      </c>
      <c r="V4061" s="10">
        <f t="shared" si="513"/>
        <v>270.60000000000002</v>
      </c>
      <c r="W4061" s="2">
        <v>131.93</v>
      </c>
      <c r="X4061" s="5">
        <f>(T4061-W4061)/T4061</f>
        <v>0.4003181818181818</v>
      </c>
      <c r="Z4061" s="2" t="s">
        <v>3237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1153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2"/>
        <v>0.34040000000000004</v>
      </c>
      <c r="V4062" s="10">
        <f t="shared" si="513"/>
        <v>1.8204</v>
      </c>
      <c r="W4062" s="2">
        <f>1.48*S4062</f>
        <v>1.48</v>
      </c>
      <c r="X4062" s="5">
        <f>(T4062-W4062)/T4062</f>
        <v>0</v>
      </c>
      <c r="Z4062" s="2" t="s">
        <v>3237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2"/>
        <v>13.8</v>
      </c>
      <c r="V4063" s="2">
        <f t="shared" si="513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2"/>
        <v>12.65</v>
      </c>
      <c r="V4064" s="2">
        <f t="shared" si="513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7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1985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7"/>
        <v>0.25</v>
      </c>
      <c r="Z4066" s="2" t="s">
        <v>3237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1171</v>
      </c>
      <c r="P4067" s="2" t="s">
        <v>43</v>
      </c>
      <c r="Q4067" s="2" t="s">
        <v>974</v>
      </c>
      <c r="R4067" s="2" t="s">
        <v>975</v>
      </c>
      <c r="S4067" s="9">
        <v>4</v>
      </c>
      <c r="T4067" s="10">
        <v>116</v>
      </c>
      <c r="U4067" s="2">
        <f t="shared" ref="U4067:U4072" si="518">T4067*23%</f>
        <v>26.68</v>
      </c>
      <c r="V4067" s="10">
        <f t="shared" ref="V4067:V4072" si="519">T4067+U4067</f>
        <v>142.68</v>
      </c>
      <c r="X4067" s="5">
        <f t="shared" ref="X4067:X4072" si="520">(T4067-W4067)/T4067</f>
        <v>1</v>
      </c>
      <c r="Z4067" s="2" t="s">
        <v>3237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3273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2654</v>
      </c>
      <c r="L4068" s="2" t="s">
        <v>340</v>
      </c>
      <c r="M4068" s="2" t="s">
        <v>291</v>
      </c>
      <c r="O4068" s="2" t="s">
        <v>3272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8"/>
        <v>4577</v>
      </c>
      <c r="V4068" s="2">
        <f t="shared" si="519"/>
        <v>24477</v>
      </c>
      <c r="W4068" s="2">
        <f>10699.41+285.74</f>
        <v>10985.15</v>
      </c>
      <c r="X4068" s="5">
        <f t="shared" si="520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3269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2654</v>
      </c>
      <c r="L4069" s="2" t="s">
        <v>419</v>
      </c>
      <c r="M4069" s="2" t="s">
        <v>41</v>
      </c>
      <c r="O4069" s="2" t="s">
        <v>3274</v>
      </c>
      <c r="P4069" s="2" t="s">
        <v>115</v>
      </c>
      <c r="Q4069" s="2" t="s">
        <v>958</v>
      </c>
      <c r="R4069" s="2" t="s">
        <v>959</v>
      </c>
      <c r="S4069" s="9">
        <v>1</v>
      </c>
      <c r="T4069" s="10">
        <v>8930</v>
      </c>
      <c r="U4069" s="2">
        <f t="shared" si="518"/>
        <v>2053.9</v>
      </c>
      <c r="V4069" s="10">
        <f t="shared" si="519"/>
        <v>10983.9</v>
      </c>
      <c r="W4069" s="2">
        <f>6348.73+221.85</f>
        <v>6570.58</v>
      </c>
      <c r="X4069" s="5">
        <f t="shared" si="520"/>
        <v>0.2642127659574468</v>
      </c>
      <c r="Z4069" s="2" t="s">
        <v>105</v>
      </c>
      <c r="AA4069" s="2" t="s">
        <v>617</v>
      </c>
      <c r="AB4069" s="2" t="s">
        <v>3275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3269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2654</v>
      </c>
      <c r="L4070" s="2" t="s">
        <v>419</v>
      </c>
      <c r="M4070" s="2" t="s">
        <v>41</v>
      </c>
      <c r="O4070" s="2" t="s">
        <v>3274</v>
      </c>
      <c r="P4070" s="2" t="s">
        <v>115</v>
      </c>
      <c r="Q4070" s="2" t="s">
        <v>1585</v>
      </c>
      <c r="R4070" s="2" t="s">
        <v>1586</v>
      </c>
      <c r="S4070" s="9">
        <v>1</v>
      </c>
      <c r="T4070" s="10">
        <v>6990</v>
      </c>
      <c r="U4070" s="2">
        <f t="shared" si="518"/>
        <v>1607.7</v>
      </c>
      <c r="V4070" s="10">
        <f t="shared" si="519"/>
        <v>8597.7000000000007</v>
      </c>
      <c r="W4070" s="2">
        <f>4893.23+171</f>
        <v>5064.2299999999996</v>
      </c>
      <c r="X4070" s="5">
        <f t="shared" si="520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3114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8"/>
        <v>72.22</v>
      </c>
      <c r="V4071" s="2">
        <f t="shared" si="519"/>
        <v>386.22</v>
      </c>
      <c r="W4071" s="2">
        <f>T4071*40%</f>
        <v>125.60000000000001</v>
      </c>
      <c r="X4071" s="5">
        <f t="shared" si="520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3114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8"/>
        <v>50.6</v>
      </c>
      <c r="V4072" s="2">
        <f t="shared" si="519"/>
        <v>270.60000000000002</v>
      </c>
      <c r="W4072" s="2">
        <f>T4072*50%</f>
        <v>110</v>
      </c>
      <c r="X4072" s="5">
        <f t="shared" si="520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3114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2131</v>
      </c>
      <c r="P4074" s="2" t="s">
        <v>1041</v>
      </c>
      <c r="Q4074" s="2" t="s">
        <v>3047</v>
      </c>
      <c r="R4074" s="2" t="s">
        <v>3048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3237</v>
      </c>
      <c r="AA4074" s="2" t="s">
        <v>1044</v>
      </c>
      <c r="AB4074" s="2" t="s">
        <v>1274</v>
      </c>
      <c r="AC4074" s="2" t="s">
        <v>1041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3237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21">T4075-W4075</f>
        <v>18.878</v>
      </c>
      <c r="AL4075" s="5">
        <f t="shared" ref="AL4075" si="522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3108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3108</v>
      </c>
      <c r="P4077" s="2" t="s">
        <v>115</v>
      </c>
      <c r="Q4077" s="2" t="s">
        <v>2122</v>
      </c>
      <c r="R4077" s="2" t="s">
        <v>2123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3108</v>
      </c>
      <c r="P4078" s="2" t="s">
        <v>115</v>
      </c>
      <c r="Q4078" s="2" t="s">
        <v>1186</v>
      </c>
      <c r="R4078" s="2" t="s">
        <v>1187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3109</v>
      </c>
      <c r="E4079" s="2" t="s">
        <v>38</v>
      </c>
      <c r="F4079" s="2" t="s">
        <v>39</v>
      </c>
      <c r="H4079" s="2" t="s">
        <v>110</v>
      </c>
      <c r="I4079" s="2" t="s">
        <v>3295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3390</v>
      </c>
      <c r="D4080" s="2" t="s">
        <v>1359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1360</v>
      </c>
      <c r="L4080" s="2" t="s">
        <v>419</v>
      </c>
      <c r="M4080" s="2" t="s">
        <v>41</v>
      </c>
      <c r="P4080" s="2" t="s">
        <v>43</v>
      </c>
      <c r="Q4080" s="2" t="s">
        <v>2931</v>
      </c>
      <c r="R4080" s="2" t="s">
        <v>270</v>
      </c>
      <c r="S4080" s="9">
        <v>1</v>
      </c>
      <c r="T4080" s="10">
        <v>10.8</v>
      </c>
      <c r="U4080" s="2">
        <f t="shared" ref="U4080:U4106" si="523">T4080*23%</f>
        <v>2.4840000000000004</v>
      </c>
      <c r="V4080" s="10">
        <f t="shared" ref="V4080:V4107" si="524">T4080+U4080</f>
        <v>13.284000000000001</v>
      </c>
      <c r="W4080" s="2">
        <v>5.23</v>
      </c>
      <c r="X4080" s="5">
        <f t="shared" ref="X4080:X4109" si="525">(T4080-W4080)/T4080</f>
        <v>0.51574074074074072</v>
      </c>
      <c r="Z4080" s="2" t="s">
        <v>3237</v>
      </c>
      <c r="AA4080" s="2" t="s">
        <v>46</v>
      </c>
      <c r="AB4080" s="2" t="s">
        <v>91</v>
      </c>
      <c r="AC4080" s="2" t="s">
        <v>58</v>
      </c>
      <c r="AI4080" s="2"/>
      <c r="AK4080" s="2">
        <f t="shared" ref="AK4080:AK4109" si="526">T4080-W4080</f>
        <v>5.57</v>
      </c>
      <c r="AL4080" s="5">
        <f t="shared" ref="AL4080:AL4109" si="527">(T4080-W4080)/T4080</f>
        <v>0.51574074074074072</v>
      </c>
    </row>
    <row r="4081" spans="1:38" x14ac:dyDescent="0.2">
      <c r="A4081" s="8">
        <v>2026</v>
      </c>
      <c r="B4081" s="8">
        <v>6</v>
      </c>
      <c r="C4081" s="8" t="s">
        <v>3390</v>
      </c>
      <c r="D4081" s="2" t="s">
        <v>1359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1360</v>
      </c>
      <c r="L4081" s="2" t="s">
        <v>419</v>
      </c>
      <c r="M4081" s="2" t="s">
        <v>41</v>
      </c>
      <c r="P4081" s="2" t="s">
        <v>43</v>
      </c>
      <c r="Q4081" s="2" t="s">
        <v>2932</v>
      </c>
      <c r="R4081" s="2" t="s">
        <v>2933</v>
      </c>
      <c r="S4081" s="9">
        <v>1</v>
      </c>
      <c r="T4081" s="10">
        <v>3.6</v>
      </c>
      <c r="U4081" s="2">
        <f t="shared" si="523"/>
        <v>0.82800000000000007</v>
      </c>
      <c r="V4081" s="10">
        <f t="shared" si="524"/>
        <v>4.4279999999999999</v>
      </c>
      <c r="W4081" s="2">
        <f>0.97*S4081</f>
        <v>0.97</v>
      </c>
      <c r="X4081" s="5">
        <f t="shared" si="525"/>
        <v>0.73055555555555551</v>
      </c>
      <c r="Z4081" s="2" t="s">
        <v>3237</v>
      </c>
      <c r="AA4081" s="2" t="s">
        <v>46</v>
      </c>
      <c r="AB4081" s="2" t="s">
        <v>91</v>
      </c>
      <c r="AC4081" s="2" t="s">
        <v>58</v>
      </c>
      <c r="AI4081" s="2"/>
      <c r="AK4081" s="2">
        <f t="shared" si="526"/>
        <v>2.63</v>
      </c>
      <c r="AL4081" s="5">
        <f t="shared" si="527"/>
        <v>0.73055555555555551</v>
      </c>
    </row>
    <row r="4082" spans="1:38" x14ac:dyDescent="0.2">
      <c r="A4082" s="8">
        <v>2026</v>
      </c>
      <c r="B4082" s="8">
        <v>6</v>
      </c>
      <c r="C4082" s="8" t="s">
        <v>3390</v>
      </c>
      <c r="D4082" s="2" t="s">
        <v>1359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1360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23"/>
        <v>4.83</v>
      </c>
      <c r="V4082" s="10">
        <f t="shared" si="524"/>
        <v>25.83</v>
      </c>
      <c r="W4082" s="2">
        <f>10.67*S4082</f>
        <v>10.67</v>
      </c>
      <c r="X4082" s="5">
        <f t="shared" si="525"/>
        <v>0.4919047619047619</v>
      </c>
      <c r="Z4082" s="2" t="s">
        <v>3237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26"/>
        <v>10.33</v>
      </c>
      <c r="AL4082" s="5">
        <f t="shared" si="527"/>
        <v>0.4919047619047619</v>
      </c>
    </row>
    <row r="4083" spans="1:38" x14ac:dyDescent="0.2">
      <c r="A4083" s="8">
        <v>2026</v>
      </c>
      <c r="B4083" s="8">
        <v>6</v>
      </c>
      <c r="C4083" s="8" t="s">
        <v>3390</v>
      </c>
      <c r="D4083" s="2" t="s">
        <v>1359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1360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23"/>
        <v>4.83</v>
      </c>
      <c r="V4083" s="10">
        <f t="shared" si="524"/>
        <v>25.83</v>
      </c>
      <c r="W4083" s="2">
        <f>9.3*S4083</f>
        <v>9.3000000000000007</v>
      </c>
      <c r="X4083" s="5">
        <f t="shared" si="525"/>
        <v>0.55714285714285716</v>
      </c>
      <c r="Z4083" s="2" t="s">
        <v>3237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26"/>
        <v>11.7</v>
      </c>
      <c r="AL4083" s="5">
        <f t="shared" si="527"/>
        <v>0.55714285714285716</v>
      </c>
    </row>
    <row r="4084" spans="1:38" x14ac:dyDescent="0.2">
      <c r="A4084" s="8">
        <v>2026</v>
      </c>
      <c r="B4084" s="8">
        <v>6</v>
      </c>
      <c r="C4084" s="8" t="s">
        <v>3390</v>
      </c>
      <c r="D4084" s="2" t="s">
        <v>1359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1360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23"/>
        <v>2.0700000000000003</v>
      </c>
      <c r="V4084" s="10">
        <f t="shared" si="524"/>
        <v>11.07</v>
      </c>
      <c r="W4084" s="2">
        <f>3.7358*S4084</f>
        <v>3.7357999999999998</v>
      </c>
      <c r="X4084" s="5">
        <f t="shared" si="525"/>
        <v>0.58491111111111116</v>
      </c>
      <c r="Z4084" s="2" t="s">
        <v>3237</v>
      </c>
      <c r="AA4084" s="2" t="s">
        <v>46</v>
      </c>
      <c r="AB4084" s="2" t="s">
        <v>47</v>
      </c>
      <c r="AC4084" s="2" t="s">
        <v>48</v>
      </c>
      <c r="AI4084" s="2"/>
      <c r="AK4084" s="2">
        <f t="shared" si="526"/>
        <v>5.2642000000000007</v>
      </c>
      <c r="AL4084" s="5">
        <f t="shared" si="527"/>
        <v>0.58491111111111116</v>
      </c>
    </row>
    <row r="4085" spans="1:38" x14ac:dyDescent="0.2">
      <c r="A4085" s="8">
        <v>2026</v>
      </c>
      <c r="B4085" s="8">
        <v>6</v>
      </c>
      <c r="C4085" s="8" t="s">
        <v>3390</v>
      </c>
      <c r="D4085" s="2" t="s">
        <v>1359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1360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23"/>
        <v>3.3120000000000003</v>
      </c>
      <c r="V4085" s="10">
        <f t="shared" si="524"/>
        <v>17.712</v>
      </c>
      <c r="X4085" s="5">
        <f t="shared" si="525"/>
        <v>1</v>
      </c>
      <c r="Z4085" s="2" t="s">
        <v>3237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26"/>
        <v>14.4</v>
      </c>
      <c r="AL4085" s="5">
        <f t="shared" si="527"/>
        <v>1</v>
      </c>
    </row>
    <row r="4086" spans="1:38" x14ac:dyDescent="0.2">
      <c r="A4086" s="8">
        <v>2026</v>
      </c>
      <c r="B4086" s="8">
        <v>6</v>
      </c>
      <c r="C4086" s="8" t="s">
        <v>3390</v>
      </c>
      <c r="D4086" s="2" t="s">
        <v>1359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1360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23"/>
        <v>4.0019999999999998</v>
      </c>
      <c r="V4086" s="10">
        <f t="shared" si="524"/>
        <v>21.401999999999997</v>
      </c>
      <c r="W4086" s="2">
        <f>9.075*S4086</f>
        <v>9.0749999999999993</v>
      </c>
      <c r="X4086" s="5">
        <f t="shared" si="525"/>
        <v>0.47844827586206895</v>
      </c>
      <c r="Z4086" s="2" t="s">
        <v>3237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26"/>
        <v>8.3249999999999993</v>
      </c>
      <c r="AL4086" s="5">
        <f t="shared" si="527"/>
        <v>0.47844827586206895</v>
      </c>
    </row>
    <row r="4087" spans="1:38" x14ac:dyDescent="0.2">
      <c r="A4087" s="8">
        <v>2026</v>
      </c>
      <c r="B4087" s="8">
        <v>6</v>
      </c>
      <c r="C4087" s="8" t="s">
        <v>3390</v>
      </c>
      <c r="D4087" s="2" t="s">
        <v>1359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1360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23"/>
        <v>4.83</v>
      </c>
      <c r="V4087" s="10">
        <f t="shared" si="524"/>
        <v>25.83</v>
      </c>
      <c r="X4087" s="5">
        <f t="shared" si="525"/>
        <v>1</v>
      </c>
      <c r="Z4087" s="2" t="s">
        <v>3237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26"/>
        <v>21</v>
      </c>
      <c r="AL4087" s="5">
        <f t="shared" si="527"/>
        <v>1</v>
      </c>
    </row>
    <row r="4088" spans="1:38" x14ac:dyDescent="0.2">
      <c r="A4088" s="8">
        <v>2026</v>
      </c>
      <c r="B4088" s="8">
        <v>6</v>
      </c>
      <c r="C4088" s="8" t="s">
        <v>3390</v>
      </c>
      <c r="D4088" s="2" t="s">
        <v>1359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1360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23"/>
        <v>5.7960000000000003</v>
      </c>
      <c r="V4088" s="10">
        <f t="shared" si="524"/>
        <v>30.995999999999999</v>
      </c>
      <c r="X4088" s="5">
        <f t="shared" si="525"/>
        <v>1</v>
      </c>
      <c r="Z4088" s="2" t="s">
        <v>3237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26"/>
        <v>25.2</v>
      </c>
      <c r="AL4088" s="5">
        <f t="shared" si="527"/>
        <v>1</v>
      </c>
    </row>
    <row r="4089" spans="1:38" x14ac:dyDescent="0.2">
      <c r="A4089" s="8">
        <v>2026</v>
      </c>
      <c r="B4089" s="8">
        <v>6</v>
      </c>
      <c r="C4089" s="8" t="s">
        <v>3390</v>
      </c>
      <c r="D4089" s="2" t="s">
        <v>1359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1360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23"/>
        <v>6.9</v>
      </c>
      <c r="V4089" s="10">
        <f t="shared" si="524"/>
        <v>36.9</v>
      </c>
      <c r="X4089" s="5">
        <f t="shared" si="525"/>
        <v>1</v>
      </c>
      <c r="Z4089" s="2" t="s">
        <v>3237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26"/>
        <v>30</v>
      </c>
      <c r="AL4089" s="5">
        <f t="shared" si="527"/>
        <v>1</v>
      </c>
    </row>
    <row r="4090" spans="1:38" x14ac:dyDescent="0.2">
      <c r="A4090" s="8">
        <v>2026</v>
      </c>
      <c r="B4090" s="8">
        <v>6</v>
      </c>
      <c r="C4090" s="8" t="s">
        <v>3390</v>
      </c>
      <c r="D4090" s="2" t="s">
        <v>1359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1360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23"/>
        <v>4.1400000000000006</v>
      </c>
      <c r="V4090" s="10">
        <f t="shared" si="524"/>
        <v>22.14</v>
      </c>
      <c r="X4090" s="5">
        <f t="shared" si="525"/>
        <v>1</v>
      </c>
      <c r="Z4090" s="2" t="s">
        <v>3237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26"/>
        <v>18</v>
      </c>
      <c r="AL4090" s="5">
        <f t="shared" si="527"/>
        <v>1</v>
      </c>
    </row>
    <row r="4091" spans="1:38" x14ac:dyDescent="0.2">
      <c r="A4091" s="8">
        <v>2026</v>
      </c>
      <c r="B4091" s="8">
        <v>6</v>
      </c>
      <c r="C4091" s="8" t="s">
        <v>3390</v>
      </c>
      <c r="D4091" s="2" t="s">
        <v>1359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1360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23"/>
        <v>4.5540000000000003</v>
      </c>
      <c r="V4091" s="10">
        <f t="shared" si="524"/>
        <v>24.353999999999999</v>
      </c>
      <c r="X4091" s="5">
        <f t="shared" si="525"/>
        <v>1</v>
      </c>
      <c r="Z4091" s="2" t="s">
        <v>3237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26"/>
        <v>19.8</v>
      </c>
      <c r="AL4091" s="5">
        <f t="shared" si="527"/>
        <v>1</v>
      </c>
    </row>
    <row r="4092" spans="1:38" x14ac:dyDescent="0.2">
      <c r="A4092" s="8">
        <v>2026</v>
      </c>
      <c r="B4092" s="8">
        <v>6</v>
      </c>
      <c r="C4092" s="8" t="s">
        <v>3390</v>
      </c>
      <c r="D4092" s="2" t="s">
        <v>1359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1360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23"/>
        <v>5.2440000000000007</v>
      </c>
      <c r="V4092" s="10">
        <f t="shared" si="524"/>
        <v>28.044</v>
      </c>
      <c r="X4092" s="5">
        <f t="shared" si="525"/>
        <v>1</v>
      </c>
      <c r="Z4092" s="2" t="s">
        <v>3237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26"/>
        <v>22.8</v>
      </c>
      <c r="AL4092" s="5">
        <f t="shared" si="527"/>
        <v>1</v>
      </c>
    </row>
    <row r="4093" spans="1:38" x14ac:dyDescent="0.2">
      <c r="A4093" s="8">
        <v>2026</v>
      </c>
      <c r="B4093" s="8">
        <v>6</v>
      </c>
      <c r="C4093" s="8" t="s">
        <v>3390</v>
      </c>
      <c r="D4093" s="2" t="s">
        <v>1359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1360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23"/>
        <v>5.5200000000000005</v>
      </c>
      <c r="V4093" s="10">
        <f t="shared" si="524"/>
        <v>29.52</v>
      </c>
      <c r="W4093" s="2">
        <f>12.71*S4093</f>
        <v>12.71</v>
      </c>
      <c r="X4093" s="5">
        <f t="shared" si="525"/>
        <v>0.47041666666666665</v>
      </c>
      <c r="Z4093" s="2" t="s">
        <v>3237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26"/>
        <v>11.29</v>
      </c>
      <c r="AL4093" s="5">
        <f t="shared" si="527"/>
        <v>0.47041666666666665</v>
      </c>
    </row>
    <row r="4094" spans="1:38" x14ac:dyDescent="0.2">
      <c r="A4094" s="8">
        <v>2026</v>
      </c>
      <c r="B4094" s="8">
        <v>6</v>
      </c>
      <c r="C4094" s="8" t="s">
        <v>3390</v>
      </c>
      <c r="D4094" s="2" t="s">
        <v>1359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1360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23"/>
        <v>0</v>
      </c>
      <c r="V4094" s="10">
        <f t="shared" si="524"/>
        <v>0</v>
      </c>
      <c r="W4094" s="2">
        <v>10.6</v>
      </c>
      <c r="X4094" s="5">
        <v>0</v>
      </c>
      <c r="Z4094" s="2" t="s">
        <v>3237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3390</v>
      </c>
      <c r="D4095" s="2" t="s">
        <v>1359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1360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2">
        <v>100</v>
      </c>
      <c r="T4095" s="10">
        <v>14</v>
      </c>
      <c r="U4095" s="2">
        <f t="shared" si="523"/>
        <v>3.22</v>
      </c>
      <c r="V4095" s="10">
        <f t="shared" si="524"/>
        <v>17.22</v>
      </c>
      <c r="W4095" s="2">
        <f>0.0914*S4095</f>
        <v>9.1399999999999988</v>
      </c>
      <c r="X4095" s="5">
        <f t="shared" si="525"/>
        <v>0.34714285714285725</v>
      </c>
      <c r="Z4095" s="2" t="s">
        <v>3237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26"/>
        <v>4.8600000000000012</v>
      </c>
      <c r="AL4095" s="5">
        <f t="shared" si="527"/>
        <v>0.34714285714285725</v>
      </c>
    </row>
    <row r="4096" spans="1:38" x14ac:dyDescent="0.2">
      <c r="A4096" s="8">
        <v>2026</v>
      </c>
      <c r="B4096" s="8">
        <v>6</v>
      </c>
      <c r="C4096" s="8" t="s">
        <v>3390</v>
      </c>
      <c r="D4096" s="2" t="s">
        <v>1359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1360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23"/>
        <v>2.99</v>
      </c>
      <c r="V4096" s="10">
        <f t="shared" si="524"/>
        <v>15.99</v>
      </c>
      <c r="W4096" s="2">
        <f>0.082*S4096</f>
        <v>8.2000000000000011</v>
      </c>
      <c r="X4096" s="5">
        <f t="shared" si="525"/>
        <v>0.36923076923076914</v>
      </c>
      <c r="Z4096" s="2" t="s">
        <v>3237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26"/>
        <v>4.7999999999999989</v>
      </c>
      <c r="AL4096" s="5">
        <f t="shared" si="527"/>
        <v>0.36923076923076914</v>
      </c>
    </row>
    <row r="4097" spans="1:38" x14ac:dyDescent="0.2">
      <c r="A4097" s="8">
        <v>2026</v>
      </c>
      <c r="B4097" s="8">
        <v>6</v>
      </c>
      <c r="C4097" s="8" t="s">
        <v>3390</v>
      </c>
      <c r="D4097" s="2" t="s">
        <v>1359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1360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23"/>
        <v>3.22</v>
      </c>
      <c r="V4097" s="10">
        <f t="shared" si="524"/>
        <v>17.22</v>
      </c>
      <c r="W4097" s="2">
        <f>0.0914*S4097</f>
        <v>9.1399999999999988</v>
      </c>
      <c r="X4097" s="5">
        <f t="shared" si="525"/>
        <v>0.34714285714285725</v>
      </c>
      <c r="Z4097" s="2" t="s">
        <v>3237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26"/>
        <v>4.8600000000000012</v>
      </c>
      <c r="AL4097" s="5">
        <f t="shared" si="527"/>
        <v>0.34714285714285725</v>
      </c>
    </row>
    <row r="4098" spans="1:38" x14ac:dyDescent="0.2">
      <c r="A4098" s="8">
        <v>2026</v>
      </c>
      <c r="B4098" s="8">
        <v>6</v>
      </c>
      <c r="C4098" s="8" t="s">
        <v>3390</v>
      </c>
      <c r="D4098" s="2" t="s">
        <v>1359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1360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1</v>
      </c>
      <c r="T4098" s="10">
        <v>0</v>
      </c>
      <c r="U4098" s="2">
        <f t="shared" si="523"/>
        <v>0</v>
      </c>
      <c r="V4098" s="10">
        <f t="shared" si="524"/>
        <v>0</v>
      </c>
      <c r="X4098" s="5">
        <v>0</v>
      </c>
      <c r="Z4098" s="2" t="s">
        <v>3237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3390</v>
      </c>
      <c r="D4099" s="2" t="s">
        <v>1359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1360</v>
      </c>
      <c r="L4099" s="2" t="s">
        <v>419</v>
      </c>
      <c r="M4099" s="2" t="s">
        <v>41</v>
      </c>
      <c r="P4099" s="2" t="s">
        <v>43</v>
      </c>
      <c r="Q4099" s="2" t="s">
        <v>2975</v>
      </c>
      <c r="R4099" s="2" t="s">
        <v>2976</v>
      </c>
      <c r="S4099" s="9">
        <v>2</v>
      </c>
      <c r="T4099" s="10">
        <v>40</v>
      </c>
      <c r="U4099" s="2">
        <f t="shared" si="523"/>
        <v>9.2000000000000011</v>
      </c>
      <c r="V4099" s="10">
        <f t="shared" si="524"/>
        <v>49.2</v>
      </c>
      <c r="X4099" s="5">
        <f t="shared" si="525"/>
        <v>1</v>
      </c>
      <c r="Z4099" s="2" t="s">
        <v>3237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26"/>
        <v>40</v>
      </c>
      <c r="AL4099" s="5">
        <f t="shared" si="527"/>
        <v>1</v>
      </c>
    </row>
    <row r="4100" spans="1:38" x14ac:dyDescent="0.2">
      <c r="A4100" s="8">
        <v>2026</v>
      </c>
      <c r="B4100" s="8">
        <v>6</v>
      </c>
      <c r="C4100" s="8" t="s">
        <v>3390</v>
      </c>
      <c r="D4100" s="2" t="s">
        <v>1359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1360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23"/>
        <v>0.69000000000000006</v>
      </c>
      <c r="V4100" s="10">
        <f t="shared" si="524"/>
        <v>3.69</v>
      </c>
      <c r="X4100" s="5">
        <f t="shared" si="525"/>
        <v>1</v>
      </c>
      <c r="Z4100" s="2" t="s">
        <v>3237</v>
      </c>
      <c r="AA4100" s="2" t="s">
        <v>46</v>
      </c>
      <c r="AI4100" s="2"/>
      <c r="AK4100" s="2">
        <f t="shared" si="526"/>
        <v>3</v>
      </c>
      <c r="AL4100" s="5">
        <f t="shared" si="527"/>
        <v>1</v>
      </c>
    </row>
    <row r="4101" spans="1:38" x14ac:dyDescent="0.2">
      <c r="A4101" s="8">
        <v>2026</v>
      </c>
      <c r="B4101" s="8">
        <v>6</v>
      </c>
      <c r="C4101" s="8" t="s">
        <v>3390</v>
      </c>
      <c r="D4101" s="2" t="s">
        <v>1359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1360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23"/>
        <v>4.83</v>
      </c>
      <c r="V4101" s="10">
        <f t="shared" si="524"/>
        <v>25.83</v>
      </c>
      <c r="X4101" s="5">
        <f t="shared" si="525"/>
        <v>1</v>
      </c>
      <c r="Z4101" s="2" t="s">
        <v>3237</v>
      </c>
      <c r="AA4101" s="2" t="s">
        <v>46</v>
      </c>
      <c r="AI4101" s="2"/>
      <c r="AK4101" s="2">
        <f t="shared" si="526"/>
        <v>21</v>
      </c>
      <c r="AL4101" s="5">
        <f t="shared" si="527"/>
        <v>1</v>
      </c>
    </row>
    <row r="4102" spans="1:38" x14ac:dyDescent="0.2">
      <c r="A4102" s="8">
        <v>2026</v>
      </c>
      <c r="B4102" s="8">
        <v>6</v>
      </c>
      <c r="C4102" s="8" t="s">
        <v>3390</v>
      </c>
      <c r="D4102" s="2" t="s">
        <v>1359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1360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23"/>
        <v>3.3120000000000003</v>
      </c>
      <c r="V4102" s="10">
        <f t="shared" si="524"/>
        <v>17.712</v>
      </c>
      <c r="X4102" s="5">
        <f t="shared" si="525"/>
        <v>1</v>
      </c>
      <c r="Z4102" s="2" t="s">
        <v>3237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26"/>
        <v>14.4</v>
      </c>
      <c r="AL4102" s="5">
        <f t="shared" si="527"/>
        <v>1</v>
      </c>
    </row>
    <row r="4103" spans="1:38" x14ac:dyDescent="0.2">
      <c r="A4103" s="8">
        <v>2026</v>
      </c>
      <c r="B4103" s="8">
        <v>6</v>
      </c>
      <c r="C4103" s="8" t="s">
        <v>3390</v>
      </c>
      <c r="D4103" s="2" t="s">
        <v>1359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1360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23"/>
        <v>2.7600000000000002</v>
      </c>
      <c r="V4103" s="10">
        <f t="shared" si="524"/>
        <v>14.76</v>
      </c>
      <c r="X4103" s="5">
        <f t="shared" si="525"/>
        <v>1</v>
      </c>
      <c r="Z4103" s="2" t="s">
        <v>3237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26"/>
        <v>12</v>
      </c>
      <c r="AL4103" s="5">
        <f t="shared" si="527"/>
        <v>1</v>
      </c>
    </row>
    <row r="4104" spans="1:38" x14ac:dyDescent="0.2">
      <c r="A4104" s="8">
        <v>2026</v>
      </c>
      <c r="B4104" s="8">
        <v>6</v>
      </c>
      <c r="C4104" s="8" t="s">
        <v>3390</v>
      </c>
      <c r="D4104" s="2" t="s">
        <v>1359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1360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23"/>
        <v>2.7600000000000002</v>
      </c>
      <c r="V4104" s="10">
        <f t="shared" si="524"/>
        <v>14.76</v>
      </c>
      <c r="X4104" s="5">
        <f t="shared" si="525"/>
        <v>1</v>
      </c>
      <c r="Z4104" s="2" t="s">
        <v>3237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26"/>
        <v>12</v>
      </c>
      <c r="AL4104" s="5">
        <f t="shared" si="527"/>
        <v>1</v>
      </c>
    </row>
    <row r="4105" spans="1:38" x14ac:dyDescent="0.2">
      <c r="A4105" s="8">
        <v>2026</v>
      </c>
      <c r="B4105" s="8">
        <v>6</v>
      </c>
      <c r="C4105" s="8" t="s">
        <v>3390</v>
      </c>
      <c r="D4105" s="2" t="s">
        <v>1359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1360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23"/>
        <v>5.29</v>
      </c>
      <c r="V4105" s="10">
        <f t="shared" si="524"/>
        <v>28.29</v>
      </c>
      <c r="X4105" s="5">
        <f t="shared" si="525"/>
        <v>1</v>
      </c>
      <c r="Z4105" s="2" t="s">
        <v>3237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26"/>
        <v>23</v>
      </c>
      <c r="AL4105" s="5">
        <f t="shared" si="527"/>
        <v>1</v>
      </c>
    </row>
    <row r="4106" spans="1:38" x14ac:dyDescent="0.2">
      <c r="A4106" s="8">
        <v>2026</v>
      </c>
      <c r="B4106" s="8">
        <v>6</v>
      </c>
      <c r="C4106" s="8" t="s">
        <v>3390</v>
      </c>
      <c r="D4106" s="2" t="s">
        <v>1359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1360</v>
      </c>
      <c r="L4106" s="2" t="s">
        <v>419</v>
      </c>
      <c r="M4106" s="2" t="s">
        <v>41</v>
      </c>
      <c r="P4106" s="2" t="s">
        <v>43</v>
      </c>
      <c r="Q4106" s="2" t="s">
        <v>3049</v>
      </c>
      <c r="R4106" s="2" t="s">
        <v>3050</v>
      </c>
      <c r="S4106" s="9">
        <v>1</v>
      </c>
      <c r="T4106" s="10">
        <v>7.8</v>
      </c>
      <c r="U4106" s="2">
        <f t="shared" si="523"/>
        <v>1.794</v>
      </c>
      <c r="V4106" s="10">
        <f t="shared" si="524"/>
        <v>9.5939999999999994</v>
      </c>
      <c r="X4106" s="5">
        <f t="shared" si="525"/>
        <v>1</v>
      </c>
      <c r="Z4106" s="2" t="s">
        <v>3237</v>
      </c>
      <c r="AA4106" s="2" t="s">
        <v>46</v>
      </c>
      <c r="AI4106" s="2"/>
      <c r="AK4106" s="2">
        <f t="shared" si="526"/>
        <v>7.8</v>
      </c>
      <c r="AL4106" s="5">
        <f t="shared" si="527"/>
        <v>1</v>
      </c>
    </row>
    <row r="4107" spans="1:38" x14ac:dyDescent="0.2">
      <c r="A4107" s="8">
        <v>2026</v>
      </c>
      <c r="B4107" s="8">
        <v>6</v>
      </c>
      <c r="C4107" s="8" t="s">
        <v>3390</v>
      </c>
      <c r="D4107" s="2" t="s">
        <v>1359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1360</v>
      </c>
      <c r="L4107" s="2" t="s">
        <v>419</v>
      </c>
      <c r="M4107" s="2" t="s">
        <v>41</v>
      </c>
      <c r="P4107" s="2" t="s">
        <v>85</v>
      </c>
      <c r="Q4107" s="2" t="s">
        <v>1979</v>
      </c>
      <c r="R4107" s="2" t="s">
        <v>1980</v>
      </c>
      <c r="S4107" s="9">
        <v>1</v>
      </c>
      <c r="T4107" s="10">
        <v>12</v>
      </c>
      <c r="U4107" s="2">
        <f>T4107*23%</f>
        <v>2.7600000000000002</v>
      </c>
      <c r="V4107" s="2">
        <f t="shared" si="524"/>
        <v>14.76</v>
      </c>
      <c r="X4107" s="5">
        <f t="shared" si="525"/>
        <v>1</v>
      </c>
      <c r="Z4107" s="2" t="s">
        <v>3237</v>
      </c>
      <c r="AA4107" s="2" t="s">
        <v>3391</v>
      </c>
      <c r="AI4107" s="2"/>
      <c r="AK4107" s="2">
        <f t="shared" si="526"/>
        <v>12</v>
      </c>
      <c r="AL4107" s="5">
        <f t="shared" si="527"/>
        <v>1</v>
      </c>
    </row>
    <row r="4108" spans="1:38" x14ac:dyDescent="0.2">
      <c r="A4108" s="8">
        <v>2026</v>
      </c>
      <c r="B4108" s="8">
        <v>6</v>
      </c>
      <c r="C4108" s="8" t="s">
        <v>3390</v>
      </c>
      <c r="D4108" s="2" t="s">
        <v>1359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1360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8">T4108*23%</f>
        <v>2.7600000000000002</v>
      </c>
      <c r="V4108" s="2">
        <f t="shared" ref="V4108:V4109" si="529">T4108+U4108</f>
        <v>14.76</v>
      </c>
      <c r="X4108" s="5">
        <f t="shared" si="525"/>
        <v>1</v>
      </c>
      <c r="Z4108" s="2" t="s">
        <v>3237</v>
      </c>
      <c r="AA4108" s="2" t="s">
        <v>3391</v>
      </c>
      <c r="AI4108" s="2"/>
      <c r="AK4108" s="2">
        <f t="shared" si="526"/>
        <v>12</v>
      </c>
      <c r="AL4108" s="5">
        <f t="shared" si="527"/>
        <v>1</v>
      </c>
    </row>
    <row r="4109" spans="1:38" x14ac:dyDescent="0.2">
      <c r="A4109" s="8">
        <v>2026</v>
      </c>
      <c r="B4109" s="8">
        <v>6</v>
      </c>
      <c r="C4109" s="8" t="s">
        <v>3390</v>
      </c>
      <c r="D4109" s="2" t="s">
        <v>1359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1360</v>
      </c>
      <c r="L4109" s="2" t="s">
        <v>419</v>
      </c>
      <c r="M4109" s="2" t="s">
        <v>41</v>
      </c>
      <c r="P4109" s="2" t="s">
        <v>85</v>
      </c>
      <c r="Q4109" s="2" t="s">
        <v>3051</v>
      </c>
      <c r="R4109" s="2" t="s">
        <v>3052</v>
      </c>
      <c r="S4109" s="9">
        <v>1</v>
      </c>
      <c r="T4109" s="10">
        <v>3</v>
      </c>
      <c r="U4109" s="2">
        <f t="shared" si="528"/>
        <v>0.69000000000000006</v>
      </c>
      <c r="V4109" s="2">
        <f t="shared" si="529"/>
        <v>3.69</v>
      </c>
      <c r="X4109" s="5">
        <f t="shared" si="525"/>
        <v>1</v>
      </c>
      <c r="Z4109" s="2" t="s">
        <v>3237</v>
      </c>
      <c r="AA4109" s="2" t="s">
        <v>3391</v>
      </c>
      <c r="AI4109" s="2"/>
      <c r="AK4109" s="2">
        <f t="shared" si="526"/>
        <v>3</v>
      </c>
      <c r="AL4109" s="5">
        <f t="shared" si="52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2565</v>
      </c>
      <c r="P4110" s="2" t="s">
        <v>115</v>
      </c>
      <c r="Q4110" s="2" t="s">
        <v>3053</v>
      </c>
      <c r="R4110" s="2" t="s">
        <v>3054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2565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2565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3055</v>
      </c>
      <c r="R4113" s="2" t="s">
        <v>3056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2219</v>
      </c>
      <c r="R4116" s="2" t="s">
        <v>2220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1531</v>
      </c>
      <c r="P4119" s="2" t="s">
        <v>283</v>
      </c>
      <c r="Q4119" s="2" t="s">
        <v>3057</v>
      </c>
      <c r="R4119" s="2" t="s">
        <v>3058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1531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30">(T4120-W4120)/T4120</f>
        <v>1</v>
      </c>
      <c r="Z4120" s="2" t="s">
        <v>170</v>
      </c>
      <c r="AA4120" s="2" t="s">
        <v>170</v>
      </c>
      <c r="AI4120" s="2"/>
      <c r="AK4120" s="2">
        <f t="shared" ref="AK4120" si="531">T4120-W4120</f>
        <v>8</v>
      </c>
      <c r="AL4120" s="5">
        <f t="shared" ref="AL4120" si="532">(T4120-W4120)/T4120</f>
        <v>1</v>
      </c>
    </row>
    <row r="4121" spans="1:38" x14ac:dyDescent="0.2">
      <c r="A4121" s="8">
        <v>2026</v>
      </c>
      <c r="B4121" s="8">
        <v>6</v>
      </c>
      <c r="C4121" s="8"/>
      <c r="D4121" s="2" t="s">
        <v>2521</v>
      </c>
      <c r="Q4121" s="2" t="s">
        <v>2983</v>
      </c>
      <c r="R4121" s="2" t="s">
        <v>2984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3059</v>
      </c>
      <c r="R4122" s="2" t="s">
        <v>3060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3237</v>
      </c>
      <c r="AA4122" s="2" t="s">
        <v>156</v>
      </c>
      <c r="AB4122" s="2" t="s">
        <v>3415</v>
      </c>
      <c r="AC4122" s="2" t="s">
        <v>1331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1787</v>
      </c>
      <c r="R4123" s="2" t="s">
        <v>1788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1332</v>
      </c>
      <c r="R4124" s="2" t="s">
        <v>1333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33">(T4124-W4124)/T4124</f>
        <v>0.27945205479452057</v>
      </c>
      <c r="Z4124" s="2" t="s">
        <v>105</v>
      </c>
      <c r="AA4124" s="2" t="s">
        <v>388</v>
      </c>
      <c r="AB4124" s="2" t="s">
        <v>1334</v>
      </c>
      <c r="AC4124" s="2" t="s">
        <v>1331</v>
      </c>
      <c r="AI4124" s="2"/>
      <c r="AK4124" s="2">
        <f t="shared" ref="AK4124" si="534">T4124-W4124</f>
        <v>612</v>
      </c>
      <c r="AL4124" s="5">
        <f t="shared" ref="AL4124" si="535">(T4124-W4124)/T4124</f>
        <v>0.27945205479452057</v>
      </c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2952</v>
      </c>
      <c r="P4126" s="2" t="s">
        <v>73</v>
      </c>
      <c r="Q4126" s="2" t="s">
        <v>1137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3237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x14ac:dyDescent="0.2">
      <c r="A4127" s="8">
        <v>2026</v>
      </c>
      <c r="B4127" s="8">
        <v>6</v>
      </c>
      <c r="C4127" s="8"/>
      <c r="D4127" s="2" t="s">
        <v>2952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3237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3115</v>
      </c>
      <c r="P4128" s="2" t="s">
        <v>115</v>
      </c>
      <c r="Q4128" s="2" t="s">
        <v>958</v>
      </c>
      <c r="R4128" s="2" t="s">
        <v>959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3115</v>
      </c>
      <c r="P4129" s="2" t="s">
        <v>115</v>
      </c>
      <c r="Q4129" s="2" t="s">
        <v>1585</v>
      </c>
      <c r="R4129" s="2" t="s">
        <v>1586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383</v>
      </c>
      <c r="Q4130" s="2" t="s">
        <v>3061</v>
      </c>
      <c r="R4130" s="2" t="s">
        <v>3062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2189</v>
      </c>
      <c r="R4131" s="2" t="s">
        <v>2190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3237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3063</v>
      </c>
      <c r="R4132" s="2" t="s">
        <v>3064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3237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36">(T4133-W4133)/T4133</f>
        <v>1</v>
      </c>
      <c r="Z4133" s="2" t="s">
        <v>170</v>
      </c>
      <c r="AA4133" s="2" t="s">
        <v>170</v>
      </c>
      <c r="AI4133" s="2"/>
      <c r="AK4133" s="2">
        <f t="shared" ref="AK4133" si="537">T4133-W4133</f>
        <v>5</v>
      </c>
      <c r="AL4133" s="5">
        <f t="shared" ref="AL4133" si="538">(T4133-W4133)/T4133</f>
        <v>1</v>
      </c>
    </row>
    <row r="4134" spans="1:38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1312</v>
      </c>
      <c r="R4134" s="2" t="s">
        <v>1313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1314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1883</v>
      </c>
      <c r="R4135" s="2" t="s">
        <v>1884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9">T4136*23%</f>
        <v>13.8</v>
      </c>
      <c r="V4136" s="2">
        <f t="shared" ref="V4136:V4146" si="540">T4136+U4136</f>
        <v>73.8</v>
      </c>
      <c r="W4136" s="2">
        <f>T4136*40%</f>
        <v>24</v>
      </c>
      <c r="X4136" s="5">
        <f t="shared" ref="X4136:X4141" si="541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9"/>
        <v>12.65</v>
      </c>
      <c r="V4137" s="2">
        <f t="shared" si="540"/>
        <v>67.650000000000006</v>
      </c>
      <c r="W4137" s="2">
        <f>T4137*50%</f>
        <v>27.5</v>
      </c>
      <c r="X4137" s="5">
        <f t="shared" si="541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2586</v>
      </c>
      <c r="M4138" s="2" t="s">
        <v>81</v>
      </c>
      <c r="P4138" s="2" t="s">
        <v>1041</v>
      </c>
      <c r="Q4138" s="2" t="s">
        <v>2897</v>
      </c>
      <c r="R4138" s="2" t="s">
        <v>2898</v>
      </c>
      <c r="S4138" s="9">
        <v>1</v>
      </c>
      <c r="T4138" s="10">
        <v>223.1</v>
      </c>
      <c r="U4138" s="2">
        <f t="shared" si="539"/>
        <v>51.313000000000002</v>
      </c>
      <c r="V4138" s="2">
        <f t="shared" si="540"/>
        <v>274.41300000000001</v>
      </c>
      <c r="W4138" s="2">
        <v>141.18</v>
      </c>
      <c r="X4138" s="5">
        <f t="shared" si="541"/>
        <v>0.36718960107575072</v>
      </c>
      <c r="Z4138" s="2" t="s">
        <v>3237</v>
      </c>
      <c r="AA4138" s="2" t="s">
        <v>76</v>
      </c>
      <c r="AB4138" s="2" t="s">
        <v>77</v>
      </c>
      <c r="AC4138" s="2" t="s">
        <v>1041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x14ac:dyDescent="0.2">
      <c r="A4139" s="8">
        <v>2026</v>
      </c>
      <c r="B4139" s="8">
        <v>6</v>
      </c>
      <c r="C4139" s="8"/>
      <c r="D4139" s="2" t="s">
        <v>2586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9"/>
        <v>0.34040000000000004</v>
      </c>
      <c r="V4139" s="10">
        <f t="shared" si="540"/>
        <v>1.8204</v>
      </c>
      <c r="W4139" s="2">
        <f>1.48*S4139</f>
        <v>1.48</v>
      </c>
      <c r="X4139" s="5">
        <f t="shared" si="541"/>
        <v>0</v>
      </c>
      <c r="Z4139" s="2" t="s">
        <v>3237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9"/>
        <v>4.1400000000000006</v>
      </c>
      <c r="V4140" s="10">
        <f t="shared" si="540"/>
        <v>22.14</v>
      </c>
      <c r="X4140" s="5">
        <f t="shared" si="541"/>
        <v>1</v>
      </c>
      <c r="Z4140" s="2" t="s">
        <v>3237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9"/>
        <v>4.83</v>
      </c>
      <c r="V4141" s="10">
        <f t="shared" si="540"/>
        <v>25.83</v>
      </c>
      <c r="W4141" s="2">
        <f>10.67*S4141</f>
        <v>10.67</v>
      </c>
      <c r="X4141" s="5">
        <f t="shared" si="541"/>
        <v>0.4919047619047619</v>
      </c>
      <c r="Z4141" s="2" t="s">
        <v>3237</v>
      </c>
      <c r="AA4141" s="2" t="s">
        <v>46</v>
      </c>
      <c r="AB4141" s="2" t="s">
        <v>47</v>
      </c>
      <c r="AC4141" s="2" t="s">
        <v>48</v>
      </c>
      <c r="AI4141" s="2"/>
      <c r="AK4141" s="2">
        <f t="shared" ref="AK4141" si="542">T4141-W4141</f>
        <v>10.33</v>
      </c>
      <c r="AL4141" s="5">
        <f t="shared" ref="AL4141" si="543">(T4141-W4141)/T4141</f>
        <v>0.4919047619047619</v>
      </c>
    </row>
    <row r="4142" spans="1:38" x14ac:dyDescent="0.2">
      <c r="A4142" s="8">
        <v>2026</v>
      </c>
      <c r="B4142" s="8">
        <v>6</v>
      </c>
      <c r="C4142" s="8"/>
      <c r="D4142" s="2" t="s">
        <v>2016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9"/>
        <v>52.900000000000006</v>
      </c>
      <c r="V4142" s="10">
        <f t="shared" si="540"/>
        <v>282.89999999999998</v>
      </c>
      <c r="W4142" s="2">
        <f>115.92+6.06</f>
        <v>121.98</v>
      </c>
      <c r="X4142" s="5">
        <f t="shared" ref="X4142:X4151" si="544">(T4142-W4142)/T4142</f>
        <v>0.46965217391304348</v>
      </c>
      <c r="Z4142" s="2" t="s">
        <v>3237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x14ac:dyDescent="0.2">
      <c r="A4143" s="8">
        <v>2026</v>
      </c>
      <c r="B4143" s="8">
        <v>6</v>
      </c>
      <c r="C4143" s="8"/>
      <c r="D4143" s="2" t="s">
        <v>2016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9"/>
        <v>0.34040000000000004</v>
      </c>
      <c r="V4143" s="10">
        <f t="shared" si="540"/>
        <v>1.8204</v>
      </c>
      <c r="W4143" s="2">
        <f>1.48*S4143</f>
        <v>1.48</v>
      </c>
      <c r="X4143" s="5">
        <f t="shared" si="544"/>
        <v>0</v>
      </c>
      <c r="Z4143" s="2" t="s">
        <v>3237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1012</v>
      </c>
      <c r="M4144" s="2" t="s">
        <v>81</v>
      </c>
      <c r="P4144" s="2" t="s">
        <v>73</v>
      </c>
      <c r="Q4144" s="2" t="s">
        <v>3065</v>
      </c>
      <c r="R4144" s="2" t="s">
        <v>208</v>
      </c>
      <c r="S4144" s="9">
        <v>1</v>
      </c>
      <c r="T4144" s="10">
        <v>400</v>
      </c>
      <c r="U4144" s="2">
        <f t="shared" si="539"/>
        <v>92</v>
      </c>
      <c r="V4144" s="10">
        <f t="shared" si="540"/>
        <v>492</v>
      </c>
      <c r="W4144" s="2">
        <f>271.66+19.93</f>
        <v>291.59000000000003</v>
      </c>
      <c r="X4144" s="5">
        <f t="shared" si="544"/>
        <v>0.2710249999999999</v>
      </c>
      <c r="Z4144" s="2" t="s">
        <v>3237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x14ac:dyDescent="0.2">
      <c r="A4145" s="8">
        <v>2026</v>
      </c>
      <c r="B4145" s="8">
        <v>6</v>
      </c>
      <c r="C4145" s="8"/>
      <c r="D4145" s="2" t="s">
        <v>1012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9"/>
        <v>0.34040000000000004</v>
      </c>
      <c r="V4145" s="10">
        <f t="shared" si="540"/>
        <v>1.8204</v>
      </c>
      <c r="W4145" s="2">
        <f>1.48*S4145</f>
        <v>1.48</v>
      </c>
      <c r="X4145" s="5">
        <f t="shared" si="544"/>
        <v>0</v>
      </c>
      <c r="Z4145" s="2" t="s">
        <v>3237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9"/>
        <v>92</v>
      </c>
      <c r="V4146" s="10">
        <f t="shared" si="540"/>
        <v>492</v>
      </c>
      <c r="W4146" s="2">
        <v>290</v>
      </c>
      <c r="X4146" s="5">
        <f t="shared" si="544"/>
        <v>0.27500000000000002</v>
      </c>
      <c r="Z4146" s="2" t="s">
        <v>3237</v>
      </c>
      <c r="AA4146" s="2" t="s">
        <v>46</v>
      </c>
      <c r="AB4146" s="2" t="s">
        <v>61</v>
      </c>
      <c r="AC4146" s="2" t="s">
        <v>3343</v>
      </c>
      <c r="AI4146" s="2"/>
      <c r="AK4146" s="2">
        <f t="shared" ref="AK4146" si="545">T4146-W4146</f>
        <v>110</v>
      </c>
      <c r="AL4146" s="5">
        <f t="shared" ref="AL4146" si="546">(T4146-W4146)/T4146</f>
        <v>0.27500000000000002</v>
      </c>
    </row>
    <row r="4147" spans="1:38" x14ac:dyDescent="0.2">
      <c r="A4147" s="8">
        <v>2026</v>
      </c>
      <c r="B4147" s="8">
        <v>6</v>
      </c>
      <c r="C4147" s="8" t="s">
        <v>3305</v>
      </c>
      <c r="D4147" s="2" t="s">
        <v>3340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3178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47">T4147*23%</f>
        <v>1285.7</v>
      </c>
      <c r="V4147" s="10">
        <f t="shared" ref="V4147:V4154" si="548">T4147+U4147</f>
        <v>6875.7</v>
      </c>
      <c r="W4147" s="2">
        <v>4275.9799999999996</v>
      </c>
      <c r="X4147" s="5">
        <f t="shared" si="544"/>
        <v>0.23506618962432924</v>
      </c>
      <c r="Z4147" s="2" t="s">
        <v>105</v>
      </c>
      <c r="AA4147" s="2" t="s">
        <v>617</v>
      </c>
      <c r="AB4147" s="2" t="s">
        <v>3183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x14ac:dyDescent="0.2">
      <c r="A4148" s="8">
        <v>2026</v>
      </c>
      <c r="B4148" s="8">
        <v>6</v>
      </c>
      <c r="C4148" s="8" t="s">
        <v>3305</v>
      </c>
      <c r="D4148" s="2" t="s">
        <v>3340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3178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47"/>
        <v>1021.2</v>
      </c>
      <c r="V4148" s="10">
        <f t="shared" si="548"/>
        <v>5461.2</v>
      </c>
      <c r="W4148" s="2">
        <v>3345.125</v>
      </c>
      <c r="X4148" s="5">
        <f t="shared" si="544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x14ac:dyDescent="0.2">
      <c r="A4149" s="8">
        <v>2026</v>
      </c>
      <c r="B4149" s="8">
        <v>6</v>
      </c>
      <c r="C4149" s="8" t="s">
        <v>3305</v>
      </c>
      <c r="D4149" s="2" t="s">
        <v>3340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3178</v>
      </c>
      <c r="P4149" s="2" t="s">
        <v>1615</v>
      </c>
      <c r="Q4149" s="2" t="s">
        <v>3066</v>
      </c>
      <c r="R4149" s="2" t="s">
        <v>3067</v>
      </c>
      <c r="S4149" s="9">
        <v>2</v>
      </c>
      <c r="T4149" s="10">
        <v>10000</v>
      </c>
      <c r="U4149" s="2">
        <f t="shared" si="547"/>
        <v>2300</v>
      </c>
      <c r="V4149" s="10">
        <f t="shared" si="548"/>
        <v>12300</v>
      </c>
      <c r="W4149" s="2">
        <f>3681.98*2</f>
        <v>7363.96</v>
      </c>
      <c r="X4149" s="5">
        <f t="shared" si="544"/>
        <v>0.263604</v>
      </c>
      <c r="Z4149" s="2" t="s">
        <v>105</v>
      </c>
      <c r="AA4149" s="2" t="s">
        <v>265</v>
      </c>
      <c r="AB4149" s="2" t="s">
        <v>1098</v>
      </c>
      <c r="AC4149" s="2" t="s">
        <v>1615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x14ac:dyDescent="0.2">
      <c r="A4150" s="8">
        <v>2026</v>
      </c>
      <c r="B4150" s="8">
        <v>6</v>
      </c>
      <c r="C4150" s="8" t="s">
        <v>3305</v>
      </c>
      <c r="D4150" s="2" t="s">
        <v>3340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3178</v>
      </c>
      <c r="P4150" s="2" t="s">
        <v>102</v>
      </c>
      <c r="Q4150" s="2" t="s">
        <v>1099</v>
      </c>
      <c r="R4150" s="2" t="s">
        <v>1100</v>
      </c>
      <c r="S4150" s="9">
        <v>1</v>
      </c>
      <c r="T4150" s="10">
        <v>2620</v>
      </c>
      <c r="U4150" s="2">
        <f t="shared" si="547"/>
        <v>602.6</v>
      </c>
      <c r="V4150" s="10">
        <f t="shared" si="548"/>
        <v>3222.6</v>
      </c>
      <c r="W4150" s="2">
        <v>1978.46</v>
      </c>
      <c r="X4150" s="5">
        <f t="shared" si="544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1554</v>
      </c>
      <c r="R4151" s="2" t="s">
        <v>1555</v>
      </c>
      <c r="S4151" s="9">
        <v>1</v>
      </c>
      <c r="T4151" s="10">
        <v>499</v>
      </c>
      <c r="U4151" s="2">
        <f t="shared" si="547"/>
        <v>114.77000000000001</v>
      </c>
      <c r="V4151" s="10">
        <f t="shared" si="548"/>
        <v>613.77</v>
      </c>
      <c r="W4151" s="2">
        <v>297</v>
      </c>
      <c r="X4151" s="5">
        <f t="shared" si="544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9">T4151-W4151</f>
        <v>202</v>
      </c>
      <c r="AL4151" s="5">
        <f t="shared" ref="AL4151" si="550">(T4151-W4151)/T4151</f>
        <v>0.40480961923847697</v>
      </c>
    </row>
    <row r="4152" spans="1:38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47"/>
        <v>0</v>
      </c>
      <c r="V4152" s="10">
        <f t="shared" si="548"/>
        <v>0</v>
      </c>
      <c r="W4152" s="2">
        <f>14.5099*S4152</f>
        <v>29.0198</v>
      </c>
      <c r="Z4152" s="2" t="s">
        <v>3237</v>
      </c>
      <c r="AA4152" s="2" t="s">
        <v>46</v>
      </c>
      <c r="AB4152" s="2" t="s">
        <v>61</v>
      </c>
      <c r="AC4152" s="2" t="s">
        <v>3343</v>
      </c>
      <c r="AI4152" s="2"/>
    </row>
    <row r="4153" spans="1:38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47"/>
        <v>0</v>
      </c>
      <c r="V4153" s="10">
        <f t="shared" si="548"/>
        <v>0</v>
      </c>
      <c r="W4153" s="2">
        <f>14.5099*S4153</f>
        <v>29.0198</v>
      </c>
      <c r="X4153" s="19">
        <v>-1</v>
      </c>
      <c r="Z4153" s="2" t="s">
        <v>3237</v>
      </c>
      <c r="AA4153" s="2" t="s">
        <v>46</v>
      </c>
      <c r="AB4153" s="2" t="s">
        <v>61</v>
      </c>
      <c r="AC4153" s="2" t="s">
        <v>3343</v>
      </c>
      <c r="AI4153" s="2"/>
      <c r="AK4153" s="2">
        <f t="shared" ref="AK4153" si="551">T4153-W4153</f>
        <v>-29.0198</v>
      </c>
      <c r="AL4153" s="19">
        <v>-1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47"/>
        <v>8.2800000000000011</v>
      </c>
      <c r="V4154" s="10">
        <f t="shared" si="548"/>
        <v>44.28</v>
      </c>
      <c r="X4154" s="5">
        <f>(T4154-W4154)/T4154</f>
        <v>1</v>
      </c>
      <c r="Z4154" s="2" t="s">
        <v>3237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52">(T4155-W4155)/T4155</f>
        <v>1</v>
      </c>
      <c r="Z4155" s="2" t="s">
        <v>170</v>
      </c>
      <c r="AA4155" s="2" t="s">
        <v>170</v>
      </c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1018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W4156" s="2">
        <f>10.67*S4156</f>
        <v>32.01</v>
      </c>
      <c r="X4156" s="5">
        <f>(T4156-W4156)/T4156</f>
        <v>0.49190476190476196</v>
      </c>
      <c r="Z4156" s="2" t="s">
        <v>3237</v>
      </c>
      <c r="AA4156" s="2" t="s">
        <v>46</v>
      </c>
      <c r="AB4156" s="2" t="s">
        <v>47</v>
      </c>
      <c r="AC4156" s="2" t="s">
        <v>48</v>
      </c>
      <c r="AI4156" s="2"/>
      <c r="AK4156" s="2">
        <f t="shared" ref="AK4156:AK4157" si="553">T4156-W4156</f>
        <v>30.990000000000002</v>
      </c>
      <c r="AL4156" s="5">
        <f t="shared" ref="AL4156:AL4157" si="554">(T4156-W4156)/T4156</f>
        <v>0.49190476190476196</v>
      </c>
    </row>
    <row r="4157" spans="1:38" x14ac:dyDescent="0.2">
      <c r="A4157" s="8">
        <v>2026</v>
      </c>
      <c r="B4157" s="8">
        <v>6</v>
      </c>
      <c r="C4157" s="8"/>
      <c r="D4157" s="2" t="s">
        <v>1018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W4157" s="2">
        <f>3.7358*S4157</f>
        <v>11.2074</v>
      </c>
      <c r="X4157" s="5">
        <f>(T4157-W4157)/T4157</f>
        <v>0.58491111111111116</v>
      </c>
      <c r="Z4157" s="2" t="s">
        <v>3237</v>
      </c>
      <c r="AA4157" s="2" t="s">
        <v>46</v>
      </c>
      <c r="AB4157" s="2" t="s">
        <v>47</v>
      </c>
      <c r="AC4157" s="2" t="s">
        <v>48</v>
      </c>
      <c r="AI4157" s="2"/>
      <c r="AK4157" s="2">
        <f t="shared" si="553"/>
        <v>15.7926</v>
      </c>
      <c r="AL4157" s="5">
        <f t="shared" si="554"/>
        <v>0.58491111111111116</v>
      </c>
    </row>
    <row r="4158" spans="1:38" x14ac:dyDescent="0.2">
      <c r="A4158" s="8">
        <v>2026</v>
      </c>
      <c r="B4158" s="8">
        <v>6</v>
      </c>
      <c r="C4158" s="8"/>
      <c r="D4158" s="2" t="s">
        <v>1377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55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56">T4158-W4158</f>
        <v>18.917999999999999</v>
      </c>
      <c r="AL4158" s="5">
        <f t="shared" ref="AL4158" si="557">(T4158-W4158)/T4158</f>
        <v>0.45085795996186839</v>
      </c>
    </row>
    <row r="4159" spans="1:38" x14ac:dyDescent="0.2">
      <c r="A4159" s="8">
        <v>2026</v>
      </c>
      <c r="B4159" s="8">
        <v>6</v>
      </c>
      <c r="C4159" s="8"/>
      <c r="D4159" s="2" t="s">
        <v>1560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58">T4159*23%</f>
        <v>92</v>
      </c>
      <c r="V4159" s="10">
        <f t="shared" ref="V4159:V4160" si="559">T4159+U4159</f>
        <v>492</v>
      </c>
      <c r="W4159" s="2">
        <f t="shared" ref="W4159:W4160" si="560">14.5099*S4159</f>
        <v>290.19799999999998</v>
      </c>
      <c r="X4159" s="5">
        <f t="shared" ref="X4159:X4160" si="561">(T4159-W4159)/T4159</f>
        <v>0.27450500000000005</v>
      </c>
      <c r="Z4159" s="2" t="s">
        <v>3237</v>
      </c>
      <c r="AA4159" s="2" t="s">
        <v>46</v>
      </c>
      <c r="AB4159" s="2" t="s">
        <v>61</v>
      </c>
      <c r="AC4159" s="2" t="s">
        <v>3343</v>
      </c>
      <c r="AI4159" s="2"/>
      <c r="AK4159" s="2">
        <f t="shared" ref="AK4159:AK4160" si="562">T4159-W4159</f>
        <v>109.80200000000002</v>
      </c>
      <c r="AL4159" s="5">
        <f t="shared" ref="AL4159:AL4160" si="563"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1560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58"/>
        <v>92</v>
      </c>
      <c r="V4160" s="10">
        <f t="shared" si="559"/>
        <v>492</v>
      </c>
      <c r="W4160" s="2">
        <f t="shared" si="560"/>
        <v>290.19799999999998</v>
      </c>
      <c r="X4160" s="5">
        <f t="shared" si="561"/>
        <v>0.27450500000000005</v>
      </c>
      <c r="Z4160" s="2" t="s">
        <v>3237</v>
      </c>
      <c r="AA4160" s="2" t="s">
        <v>46</v>
      </c>
      <c r="AB4160" s="2" t="s">
        <v>61</v>
      </c>
      <c r="AC4160" s="2" t="s">
        <v>3343</v>
      </c>
      <c r="AI4160" s="2"/>
      <c r="AK4160" s="2">
        <f t="shared" si="562"/>
        <v>109.80200000000002</v>
      </c>
      <c r="AL4160" s="5">
        <f t="shared" si="563"/>
        <v>0.27450500000000005</v>
      </c>
    </row>
    <row r="4161" spans="1:38" x14ac:dyDescent="0.2">
      <c r="A4161" s="8">
        <v>2026</v>
      </c>
      <c r="B4161" s="8">
        <v>6</v>
      </c>
      <c r="C4161" s="8"/>
      <c r="D4161" s="2" t="s">
        <v>1380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3205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64">T4161*23%</f>
        <v>46</v>
      </c>
      <c r="V4161" s="10">
        <f t="shared" ref="V4161:V4166" si="565">T4161+U4161</f>
        <v>246</v>
      </c>
      <c r="W4161" s="2">
        <f>110.125+11.77</f>
        <v>121.895</v>
      </c>
      <c r="X4161" s="5">
        <f t="shared" ref="X4161:X4166" si="566">(T4161-W4161)/T4161</f>
        <v>0.39052500000000001</v>
      </c>
      <c r="Z4161" s="2" t="s">
        <v>3237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67">AI4161*T4161</f>
        <v>0</v>
      </c>
      <c r="AK4161" s="2">
        <f t="shared" ref="AK4161:AK4166" si="568">T4161-W4161</f>
        <v>78.105000000000004</v>
      </c>
      <c r="AL4161" s="5">
        <f t="shared" ref="AL4161:AL4166" si="569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1380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64"/>
        <v>0.34040000000000004</v>
      </c>
      <c r="V4162" s="10">
        <f t="shared" si="565"/>
        <v>1.8204</v>
      </c>
      <c r="W4162" s="2">
        <f>1.48*S4162</f>
        <v>1.48</v>
      </c>
      <c r="X4162" s="5">
        <f t="shared" si="566"/>
        <v>0</v>
      </c>
      <c r="Z4162" s="2" t="s">
        <v>3237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67"/>
        <v>0</v>
      </c>
      <c r="AK4162" s="2">
        <f t="shared" si="568"/>
        <v>0</v>
      </c>
      <c r="AL4162" s="5">
        <f t="shared" si="569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3111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64"/>
        <v>31.51</v>
      </c>
      <c r="V4163" s="2">
        <f t="shared" si="565"/>
        <v>168.51</v>
      </c>
      <c r="W4163" s="2">
        <f>T4163*40%</f>
        <v>54.800000000000004</v>
      </c>
      <c r="X4163" s="5">
        <f t="shared" si="566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67"/>
        <v>0</v>
      </c>
      <c r="AK4163" s="2">
        <f t="shared" si="568"/>
        <v>82.199999999999989</v>
      </c>
      <c r="AL4163" s="5">
        <f t="shared" si="569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3111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64"/>
        <v>18.975000000000001</v>
      </c>
      <c r="V4164" s="2">
        <f t="shared" si="565"/>
        <v>101.47499999999999</v>
      </c>
      <c r="W4164" s="2">
        <f>T4164*50%</f>
        <v>41.25</v>
      </c>
      <c r="X4164" s="5">
        <f t="shared" si="566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67"/>
        <v>0</v>
      </c>
      <c r="AK4164" s="2">
        <f t="shared" si="568"/>
        <v>41.25</v>
      </c>
      <c r="AL4164" s="5">
        <f t="shared" si="569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1245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64"/>
        <v>62.1</v>
      </c>
      <c r="V4165" s="10">
        <f t="shared" si="565"/>
        <v>332.1</v>
      </c>
      <c r="W4165" s="2">
        <v>139.46</v>
      </c>
      <c r="X4165" s="5">
        <f t="shared" si="566"/>
        <v>0.48348148148148146</v>
      </c>
      <c r="Z4165" s="2" t="s">
        <v>3237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67"/>
        <v>0</v>
      </c>
      <c r="AK4165" s="2">
        <f t="shared" si="568"/>
        <v>130.54</v>
      </c>
      <c r="AL4165" s="5">
        <f t="shared" si="569"/>
        <v>0.48348148148148146</v>
      </c>
    </row>
    <row r="4166" spans="1:38" x14ac:dyDescent="0.2">
      <c r="A4166" s="8">
        <v>2026</v>
      </c>
      <c r="B4166" s="8">
        <v>6</v>
      </c>
      <c r="C4166" s="8"/>
      <c r="D4166" s="2" t="s">
        <v>1245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64"/>
        <v>0.34040000000000004</v>
      </c>
      <c r="V4166" s="10">
        <f t="shared" si="565"/>
        <v>1.8204</v>
      </c>
      <c r="W4166" s="2">
        <f>1.48*S4166</f>
        <v>1.48</v>
      </c>
      <c r="X4166" s="5">
        <f t="shared" si="566"/>
        <v>0</v>
      </c>
      <c r="Z4166" s="2" t="s">
        <v>3237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67"/>
        <v>0</v>
      </c>
      <c r="AK4166" s="2">
        <f t="shared" si="568"/>
        <v>0</v>
      </c>
      <c r="AL4166" s="5">
        <f t="shared" si="569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70">T4171+U4171</f>
        <v>236.16</v>
      </c>
      <c r="W4171" s="2">
        <f>14.5099*S4171</f>
        <v>116.0792</v>
      </c>
      <c r="X4171" s="5">
        <f t="shared" ref="X4171" si="571">(T4171-W4171)/T4171</f>
        <v>0.39542083333333333</v>
      </c>
      <c r="Z4171" s="2" t="s">
        <v>3237</v>
      </c>
      <c r="AA4171" s="2" t="s">
        <v>46</v>
      </c>
      <c r="AB4171" s="2" t="s">
        <v>61</v>
      </c>
      <c r="AC4171" s="2" t="s">
        <v>3343</v>
      </c>
      <c r="AI4171" s="2"/>
      <c r="AK4171" s="2">
        <f t="shared" ref="AK4171:AK4172" si="572">T4171-W4171</f>
        <v>75.9208</v>
      </c>
      <c r="AL4171" s="5">
        <f t="shared" ref="AL4171:AL4172" si="573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70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3237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72"/>
        <v>24.300000000000004</v>
      </c>
      <c r="AL4172" s="5">
        <f t="shared" si="573"/>
        <v>0.3471428571428572</v>
      </c>
    </row>
    <row r="4173" spans="1:38" x14ac:dyDescent="0.2">
      <c r="A4173" s="8">
        <v>2026</v>
      </c>
      <c r="B4173" s="8">
        <v>6</v>
      </c>
      <c r="C4173" s="8"/>
      <c r="D4173" s="2" t="s">
        <v>2151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70"/>
        <v>246</v>
      </c>
      <c r="W4173" s="2">
        <v>120.636</v>
      </c>
      <c r="X4173" s="5">
        <f>(T4173-W4173)/T4173</f>
        <v>0.39682000000000001</v>
      </c>
      <c r="Z4173" s="2" t="s">
        <v>3237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2151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70"/>
        <v>36.9</v>
      </c>
      <c r="W4174" s="2">
        <v>28</v>
      </c>
      <c r="X4174" s="5">
        <f t="shared" ref="X4174" si="574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2151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75">T4175*23%</f>
        <v>0.34040000000000004</v>
      </c>
      <c r="V4175" s="10">
        <f t="shared" si="570"/>
        <v>1.8204</v>
      </c>
      <c r="W4175" s="2">
        <f>1.48*S4175</f>
        <v>1.48</v>
      </c>
      <c r="X4175" s="5">
        <f>(T4175-W4175)/T4175</f>
        <v>0</v>
      </c>
      <c r="Z4175" s="2" t="s">
        <v>3237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3238</v>
      </c>
      <c r="Q4176" s="2" t="s">
        <v>2983</v>
      </c>
      <c r="R4176" s="2" t="s">
        <v>2984</v>
      </c>
      <c r="S4176" s="9">
        <v>-1</v>
      </c>
      <c r="T4176" s="10">
        <v>-2460</v>
      </c>
      <c r="U4176" s="2">
        <f t="shared" si="575"/>
        <v>-565.80000000000007</v>
      </c>
      <c r="V4176" s="10">
        <f t="shared" si="570"/>
        <v>-3025.8</v>
      </c>
      <c r="X4176" s="2"/>
      <c r="Z4176" s="2" t="s">
        <v>105</v>
      </c>
      <c r="AI4176" s="2"/>
    </row>
    <row r="4177" spans="1:38" x14ac:dyDescent="0.2">
      <c r="A4177" s="8">
        <v>2026</v>
      </c>
      <c r="B4177" s="8">
        <v>6</v>
      </c>
      <c r="C4177" s="8" t="s">
        <v>3305</v>
      </c>
      <c r="D4177" s="2" t="s">
        <v>3410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3240</v>
      </c>
      <c r="P4177" s="2" t="s">
        <v>1197</v>
      </c>
      <c r="Q4177" s="2" t="s">
        <v>3068</v>
      </c>
      <c r="R4177" s="2" t="s">
        <v>3069</v>
      </c>
      <c r="S4177" s="9">
        <v>1</v>
      </c>
      <c r="T4177" s="10">
        <v>5990</v>
      </c>
      <c r="U4177" s="2">
        <f t="shared" si="575"/>
        <v>1377.7</v>
      </c>
      <c r="V4177" s="10">
        <f>U4177+T4177</f>
        <v>7367.7</v>
      </c>
      <c r="W4177" s="2">
        <v>4214</v>
      </c>
      <c r="X4177" s="5">
        <f t="shared" ref="X4177" si="576">(T4177-W4177)/T4177</f>
        <v>0.29649415692821368</v>
      </c>
      <c r="Z4177" s="2" t="s">
        <v>105</v>
      </c>
      <c r="AA4177" s="2" t="s">
        <v>2754</v>
      </c>
      <c r="AB4177" s="2" t="s">
        <v>3409</v>
      </c>
      <c r="AC4177" s="2" t="s">
        <v>1197</v>
      </c>
      <c r="AI4177" s="2"/>
      <c r="AK4177" s="2">
        <f>T4177-W4177</f>
        <v>1776</v>
      </c>
      <c r="AL4177" s="5">
        <f>(T4177-W4177)/T4177</f>
        <v>0.29649415692821368</v>
      </c>
    </row>
    <row r="4178" spans="1:38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75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75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3121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75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3121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75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3121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1915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77">T4183*23%</f>
        <v>23</v>
      </c>
      <c r="V4183" s="10">
        <f t="shared" ref="V4183:V4184" si="578">T4183+U4183</f>
        <v>123</v>
      </c>
      <c r="W4183" s="2">
        <f t="shared" ref="W4183:W4184" si="579">14.5099*S4183</f>
        <v>58.0396</v>
      </c>
      <c r="X4183" s="5">
        <f t="shared" ref="X4183:X4185" si="580">(T4183-W4183)/T4183</f>
        <v>0.41960399999999998</v>
      </c>
      <c r="Z4183" s="2" t="s">
        <v>3237</v>
      </c>
      <c r="AA4183" s="2" t="s">
        <v>46</v>
      </c>
      <c r="AB4183" s="2" t="s">
        <v>61</v>
      </c>
      <c r="AC4183" s="2" t="s">
        <v>3343</v>
      </c>
      <c r="AI4183" s="2"/>
      <c r="AK4183" s="2">
        <f t="shared" ref="AK4183:AK4185" si="581">T4183-W4183</f>
        <v>41.9604</v>
      </c>
      <c r="AL4183" s="5">
        <f t="shared" ref="AL4183:AL4185" si="582">(T4183-W4183)/T4183</f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1915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77"/>
        <v>23</v>
      </c>
      <c r="V4184" s="10">
        <f t="shared" si="578"/>
        <v>123</v>
      </c>
      <c r="W4184" s="2">
        <f t="shared" si="579"/>
        <v>58.0396</v>
      </c>
      <c r="X4184" s="5">
        <f t="shared" si="580"/>
        <v>0.41960399999999998</v>
      </c>
      <c r="Z4184" s="2" t="s">
        <v>3237</v>
      </c>
      <c r="AA4184" s="2" t="s">
        <v>46</v>
      </c>
      <c r="AB4184" s="2" t="s">
        <v>61</v>
      </c>
      <c r="AC4184" s="2" t="s">
        <v>3343</v>
      </c>
      <c r="AI4184" s="2"/>
      <c r="AK4184" s="2">
        <f t="shared" si="581"/>
        <v>41.9604</v>
      </c>
      <c r="AL4184" s="5">
        <f t="shared" si="582"/>
        <v>0.41960399999999998</v>
      </c>
    </row>
    <row r="4185" spans="1:38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80"/>
        <v>1</v>
      </c>
      <c r="Z4185" s="2" t="s">
        <v>120</v>
      </c>
      <c r="AA4185" s="2" t="s">
        <v>493</v>
      </c>
      <c r="AI4185" s="2"/>
      <c r="AK4185" s="2">
        <f t="shared" si="581"/>
        <v>678.91</v>
      </c>
      <c r="AL4185" s="5">
        <f t="shared" si="582"/>
        <v>1</v>
      </c>
    </row>
    <row r="4186" spans="1:38" x14ac:dyDescent="0.2">
      <c r="A4186" s="8">
        <v>2026</v>
      </c>
      <c r="B4186" s="8">
        <v>6</v>
      </c>
      <c r="C4186" s="8"/>
      <c r="D4186" s="2" t="s">
        <v>3122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83">T4186*23%</f>
        <v>13.8</v>
      </c>
      <c r="V4186" s="2">
        <f t="shared" ref="V4186:V4190" si="584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3122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83"/>
        <v>50.6</v>
      </c>
      <c r="V4187" s="2">
        <f t="shared" si="584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1401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3227</v>
      </c>
      <c r="J4188" s="2" t="s">
        <v>3226</v>
      </c>
      <c r="K4188" s="2">
        <v>913814877</v>
      </c>
      <c r="L4188" s="2" t="s">
        <v>202</v>
      </c>
      <c r="M4188" s="2" t="s">
        <v>81</v>
      </c>
      <c r="O4188" s="2" t="s">
        <v>3225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83"/>
        <v>12.42</v>
      </c>
      <c r="V4188" s="10">
        <f t="shared" si="584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3237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1401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3227</v>
      </c>
      <c r="J4189" s="2" t="s">
        <v>3226</v>
      </c>
      <c r="K4189" s="2">
        <v>913814877</v>
      </c>
      <c r="L4189" s="2" t="s">
        <v>202</v>
      </c>
      <c r="M4189" s="2" t="s">
        <v>81</v>
      </c>
      <c r="O4189" s="2" t="s">
        <v>3225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85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586">T4189-W4189</f>
        <v>8</v>
      </c>
      <c r="AL4189" s="5">
        <f t="shared" ref="AL4189:AL4190" si="587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2440</v>
      </c>
      <c r="P4190" s="2" t="s">
        <v>43</v>
      </c>
      <c r="Q4190" s="2" t="s">
        <v>2877</v>
      </c>
      <c r="R4190" s="2" t="s">
        <v>2878</v>
      </c>
      <c r="S4190" s="9">
        <v>2</v>
      </c>
      <c r="T4190" s="10">
        <v>100</v>
      </c>
      <c r="U4190" s="2">
        <f t="shared" si="583"/>
        <v>23</v>
      </c>
      <c r="V4190" s="10">
        <f t="shared" si="584"/>
        <v>123</v>
      </c>
      <c r="W4190" s="2">
        <f>W3923*S4190</f>
        <v>71.56</v>
      </c>
      <c r="X4190" s="5">
        <f>(T4190-W4190)/T4190</f>
        <v>0.28439999999999999</v>
      </c>
      <c r="Z4190" s="2" t="s">
        <v>3237</v>
      </c>
      <c r="AA4190" s="2" t="s">
        <v>46</v>
      </c>
      <c r="AB4190" s="2" t="s">
        <v>91</v>
      </c>
      <c r="AC4190" s="2" t="s">
        <v>58</v>
      </c>
      <c r="AI4190" s="2"/>
      <c r="AK4190" s="2">
        <f t="shared" si="586"/>
        <v>28.439999999999998</v>
      </c>
      <c r="AL4190" s="5">
        <f t="shared" si="587"/>
        <v>0.28439999999999999</v>
      </c>
    </row>
    <row r="4191" spans="1:38" x14ac:dyDescent="0.2">
      <c r="A4191" s="8">
        <v>2026</v>
      </c>
      <c r="B4191" s="8">
        <v>6</v>
      </c>
      <c r="C4191" s="8"/>
      <c r="D4191" s="2" t="s">
        <v>2440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88">(T4191-W4191)/T4191</f>
        <v>1</v>
      </c>
      <c r="Z4191" s="2" t="s">
        <v>170</v>
      </c>
      <c r="AA4191" s="2" t="s">
        <v>170</v>
      </c>
      <c r="AI4191" s="2"/>
      <c r="AK4191" s="2">
        <f t="shared" ref="AK4191" si="589">T4191-W4191</f>
        <v>8</v>
      </c>
      <c r="AL4191" s="5">
        <f t="shared" ref="AL4191" si="590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2990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2991</v>
      </c>
      <c r="J4192" s="2" t="s">
        <v>1105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2990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2991</v>
      </c>
      <c r="J4193" s="2" t="s">
        <v>1105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2993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2990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2991</v>
      </c>
      <c r="J4194" s="2" t="s">
        <v>1105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x14ac:dyDescent="0.2">
      <c r="A4195" s="8">
        <v>2026</v>
      </c>
      <c r="B4195" s="8">
        <v>6</v>
      </c>
      <c r="C4195" s="8"/>
      <c r="D4195" s="2" t="s">
        <v>2990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2991</v>
      </c>
      <c r="J4195" s="2" t="s">
        <v>1105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x14ac:dyDescent="0.2">
      <c r="A4196" s="8">
        <v>2026</v>
      </c>
      <c r="B4196" s="8">
        <v>6</v>
      </c>
      <c r="C4196" s="8"/>
      <c r="D4196" s="2" t="s">
        <v>2990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2991</v>
      </c>
      <c r="J4196" s="2" t="s">
        <v>1105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91">T4197*23%</f>
        <v>11.040000000000001</v>
      </c>
      <c r="V4197" s="10">
        <f t="shared" ref="V4197:V4202" si="592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3237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1056</v>
      </c>
      <c r="E4198" s="2" t="s">
        <v>184</v>
      </c>
      <c r="F4198" s="2" t="s">
        <v>1057</v>
      </c>
      <c r="G4198" s="2">
        <v>500199523</v>
      </c>
      <c r="H4198" s="2" t="s">
        <v>291</v>
      </c>
      <c r="I4198" s="2" t="s">
        <v>294</v>
      </c>
      <c r="J4198" s="2" t="s">
        <v>1058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91"/>
        <v>50.6</v>
      </c>
      <c r="V4198" s="10">
        <f t="shared" si="592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3237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1056</v>
      </c>
      <c r="E4199" s="2" t="s">
        <v>184</v>
      </c>
      <c r="F4199" s="2" t="s">
        <v>1057</v>
      </c>
      <c r="G4199" s="2">
        <v>500199523</v>
      </c>
      <c r="H4199" s="2" t="s">
        <v>291</v>
      </c>
      <c r="I4199" s="2" t="s">
        <v>294</v>
      </c>
      <c r="J4199" s="2" t="s">
        <v>1058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91"/>
        <v>0.34040000000000004</v>
      </c>
      <c r="V4199" s="10">
        <f t="shared" si="592"/>
        <v>1.8204</v>
      </c>
      <c r="W4199" s="2">
        <f>1.48*S4199</f>
        <v>1.48</v>
      </c>
      <c r="X4199" s="5">
        <f>(T4199-W4199)/T4199</f>
        <v>0</v>
      </c>
      <c r="Z4199" s="2" t="s">
        <v>3237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 t="s">
        <v>3342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91"/>
        <v>-73.160699999999991</v>
      </c>
      <c r="V4200" s="10">
        <f t="shared" si="592"/>
        <v>-391.25069999999994</v>
      </c>
      <c r="Z4200" s="2" t="s">
        <v>120</v>
      </c>
      <c r="AA4200" s="2" t="s">
        <v>143</v>
      </c>
      <c r="AI4200" s="2"/>
    </row>
    <row r="4201" spans="1:38" x14ac:dyDescent="0.2">
      <c r="A4201" s="8">
        <v>2026</v>
      </c>
      <c r="B4201" s="8">
        <v>6</v>
      </c>
      <c r="C4201" s="8" t="s">
        <v>3342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91"/>
        <v>15.019</v>
      </c>
      <c r="V4201" s="10">
        <f t="shared" si="592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x14ac:dyDescent="0.2">
      <c r="A4202" s="8">
        <v>2026</v>
      </c>
      <c r="B4202" s="8">
        <v>6</v>
      </c>
      <c r="C4202" s="8"/>
      <c r="D4202" s="2" t="s">
        <v>3119</v>
      </c>
      <c r="P4202" s="2" t="s">
        <v>40</v>
      </c>
      <c r="Q4202" s="2" t="s">
        <v>3070</v>
      </c>
      <c r="R4202" s="2" t="s">
        <v>3071</v>
      </c>
      <c r="S4202" s="9">
        <v>11601</v>
      </c>
      <c r="T4202" s="10">
        <v>2098.09</v>
      </c>
      <c r="U4202" s="2">
        <f t="shared" si="591"/>
        <v>482.56070000000005</v>
      </c>
      <c r="V4202" s="10">
        <f t="shared" si="592"/>
        <v>2580.6507000000001</v>
      </c>
      <c r="X4202" s="5">
        <f t="shared" ref="X4202" si="593">(T4202-W4202)/T4202</f>
        <v>1</v>
      </c>
      <c r="Z4202" s="2" t="s">
        <v>120</v>
      </c>
      <c r="AA4202" s="2" t="s">
        <v>3303</v>
      </c>
      <c r="AI4202" s="2"/>
      <c r="AK4202" s="2">
        <f t="shared" ref="AK4202" si="594">T4202-W4202</f>
        <v>2098.09</v>
      </c>
      <c r="AL4202" s="5">
        <f t="shared" ref="AL4202" si="595">(T4202-W4202)/T4202</f>
        <v>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3143</v>
      </c>
      <c r="L4203" s="2" t="s">
        <v>178</v>
      </c>
      <c r="M4203" s="2" t="s">
        <v>41</v>
      </c>
      <c r="O4203" s="2" t="s">
        <v>3153</v>
      </c>
      <c r="P4203" s="2" t="s">
        <v>115</v>
      </c>
      <c r="Q4203" s="2" t="s">
        <v>1102</v>
      </c>
      <c r="R4203" s="2" t="s">
        <v>1103</v>
      </c>
      <c r="S4203" s="9">
        <v>1</v>
      </c>
      <c r="T4203" s="10">
        <v>184.34</v>
      </c>
      <c r="U4203" s="2">
        <f t="shared" ref="U4203:U4210" si="596">T4203*23%</f>
        <v>42.398200000000003</v>
      </c>
      <c r="V4203" s="10">
        <f t="shared" ref="V4203:V4211" si="597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3143</v>
      </c>
      <c r="L4204" s="2" t="s">
        <v>178</v>
      </c>
      <c r="M4204" s="2" t="s">
        <v>41</v>
      </c>
      <c r="O4204" s="2" t="s">
        <v>3154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96"/>
        <v>5.98</v>
      </c>
      <c r="V4204" s="10">
        <f t="shared" si="597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3237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98">AI4204*T4204</f>
        <v>0</v>
      </c>
      <c r="AK4204" s="2">
        <f t="shared" ref="AK4204:AK4211" si="599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3143</v>
      </c>
      <c r="L4205" s="2" t="s">
        <v>178</v>
      </c>
      <c r="M4205" s="2" t="s">
        <v>41</v>
      </c>
      <c r="O4205" s="2" t="s">
        <v>3152</v>
      </c>
      <c r="P4205" s="2" t="s">
        <v>167</v>
      </c>
      <c r="Q4205" s="2" t="s">
        <v>3072</v>
      </c>
      <c r="R4205" s="2" t="s">
        <v>3073</v>
      </c>
      <c r="S4205" s="9">
        <v>6</v>
      </c>
      <c r="T4205" s="10">
        <v>8.82</v>
      </c>
      <c r="U4205" s="2">
        <f t="shared" si="596"/>
        <v>2.0286</v>
      </c>
      <c r="V4205" s="10">
        <f t="shared" si="597"/>
        <v>10.848600000000001</v>
      </c>
      <c r="X4205" s="5">
        <f>(T4205-W4205)/T4205</f>
        <v>1</v>
      </c>
      <c r="Z4205" s="2" t="s">
        <v>3237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98"/>
        <v>0</v>
      </c>
      <c r="AK4205" s="2">
        <f t="shared" si="599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3143</v>
      </c>
      <c r="L4206" s="2" t="s">
        <v>178</v>
      </c>
      <c r="M4206" s="2" t="s">
        <v>41</v>
      </c>
      <c r="O4206" s="2" t="s">
        <v>3152</v>
      </c>
      <c r="P4206" s="2" t="s">
        <v>167</v>
      </c>
      <c r="Q4206" s="2" t="s">
        <v>1049</v>
      </c>
      <c r="R4206" s="2" t="s">
        <v>1050</v>
      </c>
      <c r="S4206" s="9">
        <v>6</v>
      </c>
      <c r="T4206" s="10">
        <v>14.7</v>
      </c>
      <c r="U4206" s="2">
        <f t="shared" si="596"/>
        <v>3.3809999999999998</v>
      </c>
      <c r="V4206" s="10">
        <f t="shared" si="597"/>
        <v>18.081</v>
      </c>
      <c r="X4206" s="5">
        <f>(T4206-W4206)/T4206</f>
        <v>1</v>
      </c>
      <c r="Z4206" s="2" t="s">
        <v>3237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98"/>
        <v>0</v>
      </c>
      <c r="AK4206" s="2">
        <f t="shared" si="599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3143</v>
      </c>
      <c r="L4207" s="2" t="s">
        <v>178</v>
      </c>
      <c r="M4207" s="2" t="s">
        <v>40</v>
      </c>
      <c r="O4207" s="2" t="s">
        <v>3153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96"/>
        <v>0</v>
      </c>
      <c r="V4207" s="2">
        <f t="shared" si="597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98"/>
        <v>0</v>
      </c>
      <c r="AK4207" s="2">
        <f t="shared" si="599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3143</v>
      </c>
      <c r="L4208" s="2" t="s">
        <v>178</v>
      </c>
      <c r="M4208" s="2" t="s">
        <v>40</v>
      </c>
      <c r="O4208" s="2" t="s">
        <v>3153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96"/>
        <v>12.65</v>
      </c>
      <c r="V4208" s="2">
        <f t="shared" si="597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98"/>
        <v>0</v>
      </c>
      <c r="AK4208" s="2">
        <f t="shared" si="599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3120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96"/>
        <v>28.75</v>
      </c>
      <c r="V4209" s="2">
        <f t="shared" si="597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98"/>
        <v>0</v>
      </c>
      <c r="AK4209" s="2">
        <f t="shared" si="599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3120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96"/>
        <v>12.65</v>
      </c>
      <c r="V4210" s="2">
        <f t="shared" si="597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98"/>
        <v>0</v>
      </c>
      <c r="AK4210" s="2">
        <f t="shared" si="599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 t="s">
        <v>3404</v>
      </c>
      <c r="D4211" s="2" t="s">
        <v>1726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1440</v>
      </c>
      <c r="R4211" s="2" t="s">
        <v>1441</v>
      </c>
      <c r="S4211" s="9">
        <v>1</v>
      </c>
      <c r="T4211" s="10">
        <v>6.9</v>
      </c>
      <c r="U4211" s="2">
        <f>T4211*23%</f>
        <v>1.5870000000000002</v>
      </c>
      <c r="V4211" s="2">
        <f t="shared" si="597"/>
        <v>8.4870000000000001</v>
      </c>
      <c r="W4211" s="2">
        <f>5.135*S4211</f>
        <v>5.1349999999999998</v>
      </c>
      <c r="X4211" s="5">
        <f t="shared" ref="X4211:X4220" si="600">(T4211-W4211)/T4211</f>
        <v>0.25579710144927542</v>
      </c>
      <c r="Z4211" s="2" t="s">
        <v>3237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99"/>
        <v>1.7650000000000006</v>
      </c>
      <c r="AL4211" s="5">
        <f t="shared" ref="AL4211" si="601">(T4211-W4211)/T4211</f>
        <v>0.25579710144927542</v>
      </c>
    </row>
    <row r="4212" spans="1:38" x14ac:dyDescent="0.2">
      <c r="A4212" s="8">
        <v>2026</v>
      </c>
      <c r="B4212" s="8">
        <v>6</v>
      </c>
      <c r="C4212" s="8" t="s">
        <v>3404</v>
      </c>
      <c r="D4212" s="2" t="s">
        <v>1726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2905</v>
      </c>
      <c r="Q4212" s="2" t="s">
        <v>3074</v>
      </c>
      <c r="R4212" s="2" t="s">
        <v>3075</v>
      </c>
      <c r="S4212" s="9">
        <v>1</v>
      </c>
      <c r="T4212" s="10">
        <v>7.24</v>
      </c>
      <c r="U4212" s="2">
        <f t="shared" ref="U4212:U4220" si="602">T4212*23%</f>
        <v>1.6652</v>
      </c>
      <c r="V4212" s="2">
        <f t="shared" ref="V4212:V4220" si="603">T4212+U4212</f>
        <v>8.9052000000000007</v>
      </c>
      <c r="W4212" s="2">
        <v>5.07</v>
      </c>
      <c r="X4212" s="5">
        <f t="shared" si="600"/>
        <v>0.29972375690607733</v>
      </c>
      <c r="Z4212" s="2" t="s">
        <v>3237</v>
      </c>
      <c r="AA4212" s="2" t="s">
        <v>72</v>
      </c>
      <c r="AB4212" s="2" t="s">
        <v>2905</v>
      </c>
      <c r="AC4212" s="2" t="s">
        <v>2905</v>
      </c>
      <c r="AI4212" s="2"/>
      <c r="AK4212" s="2">
        <f t="shared" ref="AK4212:AK4218" si="604">T4212-W4212</f>
        <v>2.17</v>
      </c>
      <c r="AL4212" s="5">
        <f t="shared" ref="AL4212:AL4218" si="605">(T4212-W4212)/T4212</f>
        <v>0.29972375690607733</v>
      </c>
    </row>
    <row r="4213" spans="1:38" x14ac:dyDescent="0.2">
      <c r="A4213" s="8">
        <v>2026</v>
      </c>
      <c r="B4213" s="8">
        <v>6</v>
      </c>
      <c r="C4213" s="8" t="s">
        <v>3404</v>
      </c>
      <c r="D4213" s="2" t="s">
        <v>1726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2905</v>
      </c>
      <c r="Q4213" s="2" t="s">
        <v>3076</v>
      </c>
      <c r="R4213" s="2" t="s">
        <v>3077</v>
      </c>
      <c r="S4213" s="9">
        <v>1</v>
      </c>
      <c r="T4213" s="10">
        <v>7.24</v>
      </c>
      <c r="U4213" s="2">
        <f t="shared" si="602"/>
        <v>1.6652</v>
      </c>
      <c r="V4213" s="2">
        <f t="shared" si="603"/>
        <v>8.9052000000000007</v>
      </c>
      <c r="W4213" s="2">
        <v>5.07</v>
      </c>
      <c r="X4213" s="5">
        <f t="shared" si="600"/>
        <v>0.29972375690607733</v>
      </c>
      <c r="Z4213" s="2" t="s">
        <v>3237</v>
      </c>
      <c r="AA4213" s="2" t="s">
        <v>72</v>
      </c>
      <c r="AB4213" s="2" t="s">
        <v>2905</v>
      </c>
      <c r="AC4213" s="2" t="s">
        <v>2905</v>
      </c>
      <c r="AI4213" s="2"/>
      <c r="AK4213" s="2">
        <f t="shared" si="604"/>
        <v>2.17</v>
      </c>
      <c r="AL4213" s="5">
        <f t="shared" si="605"/>
        <v>0.29972375690607733</v>
      </c>
    </row>
    <row r="4214" spans="1:38" x14ac:dyDescent="0.2">
      <c r="A4214" s="8">
        <v>2026</v>
      </c>
      <c r="B4214" s="8">
        <v>6</v>
      </c>
      <c r="C4214" s="8" t="s">
        <v>3404</v>
      </c>
      <c r="D4214" s="2" t="s">
        <v>1726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2905</v>
      </c>
      <c r="Q4214" s="2" t="s">
        <v>3078</v>
      </c>
      <c r="R4214" s="2" t="s">
        <v>3079</v>
      </c>
      <c r="S4214" s="9">
        <v>1</v>
      </c>
      <c r="T4214" s="10">
        <v>7.24</v>
      </c>
      <c r="U4214" s="2">
        <f t="shared" si="602"/>
        <v>1.6652</v>
      </c>
      <c r="V4214" s="2">
        <f t="shared" si="603"/>
        <v>8.9052000000000007</v>
      </c>
      <c r="W4214" s="2">
        <f>5.07</f>
        <v>5.07</v>
      </c>
      <c r="X4214" s="5">
        <f t="shared" si="600"/>
        <v>0.29972375690607733</v>
      </c>
      <c r="Z4214" s="2" t="s">
        <v>3237</v>
      </c>
      <c r="AA4214" s="2" t="s">
        <v>72</v>
      </c>
      <c r="AB4214" s="2" t="s">
        <v>2905</v>
      </c>
      <c r="AC4214" s="2" t="s">
        <v>2905</v>
      </c>
      <c r="AI4214" s="2"/>
      <c r="AK4214" s="2">
        <f t="shared" si="604"/>
        <v>2.17</v>
      </c>
      <c r="AL4214" s="5">
        <f t="shared" si="605"/>
        <v>0.29972375690607733</v>
      </c>
    </row>
    <row r="4215" spans="1:38" x14ac:dyDescent="0.2">
      <c r="A4215" s="8">
        <v>2026</v>
      </c>
      <c r="B4215" s="8">
        <v>6</v>
      </c>
      <c r="C4215" s="8" t="s">
        <v>3404</v>
      </c>
      <c r="D4215" s="2" t="s">
        <v>1726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2905</v>
      </c>
      <c r="Q4215" s="2" t="s">
        <v>3080</v>
      </c>
      <c r="R4215" s="2" t="s">
        <v>3081</v>
      </c>
      <c r="S4215" s="9">
        <v>1</v>
      </c>
      <c r="T4215" s="10">
        <v>16.899999999999999</v>
      </c>
      <c r="U4215" s="2">
        <f t="shared" si="602"/>
        <v>3.887</v>
      </c>
      <c r="V4215" s="2">
        <f t="shared" si="603"/>
        <v>20.786999999999999</v>
      </c>
      <c r="W4215" s="2">
        <f>12.68</f>
        <v>12.68</v>
      </c>
      <c r="X4215" s="5">
        <f t="shared" si="600"/>
        <v>0.24970414201183427</v>
      </c>
      <c r="Z4215" s="2" t="s">
        <v>3237</v>
      </c>
      <c r="AA4215" s="2" t="s">
        <v>72</v>
      </c>
      <c r="AB4215" s="2" t="s">
        <v>2905</v>
      </c>
      <c r="AC4215" s="2" t="s">
        <v>2905</v>
      </c>
      <c r="AI4215" s="2"/>
      <c r="AK4215" s="2">
        <f t="shared" si="604"/>
        <v>4.2199999999999989</v>
      </c>
      <c r="AL4215" s="5">
        <f t="shared" si="605"/>
        <v>0.24970414201183427</v>
      </c>
    </row>
    <row r="4216" spans="1:38" x14ac:dyDescent="0.2">
      <c r="A4216" s="8">
        <v>2026</v>
      </c>
      <c r="B4216" s="8">
        <v>6</v>
      </c>
      <c r="C4216" s="8" t="s">
        <v>3404</v>
      </c>
      <c r="D4216" s="2" t="s">
        <v>1726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2905</v>
      </c>
      <c r="Q4216" s="2" t="s">
        <v>3082</v>
      </c>
      <c r="R4216" s="2" t="s">
        <v>3083</v>
      </c>
      <c r="S4216" s="9">
        <v>1</v>
      </c>
      <c r="T4216" s="10">
        <v>19</v>
      </c>
      <c r="U4216" s="2">
        <f t="shared" si="602"/>
        <v>4.37</v>
      </c>
      <c r="V4216" s="2">
        <f t="shared" si="603"/>
        <v>23.37</v>
      </c>
      <c r="W4216" s="2">
        <f>14.25</f>
        <v>14.25</v>
      </c>
      <c r="X4216" s="5">
        <f t="shared" si="600"/>
        <v>0.25</v>
      </c>
      <c r="Z4216" s="2" t="s">
        <v>3237</v>
      </c>
      <c r="AA4216" s="2" t="s">
        <v>72</v>
      </c>
      <c r="AB4216" s="2" t="s">
        <v>2905</v>
      </c>
      <c r="AC4216" s="2" t="s">
        <v>2905</v>
      </c>
      <c r="AI4216" s="2"/>
      <c r="AK4216" s="2">
        <f t="shared" si="604"/>
        <v>4.75</v>
      </c>
      <c r="AL4216" s="5">
        <f t="shared" si="605"/>
        <v>0.25</v>
      </c>
    </row>
    <row r="4217" spans="1:38" x14ac:dyDescent="0.2">
      <c r="A4217" s="8">
        <v>2026</v>
      </c>
      <c r="B4217" s="8">
        <v>6</v>
      </c>
      <c r="C4217" s="8" t="s">
        <v>3404</v>
      </c>
      <c r="D4217" s="2" t="s">
        <v>1726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2905</v>
      </c>
      <c r="Q4217" s="2" t="s">
        <v>3084</v>
      </c>
      <c r="R4217" s="2" t="s">
        <v>3085</v>
      </c>
      <c r="S4217" s="9">
        <v>1</v>
      </c>
      <c r="T4217" s="10">
        <v>43.5</v>
      </c>
      <c r="U4217" s="2">
        <f t="shared" si="602"/>
        <v>10.005000000000001</v>
      </c>
      <c r="V4217" s="2">
        <f t="shared" si="603"/>
        <v>53.505000000000003</v>
      </c>
      <c r="W4217" s="2">
        <f>32.63</f>
        <v>32.630000000000003</v>
      </c>
      <c r="X4217" s="5">
        <f t="shared" si="600"/>
        <v>0.2498850574712643</v>
      </c>
      <c r="Z4217" s="2" t="s">
        <v>3237</v>
      </c>
      <c r="AA4217" s="2" t="s">
        <v>72</v>
      </c>
      <c r="AB4217" s="2" t="s">
        <v>2905</v>
      </c>
      <c r="AC4217" s="2" t="s">
        <v>2905</v>
      </c>
      <c r="AI4217" s="2"/>
      <c r="AK4217" s="2">
        <f t="shared" si="604"/>
        <v>10.869999999999997</v>
      </c>
      <c r="AL4217" s="5">
        <f t="shared" si="605"/>
        <v>0.2498850574712643</v>
      </c>
    </row>
    <row r="4218" spans="1:38" x14ac:dyDescent="0.2">
      <c r="A4218" s="8">
        <v>2026</v>
      </c>
      <c r="B4218" s="8">
        <v>6</v>
      </c>
      <c r="C4218" s="8" t="s">
        <v>3404</v>
      </c>
      <c r="D4218" s="2" t="s">
        <v>1726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2905</v>
      </c>
      <c r="Q4218" s="2" t="s">
        <v>3086</v>
      </c>
      <c r="R4218" s="2" t="s">
        <v>3087</v>
      </c>
      <c r="S4218" s="9">
        <v>1</v>
      </c>
      <c r="T4218" s="10">
        <v>13.6</v>
      </c>
      <c r="U4218" s="2">
        <f t="shared" si="602"/>
        <v>3.1280000000000001</v>
      </c>
      <c r="V4218" s="2">
        <f t="shared" si="603"/>
        <v>16.728000000000002</v>
      </c>
      <c r="W4218" s="2">
        <f>10.2</f>
        <v>10.199999999999999</v>
      </c>
      <c r="X4218" s="5">
        <f t="shared" si="600"/>
        <v>0.25000000000000006</v>
      </c>
      <c r="Z4218" s="2" t="s">
        <v>3237</v>
      </c>
      <c r="AA4218" s="2" t="s">
        <v>72</v>
      </c>
      <c r="AB4218" s="2" t="s">
        <v>2905</v>
      </c>
      <c r="AC4218" s="2" t="s">
        <v>2905</v>
      </c>
      <c r="AI4218" s="2"/>
      <c r="AK4218" s="2">
        <f t="shared" si="604"/>
        <v>3.4000000000000004</v>
      </c>
      <c r="AL4218" s="5">
        <f t="shared" si="605"/>
        <v>0.25000000000000006</v>
      </c>
    </row>
    <row r="4219" spans="1:38" x14ac:dyDescent="0.2">
      <c r="A4219" s="8">
        <v>2026</v>
      </c>
      <c r="B4219" s="8">
        <v>6</v>
      </c>
      <c r="C4219" s="8"/>
      <c r="D4219" s="2" t="s">
        <v>3118</v>
      </c>
      <c r="P4219" s="2" t="s">
        <v>69</v>
      </c>
      <c r="Q4219" s="2" t="s">
        <v>3088</v>
      </c>
      <c r="R4219" s="2" t="s">
        <v>3089</v>
      </c>
      <c r="S4219" s="9">
        <v>1</v>
      </c>
      <c r="T4219" s="10">
        <v>43</v>
      </c>
      <c r="U4219" s="2">
        <f t="shared" si="602"/>
        <v>9.89</v>
      </c>
      <c r="V4219" s="2">
        <f t="shared" si="603"/>
        <v>52.89</v>
      </c>
      <c r="X4219" s="5">
        <f t="shared" si="600"/>
        <v>1</v>
      </c>
      <c r="Z4219" s="2" t="s">
        <v>3237</v>
      </c>
      <c r="AI4219" s="2"/>
      <c r="AL4219" s="2"/>
    </row>
    <row r="4220" spans="1:38" x14ac:dyDescent="0.2">
      <c r="A4220" s="8">
        <v>2026</v>
      </c>
      <c r="B4220" s="8">
        <v>6</v>
      </c>
      <c r="C4220" s="8" t="s">
        <v>3306</v>
      </c>
      <c r="D4220" s="2" t="s">
        <v>3118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2905</v>
      </c>
      <c r="Q4220" s="2" t="s">
        <v>3090</v>
      </c>
      <c r="R4220" s="2" t="s">
        <v>3091</v>
      </c>
      <c r="S4220" s="9">
        <v>1</v>
      </c>
      <c r="T4220" s="10">
        <v>198</v>
      </c>
      <c r="U4220" s="2">
        <f t="shared" si="602"/>
        <v>45.54</v>
      </c>
      <c r="V4220" s="2">
        <f t="shared" si="603"/>
        <v>243.54</v>
      </c>
      <c r="W4220" s="2">
        <v>148.5</v>
      </c>
      <c r="X4220" s="5">
        <f t="shared" si="600"/>
        <v>0.25</v>
      </c>
      <c r="Z4220" s="2" t="s">
        <v>3237</v>
      </c>
      <c r="AA4220" s="2" t="s">
        <v>72</v>
      </c>
      <c r="AB4220" s="2" t="s">
        <v>2905</v>
      </c>
      <c r="AC4220" s="2" t="s">
        <v>2905</v>
      </c>
      <c r="AI4220" s="2"/>
      <c r="AK4220" s="2">
        <f t="shared" ref="AK4220" si="606">T4220-W4220</f>
        <v>49.5</v>
      </c>
      <c r="AL4220" s="5">
        <f t="shared" ref="AL4220" si="607">(T4220-W4220)/T4220</f>
        <v>0.25</v>
      </c>
    </row>
    <row r="4221" spans="1:38" x14ac:dyDescent="0.2">
      <c r="A4221" s="8">
        <v>2026</v>
      </c>
      <c r="B4221" s="8">
        <v>6</v>
      </c>
      <c r="C4221" s="8"/>
      <c r="D4221" s="2" t="s">
        <v>3118</v>
      </c>
      <c r="P4221" s="2" t="s">
        <v>40</v>
      </c>
      <c r="Q4221" s="2" t="s">
        <v>3092</v>
      </c>
      <c r="R4221" s="2" t="s">
        <v>3093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2055</v>
      </c>
      <c r="P4222" s="2" t="s">
        <v>1041</v>
      </c>
      <c r="Q4222" s="2" t="s">
        <v>3094</v>
      </c>
      <c r="R4222" s="2" t="s">
        <v>3095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3237</v>
      </c>
      <c r="AA4222" s="2" t="s">
        <v>76</v>
      </c>
      <c r="AB4222" s="2" t="s">
        <v>77</v>
      </c>
      <c r="AC4222" s="2" t="s">
        <v>1041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x14ac:dyDescent="0.2">
      <c r="A4223" s="8">
        <v>2026</v>
      </c>
      <c r="B4223" s="8">
        <v>6</v>
      </c>
      <c r="C4223" s="8"/>
      <c r="D4223" s="2" t="s">
        <v>2055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608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2055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3237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2057</v>
      </c>
      <c r="P4225" s="2" t="s">
        <v>115</v>
      </c>
      <c r="Q4225" s="2" t="s">
        <v>2289</v>
      </c>
      <c r="R4225" s="2" t="s">
        <v>2290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2057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609">T4226*23%</f>
        <v>33.81</v>
      </c>
      <c r="V4226" s="2">
        <f t="shared" ref="V4226:V4231" si="610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2057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609"/>
        <v>25.3</v>
      </c>
      <c r="V4227" s="2">
        <f t="shared" si="610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2912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609"/>
        <v>13.34</v>
      </c>
      <c r="V4228" s="2">
        <f t="shared" si="610"/>
        <v>71.34</v>
      </c>
      <c r="W4228" s="2">
        <f t="shared" ref="W4228" si="611">14.5099*S4228</f>
        <v>29.0198</v>
      </c>
      <c r="X4228" s="5">
        <f t="shared" ref="X4228" si="612">(T4228-W4228)/T4228</f>
        <v>0.49965862068965516</v>
      </c>
      <c r="Z4228" s="2" t="s">
        <v>3237</v>
      </c>
      <c r="AA4228" s="2" t="s">
        <v>46</v>
      </c>
      <c r="AB4228" s="2" t="s">
        <v>61</v>
      </c>
      <c r="AC4228" s="2" t="s">
        <v>3343</v>
      </c>
      <c r="AI4228" s="2"/>
      <c r="AK4228" s="2">
        <f t="shared" ref="AK4228" si="613">T4228-W4228</f>
        <v>28.9802</v>
      </c>
      <c r="AL4228" s="5">
        <f t="shared" ref="AL4228" si="614">(T4228-W4228)/T4228</f>
        <v>0.49965862068965516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609"/>
        <v>50.572400000000002</v>
      </c>
      <c r="V4229" s="10">
        <f t="shared" si="610"/>
        <v>270.45240000000001</v>
      </c>
      <c r="W4229" s="2">
        <v>125.51600000000001</v>
      </c>
      <c r="X4229" s="5">
        <f>(T4229-W4229)/T4229</f>
        <v>0.429161360742223</v>
      </c>
      <c r="Z4229" s="2" t="s">
        <v>3237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3165</v>
      </c>
      <c r="P4230" s="2" t="s">
        <v>1041</v>
      </c>
      <c r="Q4230" s="2" t="s">
        <v>1841</v>
      </c>
      <c r="R4230" s="2" t="s">
        <v>1842</v>
      </c>
      <c r="S4230" s="9">
        <v>1</v>
      </c>
      <c r="T4230" s="10">
        <v>269.56</v>
      </c>
      <c r="U4230" s="2">
        <f t="shared" si="609"/>
        <v>61.998800000000003</v>
      </c>
      <c r="V4230" s="2">
        <f t="shared" si="610"/>
        <v>331.55880000000002</v>
      </c>
      <c r="W4230" s="2">
        <v>157.85</v>
      </c>
      <c r="X4230" s="5">
        <f>(T4230-W4230)/T4230</f>
        <v>0.4144160854726221</v>
      </c>
      <c r="Z4230" s="2" t="s">
        <v>3237</v>
      </c>
      <c r="AA4230" s="2" t="s">
        <v>76</v>
      </c>
      <c r="AB4230" s="2" t="s">
        <v>77</v>
      </c>
      <c r="AC4230" s="2" t="s">
        <v>1041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609"/>
        <v>-4.7495000000000003</v>
      </c>
      <c r="V4231" s="10">
        <f t="shared" si="610"/>
        <v>-25.3995</v>
      </c>
      <c r="Z4231" s="2" t="s">
        <v>120</v>
      </c>
      <c r="AA4231" s="2" t="s">
        <v>143</v>
      </c>
      <c r="AI4231" s="2"/>
    </row>
    <row r="4232" spans="1:38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15">T4232*23%</f>
        <v>0.68080000000000007</v>
      </c>
      <c r="V4232" s="10">
        <f t="shared" ref="V4232:V4237" si="616">T4232+U4232</f>
        <v>3.6408</v>
      </c>
      <c r="W4232" s="2">
        <f>1.48*S4232</f>
        <v>2.96</v>
      </c>
      <c r="X4232" s="5">
        <f t="shared" ref="X4232:X4237" si="617">(T4232-W4232)/T4232</f>
        <v>0</v>
      </c>
      <c r="Z4232" s="2" t="s">
        <v>3237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2534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15"/>
        <v>5.3819999999999997</v>
      </c>
      <c r="V4233" s="10">
        <f t="shared" si="616"/>
        <v>28.781999999999996</v>
      </c>
      <c r="W4233" s="2">
        <v>12.4434</v>
      </c>
      <c r="X4233" s="5">
        <f t="shared" si="617"/>
        <v>0.46823076923076917</v>
      </c>
      <c r="Z4233" s="2" t="s">
        <v>3237</v>
      </c>
      <c r="AA4233" s="2" t="s">
        <v>46</v>
      </c>
      <c r="AB4233" s="2" t="s">
        <v>57</v>
      </c>
      <c r="AC4233" s="2" t="s">
        <v>58</v>
      </c>
      <c r="AI4233" s="2"/>
      <c r="AK4233" s="2">
        <f t="shared" ref="AK4233" si="618">T4233-W4233</f>
        <v>10.956599999999998</v>
      </c>
      <c r="AL4233" s="5">
        <f t="shared" ref="AL4233" si="619">(T4233-W4233)/T4233</f>
        <v>0.46823076923076917</v>
      </c>
    </row>
    <row r="4234" spans="1:38" x14ac:dyDescent="0.2">
      <c r="A4234" s="8">
        <v>2026</v>
      </c>
      <c r="B4234" s="8">
        <v>6</v>
      </c>
      <c r="C4234" s="8"/>
      <c r="D4234" s="2" t="s">
        <v>2534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15"/>
        <v>6.9</v>
      </c>
      <c r="V4234" s="10">
        <f t="shared" si="616"/>
        <v>36.9</v>
      </c>
      <c r="X4234" s="5">
        <f t="shared" si="617"/>
        <v>1</v>
      </c>
      <c r="Z4234" s="2" t="s">
        <v>3237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2534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15"/>
        <v>4.83</v>
      </c>
      <c r="V4235" s="10">
        <f t="shared" si="616"/>
        <v>25.83</v>
      </c>
      <c r="X4235" s="5">
        <f t="shared" si="617"/>
        <v>1</v>
      </c>
      <c r="Z4235" s="2" t="s">
        <v>3237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2534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15"/>
        <v>8.9700000000000006</v>
      </c>
      <c r="V4236" s="10">
        <f t="shared" si="616"/>
        <v>47.97</v>
      </c>
      <c r="W4236" s="2">
        <f>0.082*S4236</f>
        <v>24.6</v>
      </c>
      <c r="X4236" s="5">
        <f t="shared" si="617"/>
        <v>0.3692307692307692</v>
      </c>
      <c r="Z4236" s="2" t="s">
        <v>3237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20">T4236-W4236</f>
        <v>14.399999999999999</v>
      </c>
      <c r="AL4236" s="5">
        <f t="shared" ref="AL4236" si="621">(T4236-W4236)/T4236</f>
        <v>0.3692307692307692</v>
      </c>
    </row>
    <row r="4237" spans="1:38" x14ac:dyDescent="0.2">
      <c r="A4237" s="8">
        <v>2026</v>
      </c>
      <c r="B4237" s="8">
        <v>6</v>
      </c>
      <c r="C4237" s="8"/>
      <c r="D4237" s="2" t="s">
        <v>2534</v>
      </c>
      <c r="P4237" s="2" t="s">
        <v>43</v>
      </c>
      <c r="Q4237" s="2" t="s">
        <v>2975</v>
      </c>
      <c r="R4237" s="2" t="s">
        <v>2976</v>
      </c>
      <c r="S4237" s="9">
        <v>2</v>
      </c>
      <c r="T4237" s="10">
        <v>36</v>
      </c>
      <c r="U4237" s="2">
        <f t="shared" si="615"/>
        <v>8.2800000000000011</v>
      </c>
      <c r="V4237" s="10">
        <f t="shared" si="616"/>
        <v>44.28</v>
      </c>
      <c r="X4237" s="5">
        <f t="shared" si="617"/>
        <v>1</v>
      </c>
      <c r="Z4237" s="2" t="s">
        <v>3237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2534</v>
      </c>
      <c r="P4238" s="2" t="s">
        <v>40</v>
      </c>
      <c r="Q4238" s="2" t="s">
        <v>1312</v>
      </c>
      <c r="R4238" s="2" t="s">
        <v>1313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1275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1276</v>
      </c>
      <c r="J4239" s="2" t="s">
        <v>1277</v>
      </c>
      <c r="L4239" s="2" t="s">
        <v>178</v>
      </c>
      <c r="M4239" s="2" t="s">
        <v>41</v>
      </c>
      <c r="O4239" s="2" t="s">
        <v>3169</v>
      </c>
      <c r="P4239" s="2" t="s">
        <v>1041</v>
      </c>
      <c r="Q4239" s="2" t="s">
        <v>3096</v>
      </c>
      <c r="R4239" s="2" t="s">
        <v>3097</v>
      </c>
      <c r="S4239" s="9">
        <v>1</v>
      </c>
      <c r="T4239" s="10">
        <v>270</v>
      </c>
      <c r="U4239" s="2">
        <f t="shared" ref="U4239:U4245" si="622">T4239*23%</f>
        <v>62.1</v>
      </c>
      <c r="V4239" s="2">
        <f t="shared" ref="V4239:V4245" si="623">T4239+U4239</f>
        <v>332.1</v>
      </c>
      <c r="W4239" s="2">
        <v>141.16</v>
      </c>
      <c r="X4239" s="5">
        <f t="shared" ref="X4239:X4250" si="624">(T4239-W4239)/T4239</f>
        <v>0.47718518518518521</v>
      </c>
      <c r="Z4239" s="2" t="s">
        <v>3237</v>
      </c>
      <c r="AA4239" s="2" t="s">
        <v>76</v>
      </c>
      <c r="AB4239" s="2" t="s">
        <v>77</v>
      </c>
      <c r="AC4239" s="2" t="s">
        <v>1041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1275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1276</v>
      </c>
      <c r="J4240" s="2" t="s">
        <v>1277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22"/>
        <v>0.34040000000000004</v>
      </c>
      <c r="V4240" s="10">
        <f t="shared" si="623"/>
        <v>1.8204</v>
      </c>
      <c r="W4240" s="2">
        <f>1.48*S4240</f>
        <v>1.48</v>
      </c>
      <c r="X4240" s="5">
        <f t="shared" si="624"/>
        <v>0</v>
      </c>
      <c r="Z4240" s="2" t="s">
        <v>3237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3117</v>
      </c>
      <c r="P4241" s="2" t="s">
        <v>283</v>
      </c>
      <c r="Q4241" s="2" t="s">
        <v>3098</v>
      </c>
      <c r="R4241" s="2" t="s">
        <v>3099</v>
      </c>
      <c r="S4241" s="9">
        <v>1</v>
      </c>
      <c r="T4241" s="10">
        <v>2490</v>
      </c>
      <c r="U4241" s="2">
        <f t="shared" si="622"/>
        <v>572.70000000000005</v>
      </c>
      <c r="V4241" s="10">
        <f t="shared" si="623"/>
        <v>3062.7</v>
      </c>
      <c r="W4241" s="2">
        <f>1970.05+49</f>
        <v>2019.05</v>
      </c>
      <c r="X4241" s="5">
        <f t="shared" si="624"/>
        <v>0.18913654618473896</v>
      </c>
      <c r="Z4241" s="2" t="s">
        <v>105</v>
      </c>
      <c r="AA4241" s="2" t="s">
        <v>388</v>
      </c>
      <c r="AB4241" s="2" t="s">
        <v>1334</v>
      </c>
      <c r="AC4241" s="2" t="s">
        <v>1331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3117</v>
      </c>
      <c r="P4242" s="2" t="s">
        <v>283</v>
      </c>
      <c r="Q4242" s="2" t="s">
        <v>3100</v>
      </c>
      <c r="R4242" s="2" t="s">
        <v>3101</v>
      </c>
      <c r="S4242" s="9">
        <v>1</v>
      </c>
      <c r="T4242" s="10">
        <v>2490</v>
      </c>
      <c r="U4242" s="2">
        <f t="shared" si="622"/>
        <v>572.70000000000005</v>
      </c>
      <c r="V4242" s="10">
        <f t="shared" si="623"/>
        <v>3062.7</v>
      </c>
      <c r="W4242" s="2">
        <f>1995.2+43.97</f>
        <v>2039.17</v>
      </c>
      <c r="X4242" s="5">
        <f t="shared" si="624"/>
        <v>0.18105622489959836</v>
      </c>
      <c r="Z4242" s="2" t="s">
        <v>105</v>
      </c>
      <c r="AA4242" s="2" t="s">
        <v>388</v>
      </c>
      <c r="AB4242" s="2" t="s">
        <v>1334</v>
      </c>
      <c r="AC4242" s="2" t="s">
        <v>1331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2916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22"/>
        <v>36.151400000000002</v>
      </c>
      <c r="V4243" s="10">
        <f t="shared" si="623"/>
        <v>193.3314</v>
      </c>
      <c r="X4243" s="5">
        <f t="shared" si="624"/>
        <v>1</v>
      </c>
      <c r="Z4243" s="2" t="s">
        <v>118</v>
      </c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2916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22"/>
        <v>6.5711000000000004</v>
      </c>
      <c r="V4244" s="10">
        <f t="shared" si="623"/>
        <v>35.141100000000002</v>
      </c>
      <c r="X4244" s="5">
        <f t="shared" si="624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22"/>
        <v>25.3</v>
      </c>
      <c r="V4245" s="10">
        <f t="shared" si="623"/>
        <v>135.30000000000001</v>
      </c>
      <c r="W4245" s="2">
        <f>0.082*S4245</f>
        <v>82</v>
      </c>
      <c r="X4245" s="5">
        <f t="shared" si="624"/>
        <v>0.25454545454545452</v>
      </c>
      <c r="Z4245" s="2" t="s">
        <v>3237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25">T4245-W4245</f>
        <v>28</v>
      </c>
      <c r="AL4245" s="5">
        <f t="shared" ref="AL4245" si="626">(T4245-W4245)/T4245</f>
        <v>0.25454545454545452</v>
      </c>
    </row>
    <row r="4246" spans="1:38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24"/>
        <v>1</v>
      </c>
      <c r="Z4246" s="2" t="s">
        <v>118</v>
      </c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2993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24"/>
        <v>1</v>
      </c>
      <c r="Z4247" s="2" t="s">
        <v>118</v>
      </c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24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24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24"/>
        <v>1</v>
      </c>
      <c r="Z4250" s="2" t="s">
        <v>120</v>
      </c>
      <c r="AA4250" s="2" t="s">
        <v>3392</v>
      </c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1075</v>
      </c>
      <c r="R4251" s="2" t="s">
        <v>382</v>
      </c>
      <c r="S4251" s="9">
        <v>1</v>
      </c>
      <c r="T4251" s="10">
        <v>257.60000000000002</v>
      </c>
      <c r="U4251" s="2">
        <f t="shared" ref="U4251:U4260" si="627">T4251*23%</f>
        <v>59.248000000000005</v>
      </c>
      <c r="V4251" s="10">
        <f t="shared" ref="V4251:V4261" si="628">T4251+U4251</f>
        <v>316.84800000000001</v>
      </c>
      <c r="W4251" s="2">
        <f>130.03+6.8</f>
        <v>136.83000000000001</v>
      </c>
      <c r="X4251" s="5">
        <f t="shared" ref="X4251:X4263" si="629">(T4251-W4251)/T4251</f>
        <v>0.46882763975155278</v>
      </c>
      <c r="Z4251" s="2" t="s">
        <v>3237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3171</v>
      </c>
      <c r="P4252" s="2" t="s">
        <v>1041</v>
      </c>
      <c r="Q4252" s="2" t="s">
        <v>2750</v>
      </c>
      <c r="R4252" s="2" t="s">
        <v>2751</v>
      </c>
      <c r="S4252" s="9">
        <v>1</v>
      </c>
      <c r="T4252" s="10">
        <v>414</v>
      </c>
      <c r="U4252" s="2">
        <f t="shared" si="627"/>
        <v>95.22</v>
      </c>
      <c r="V4252" s="2">
        <f t="shared" si="628"/>
        <v>509.22</v>
      </c>
      <c r="W4252" s="2">
        <v>270.60000000000002</v>
      </c>
      <c r="X4252" s="5">
        <f t="shared" si="629"/>
        <v>0.34637681159420286</v>
      </c>
      <c r="Z4252" s="2" t="s">
        <v>3237</v>
      </c>
      <c r="AA4252" s="2" t="s">
        <v>76</v>
      </c>
      <c r="AB4252" s="2" t="s">
        <v>77</v>
      </c>
      <c r="AC4252" s="2" t="s">
        <v>1041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27"/>
        <v>0.68080000000000007</v>
      </c>
      <c r="V4253" s="10">
        <f t="shared" si="628"/>
        <v>3.6408</v>
      </c>
      <c r="W4253" s="2">
        <f>1.48*S4253</f>
        <v>2.96</v>
      </c>
      <c r="X4253" s="5">
        <f t="shared" si="629"/>
        <v>0</v>
      </c>
      <c r="Z4253" s="2" t="s">
        <v>3237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27"/>
        <v>2.0700000000000003</v>
      </c>
      <c r="V4254" s="10">
        <f t="shared" si="628"/>
        <v>11.07</v>
      </c>
      <c r="W4254" s="2">
        <f>3.7358*S4254</f>
        <v>3.7357999999999998</v>
      </c>
      <c r="X4254" s="5">
        <f t="shared" si="629"/>
        <v>0.58491111111111116</v>
      </c>
      <c r="Z4254" s="2" t="s">
        <v>3237</v>
      </c>
      <c r="AA4254" s="2" t="s">
        <v>46</v>
      </c>
      <c r="AB4254" s="2" t="s">
        <v>47</v>
      </c>
      <c r="AC4254" s="2" t="s">
        <v>48</v>
      </c>
      <c r="AI4254" s="2"/>
      <c r="AK4254" s="2">
        <f t="shared" ref="AK4254" si="630">T4254-W4254</f>
        <v>5.2642000000000007</v>
      </c>
      <c r="AL4254" s="5">
        <f t="shared" ref="AL4254" si="631">(T4254-W4254)/T4254</f>
        <v>0.58491111111111116</v>
      </c>
    </row>
    <row r="4255" spans="1:38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27"/>
        <v>48.667999999999999</v>
      </c>
      <c r="V4255" s="10">
        <f t="shared" si="628"/>
        <v>260.26799999999997</v>
      </c>
      <c r="W4255" s="2">
        <f>115.92+6.06</f>
        <v>121.98</v>
      </c>
      <c r="X4255" s="5">
        <f t="shared" si="629"/>
        <v>0.42353497164461246</v>
      </c>
      <c r="Z4255" s="2" t="s">
        <v>3237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27"/>
        <v>0.34040000000000004</v>
      </c>
      <c r="V4256" s="10">
        <f t="shared" si="628"/>
        <v>1.8204</v>
      </c>
      <c r="W4256" s="2">
        <f>1.48*S4256</f>
        <v>1.48</v>
      </c>
      <c r="X4256" s="5">
        <f t="shared" si="629"/>
        <v>0</v>
      </c>
      <c r="Z4256" s="2" t="s">
        <v>3237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27"/>
        <v>2.99</v>
      </c>
      <c r="V4257" s="10">
        <f t="shared" si="628"/>
        <v>15.99</v>
      </c>
      <c r="W4257" s="2">
        <f>0.082*S4257</f>
        <v>8.2000000000000011</v>
      </c>
      <c r="X4257" s="5">
        <f t="shared" si="629"/>
        <v>0.36923076923076914</v>
      </c>
      <c r="Z4257" s="2" t="s">
        <v>3237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:AK4258" si="632">T4257-W4257</f>
        <v>4.7999999999999989</v>
      </c>
      <c r="AL4257" s="5">
        <f t="shared" ref="AL4257:AL4258" si="633">(T4257-W4257)/T4257</f>
        <v>0.36923076923076914</v>
      </c>
    </row>
    <row r="4258" spans="1:38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2">
        <v>1000</v>
      </c>
      <c r="T4258" s="10">
        <v>130</v>
      </c>
      <c r="U4258" s="2">
        <f t="shared" si="627"/>
        <v>29.900000000000002</v>
      </c>
      <c r="V4258" s="10">
        <f t="shared" si="628"/>
        <v>159.9</v>
      </c>
      <c r="W4258" s="2">
        <f>0.0914*S4258</f>
        <v>91.399999999999991</v>
      </c>
      <c r="X4258" s="5">
        <f t="shared" si="629"/>
        <v>0.29692307692307701</v>
      </c>
      <c r="Z4258" s="2" t="s">
        <v>3237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K4258" s="2">
        <f t="shared" si="632"/>
        <v>38.600000000000009</v>
      </c>
      <c r="AL4258" s="5">
        <f t="shared" si="633"/>
        <v>0.29692307692307701</v>
      </c>
    </row>
    <row r="4259" spans="1:38" x14ac:dyDescent="0.2">
      <c r="A4259" s="8">
        <v>2026</v>
      </c>
      <c r="B4259" s="8">
        <v>6</v>
      </c>
      <c r="C4259" s="8"/>
      <c r="D4259" s="2" t="s">
        <v>1299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1300</v>
      </c>
      <c r="L4259" s="2" t="s">
        <v>340</v>
      </c>
      <c r="M4259" s="2" t="s">
        <v>81</v>
      </c>
      <c r="O4259" s="2" t="s">
        <v>3206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27"/>
        <v>46.850999999999999</v>
      </c>
      <c r="V4259" s="10">
        <f t="shared" si="628"/>
        <v>250.55099999999999</v>
      </c>
      <c r="W4259" s="2">
        <f>110.125+11.77</f>
        <v>121.895</v>
      </c>
      <c r="X4259" s="5">
        <f t="shared" si="629"/>
        <v>0.4015954835542464</v>
      </c>
      <c r="Z4259" s="2" t="s">
        <v>3237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1299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1300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27"/>
        <v>0.34040000000000004</v>
      </c>
      <c r="V4260" s="10">
        <f t="shared" si="628"/>
        <v>1.8204</v>
      </c>
      <c r="W4260" s="2">
        <f>1.48*S4260</f>
        <v>1.48</v>
      </c>
      <c r="X4260" s="5">
        <f t="shared" si="629"/>
        <v>0</v>
      </c>
      <c r="Z4260" s="2" t="s">
        <v>3237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34">T4261*23%</f>
        <v>107.111</v>
      </c>
      <c r="V4261" s="2">
        <f t="shared" si="628"/>
        <v>572.81100000000004</v>
      </c>
      <c r="W4261" s="2">
        <v>345.20339999999999</v>
      </c>
      <c r="X4261" s="5">
        <f t="shared" si="629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x14ac:dyDescent="0.2">
      <c r="A4262" s="8">
        <v>2026</v>
      </c>
      <c r="B4262" s="8">
        <v>6</v>
      </c>
      <c r="C4262" s="8"/>
      <c r="D4262" s="2" t="s">
        <v>1664</v>
      </c>
      <c r="P4262" s="2" t="s">
        <v>115</v>
      </c>
      <c r="Q4262" s="2" t="s">
        <v>1912</v>
      </c>
      <c r="R4262" s="2" t="s">
        <v>1913</v>
      </c>
      <c r="S4262" s="9">
        <v>1</v>
      </c>
      <c r="T4262" s="10">
        <v>23850</v>
      </c>
      <c r="U4262" s="2">
        <f t="shared" si="634"/>
        <v>5485.5</v>
      </c>
      <c r="V4262" s="2">
        <f t="shared" ref="V4262:V4278" si="635">T4262+U4262</f>
        <v>29335.5</v>
      </c>
      <c r="W4262" s="2">
        <f>16602.97+398</f>
        <v>17000.97</v>
      </c>
      <c r="X4262" s="5">
        <f t="shared" si="629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3116</v>
      </c>
      <c r="P4263" s="2" t="s">
        <v>115</v>
      </c>
      <c r="Q4263" s="2" t="s">
        <v>3102</v>
      </c>
      <c r="R4263" s="2" t="s">
        <v>3103</v>
      </c>
      <c r="S4263" s="9">
        <v>1</v>
      </c>
      <c r="T4263" s="10">
        <v>750.56</v>
      </c>
      <c r="U4263" s="2">
        <f t="shared" si="634"/>
        <v>172.62879999999998</v>
      </c>
      <c r="V4263" s="2">
        <f t="shared" si="635"/>
        <v>923.1887999999999</v>
      </c>
      <c r="W4263" s="2">
        <f>376.4</f>
        <v>376.4</v>
      </c>
      <c r="X4263" s="5">
        <f t="shared" si="629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3116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34"/>
        <v>12.65</v>
      </c>
      <c r="V4264" s="2">
        <f t="shared" si="635"/>
        <v>67.650000000000006</v>
      </c>
      <c r="W4264" s="2">
        <f>T4264*40%</f>
        <v>22</v>
      </c>
      <c r="X4264" s="5">
        <f t="shared" ref="X4264:X4272" si="636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37">T4264-W4264</f>
        <v>33</v>
      </c>
      <c r="AL4264" s="5">
        <f t="shared" ref="AL4264:AL4272" si="638"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3116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34"/>
        <v>12.65</v>
      </c>
      <c r="V4265" s="2">
        <f t="shared" si="635"/>
        <v>67.650000000000006</v>
      </c>
      <c r="W4265" s="2">
        <f>T4265*50%</f>
        <v>27.5</v>
      </c>
      <c r="X4265" s="5">
        <f t="shared" si="636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37"/>
        <v>27.5</v>
      </c>
      <c r="AL4265" s="5">
        <f t="shared" si="638"/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34"/>
        <v>26.220000000000002</v>
      </c>
      <c r="V4266" s="2">
        <f t="shared" si="635"/>
        <v>140.22</v>
      </c>
      <c r="W4266" s="2">
        <f>T4266*40%</f>
        <v>45.6</v>
      </c>
      <c r="X4266" s="5">
        <f t="shared" si="636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37"/>
        <v>68.400000000000006</v>
      </c>
      <c r="AL4266" s="5">
        <f t="shared" si="638"/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34"/>
        <v>11.385</v>
      </c>
      <c r="V4267" s="2">
        <f t="shared" si="635"/>
        <v>60.884999999999998</v>
      </c>
      <c r="W4267" s="2">
        <f>T4267*50%</f>
        <v>24.75</v>
      </c>
      <c r="X4267" s="5">
        <f t="shared" si="636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37"/>
        <v>24.75</v>
      </c>
      <c r="AL4267" s="5">
        <f t="shared" si="638"/>
        <v>0.5</v>
      </c>
    </row>
    <row r="4268" spans="1:38" x14ac:dyDescent="0.2">
      <c r="A4268" s="8">
        <v>2026</v>
      </c>
      <c r="B4268" s="8">
        <v>6</v>
      </c>
      <c r="C4268" s="8" t="s">
        <v>3334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34"/>
        <v>137.86199999999999</v>
      </c>
      <c r="V4268" s="2">
        <f t="shared" si="635"/>
        <v>737.26199999999994</v>
      </c>
      <c r="W4268" s="2">
        <v>346.57</v>
      </c>
      <c r="X4268" s="5">
        <f t="shared" si="636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37"/>
        <v>252.82999999999998</v>
      </c>
      <c r="AL4268" s="5">
        <f t="shared" si="638"/>
        <v>0.42180513847180512</v>
      </c>
    </row>
    <row r="4269" spans="1:38" x14ac:dyDescent="0.2">
      <c r="A4269" s="8">
        <v>2026</v>
      </c>
      <c r="B4269" s="8">
        <v>6</v>
      </c>
      <c r="C4269" s="8" t="s">
        <v>3334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1585</v>
      </c>
      <c r="R4269" s="2" t="s">
        <v>1586</v>
      </c>
      <c r="S4269" s="9">
        <v>1</v>
      </c>
      <c r="T4269" s="10">
        <v>6990</v>
      </c>
      <c r="U4269" s="2">
        <f t="shared" si="634"/>
        <v>1607.7</v>
      </c>
      <c r="V4269" s="2">
        <f t="shared" si="635"/>
        <v>8597.7000000000007</v>
      </c>
      <c r="W4269" s="2">
        <f>4893.23+171</f>
        <v>5064.2299999999996</v>
      </c>
      <c r="X4269" s="5">
        <f t="shared" si="636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37"/>
        <v>1925.7700000000004</v>
      </c>
      <c r="AL4269" s="5">
        <f t="shared" si="638"/>
        <v>0.27550357653791135</v>
      </c>
    </row>
    <row r="4270" spans="1:38" x14ac:dyDescent="0.2">
      <c r="A4270" s="8">
        <v>2026</v>
      </c>
      <c r="B4270" s="8">
        <v>6</v>
      </c>
      <c r="C4270" s="8" t="s">
        <v>3334</v>
      </c>
      <c r="D4270" s="2" t="s">
        <v>3113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34"/>
        <v>160.839</v>
      </c>
      <c r="V4270" s="2">
        <f t="shared" si="635"/>
        <v>860.1389999999999</v>
      </c>
      <c r="W4270" s="2">
        <v>345.20339999999999</v>
      </c>
      <c r="X4270" s="5">
        <f t="shared" si="636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37"/>
        <v>354.09659999999997</v>
      </c>
      <c r="AL4270" s="5">
        <f t="shared" si="638"/>
        <v>0.50635864435864431</v>
      </c>
    </row>
    <row r="4271" spans="1:38" x14ac:dyDescent="0.2">
      <c r="A4271" s="8">
        <v>2026</v>
      </c>
      <c r="B4271" s="8">
        <v>6</v>
      </c>
      <c r="C4271" s="8" t="s">
        <v>3334</v>
      </c>
      <c r="D4271" s="2" t="s">
        <v>3113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34"/>
        <v>34.96</v>
      </c>
      <c r="V4271" s="2">
        <f t="shared" si="635"/>
        <v>186.96</v>
      </c>
      <c r="W4271" s="2">
        <f>T4271*40%</f>
        <v>60.800000000000004</v>
      </c>
      <c r="X4271" s="5">
        <f t="shared" si="636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37"/>
        <v>91.199999999999989</v>
      </c>
      <c r="AL4271" s="5">
        <f t="shared" si="638"/>
        <v>0.6</v>
      </c>
    </row>
    <row r="4272" spans="1:38" x14ac:dyDescent="0.2">
      <c r="A4272" s="8">
        <v>2026</v>
      </c>
      <c r="B4272" s="8">
        <v>6</v>
      </c>
      <c r="C4272" s="8" t="s">
        <v>3334</v>
      </c>
      <c r="D4272" s="2" t="s">
        <v>3113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34"/>
        <v>12.65</v>
      </c>
      <c r="V4272" s="2">
        <f t="shared" si="635"/>
        <v>67.650000000000006</v>
      </c>
      <c r="W4272" s="2">
        <f>T4272*50%</f>
        <v>27.5</v>
      </c>
      <c r="X4272" s="5">
        <f t="shared" si="636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37"/>
        <v>27.5</v>
      </c>
      <c r="AL4272" s="5">
        <f t="shared" si="638"/>
        <v>0.5</v>
      </c>
    </row>
    <row r="4273" spans="1:38" x14ac:dyDescent="0.2">
      <c r="A4273" s="8">
        <v>2026</v>
      </c>
      <c r="B4273" s="8">
        <v>6</v>
      </c>
      <c r="C4273" s="8"/>
      <c r="D4273" s="2" t="s">
        <v>2196</v>
      </c>
      <c r="P4273" s="2" t="s">
        <v>283</v>
      </c>
      <c r="Q4273" s="2" t="s">
        <v>1787</v>
      </c>
      <c r="R4273" s="2" t="s">
        <v>1788</v>
      </c>
      <c r="S4273" s="9">
        <v>1</v>
      </c>
      <c r="T4273" s="10">
        <v>1990</v>
      </c>
      <c r="U4273" s="2">
        <f t="shared" si="634"/>
        <v>457.70000000000005</v>
      </c>
      <c r="V4273" s="10">
        <f t="shared" si="635"/>
        <v>2447.6999999999998</v>
      </c>
      <c r="W4273" s="2">
        <v>1492.7</v>
      </c>
      <c r="X4273" s="5">
        <f t="shared" ref="X4273:X4336" si="639">(T4273-W4273)/T4273</f>
        <v>0.24989949748743717</v>
      </c>
      <c r="Z4273" s="2" t="s">
        <v>105</v>
      </c>
      <c r="AA4273" s="2" t="s">
        <v>388</v>
      </c>
      <c r="AB4273" s="2" t="s">
        <v>1334</v>
      </c>
      <c r="AC4273" s="2" t="s">
        <v>1331</v>
      </c>
      <c r="AI4273" s="2"/>
      <c r="AK4273" s="2">
        <f t="shared" ref="AK4273:AK4303" si="640">T4273-W4273</f>
        <v>497.29999999999995</v>
      </c>
      <c r="AL4273" s="5">
        <f t="shared" ref="AL4273:AL4303" si="641">(T4273-W4273)/T4273</f>
        <v>0.24989949748743717</v>
      </c>
    </row>
    <row r="4274" spans="1:38" x14ac:dyDescent="0.2">
      <c r="A4274" s="8">
        <v>2026</v>
      </c>
      <c r="B4274" s="8">
        <v>6</v>
      </c>
      <c r="C4274" s="8"/>
      <c r="D4274" s="2" t="s">
        <v>2196</v>
      </c>
      <c r="P4274" s="2" t="s">
        <v>283</v>
      </c>
      <c r="Q4274" s="2" t="s">
        <v>1332</v>
      </c>
      <c r="R4274" s="2" t="s">
        <v>1333</v>
      </c>
      <c r="S4274" s="9">
        <v>1</v>
      </c>
      <c r="T4274" s="10">
        <v>1990</v>
      </c>
      <c r="U4274" s="2">
        <f t="shared" si="634"/>
        <v>457.70000000000005</v>
      </c>
      <c r="V4274" s="10">
        <f t="shared" si="635"/>
        <v>2447.6999999999998</v>
      </c>
      <c r="W4274" s="2">
        <v>1578</v>
      </c>
      <c r="X4274" s="5">
        <f t="shared" si="639"/>
        <v>0.20703517587939699</v>
      </c>
      <c r="Z4274" s="2" t="s">
        <v>105</v>
      </c>
      <c r="AA4274" s="2" t="s">
        <v>388</v>
      </c>
      <c r="AB4274" s="2" t="s">
        <v>1334</v>
      </c>
      <c r="AC4274" s="2" t="s">
        <v>1331</v>
      </c>
      <c r="AI4274" s="2"/>
      <c r="AK4274" s="2">
        <f t="shared" si="640"/>
        <v>412</v>
      </c>
      <c r="AL4274" s="5">
        <f t="shared" si="641"/>
        <v>0.20703517587939699</v>
      </c>
    </row>
    <row r="4275" spans="1:38" x14ac:dyDescent="0.2">
      <c r="A4275" s="8">
        <v>2026</v>
      </c>
      <c r="B4275" s="8">
        <v>6</v>
      </c>
      <c r="C4275" s="8"/>
      <c r="D4275" s="2" t="s">
        <v>2650</v>
      </c>
      <c r="P4275" s="2" t="s">
        <v>283</v>
      </c>
      <c r="Q4275" s="2" t="s">
        <v>1238</v>
      </c>
      <c r="R4275" s="2" t="s">
        <v>1239</v>
      </c>
      <c r="S4275" s="9">
        <v>1</v>
      </c>
      <c r="T4275" s="10">
        <v>4200</v>
      </c>
      <c r="U4275" s="2">
        <f t="shared" si="634"/>
        <v>966</v>
      </c>
      <c r="V4275" s="10">
        <f t="shared" si="635"/>
        <v>5166</v>
      </c>
      <c r="W4275" s="2">
        <f>3203.85+43</f>
        <v>3246.85</v>
      </c>
      <c r="X4275" s="5">
        <f t="shared" si="639"/>
        <v>0.22694047619047622</v>
      </c>
      <c r="Z4275" s="2" t="s">
        <v>105</v>
      </c>
      <c r="AA4275" s="2" t="s">
        <v>1581</v>
      </c>
      <c r="AB4275" s="2" t="s">
        <v>389</v>
      </c>
      <c r="AC4275" s="2" t="s">
        <v>1331</v>
      </c>
      <c r="AI4275" s="2"/>
      <c r="AK4275" s="2">
        <f t="shared" si="640"/>
        <v>953.15000000000009</v>
      </c>
      <c r="AL4275" s="5">
        <f t="shared" si="641"/>
        <v>0.22694047619047622</v>
      </c>
    </row>
    <row r="4276" spans="1:38" x14ac:dyDescent="0.2">
      <c r="A4276" s="8">
        <v>2026</v>
      </c>
      <c r="B4276" s="8">
        <v>6</v>
      </c>
      <c r="C4276" s="8"/>
      <c r="D4276" s="2" t="s">
        <v>3112</v>
      </c>
      <c r="P4276" s="2" t="s">
        <v>283</v>
      </c>
      <c r="Q4276" s="2" t="s">
        <v>1332</v>
      </c>
      <c r="R4276" s="2" t="s">
        <v>1333</v>
      </c>
      <c r="S4276" s="9">
        <v>1</v>
      </c>
      <c r="T4276" s="10">
        <v>2150</v>
      </c>
      <c r="U4276" s="2">
        <f t="shared" si="634"/>
        <v>494.5</v>
      </c>
      <c r="V4276" s="10">
        <f t="shared" si="635"/>
        <v>2644.5</v>
      </c>
      <c r="W4276" s="2">
        <v>1578</v>
      </c>
      <c r="X4276" s="5">
        <f t="shared" si="639"/>
        <v>0.26604651162790699</v>
      </c>
      <c r="Z4276" s="2" t="s">
        <v>105</v>
      </c>
      <c r="AA4276" s="2" t="s">
        <v>388</v>
      </c>
      <c r="AB4276" s="2" t="s">
        <v>1334</v>
      </c>
      <c r="AC4276" s="2" t="s">
        <v>1331</v>
      </c>
      <c r="AI4276" s="2"/>
      <c r="AK4276" s="2">
        <f t="shared" si="640"/>
        <v>572</v>
      </c>
      <c r="AL4276" s="5">
        <f t="shared" si="641"/>
        <v>0.26604651162790699</v>
      </c>
    </row>
    <row r="4277" spans="1:38" x14ac:dyDescent="0.2">
      <c r="A4277" s="8">
        <v>2026</v>
      </c>
      <c r="B4277" s="8">
        <v>6</v>
      </c>
      <c r="C4277" s="8"/>
      <c r="D4277" s="2" t="s">
        <v>679</v>
      </c>
      <c r="P4277" s="2" t="s">
        <v>2699</v>
      </c>
      <c r="Q4277" s="2" t="s">
        <v>3104</v>
      </c>
      <c r="R4277" s="2" t="s">
        <v>3105</v>
      </c>
      <c r="S4277" s="9">
        <v>-4</v>
      </c>
      <c r="T4277" s="10">
        <v>-800</v>
      </c>
      <c r="U4277" s="2">
        <f t="shared" si="634"/>
        <v>-184</v>
      </c>
      <c r="V4277" s="10">
        <f t="shared" si="635"/>
        <v>-984</v>
      </c>
      <c r="W4277" s="2">
        <f>124*4</f>
        <v>496</v>
      </c>
      <c r="X4277" s="18">
        <f t="shared" ref="X4277:X4278" si="642">SIGN(T4277)*((ABS(T4277)-W4277)/ABS(T4277))</f>
        <v>-0.38</v>
      </c>
      <c r="Z4277" s="2" t="s">
        <v>3237</v>
      </c>
      <c r="AA4277" s="2" t="s">
        <v>3395</v>
      </c>
      <c r="AB4277" s="2" t="s">
        <v>3401</v>
      </c>
      <c r="AC4277" s="2" t="s">
        <v>3402</v>
      </c>
      <c r="AI4277" s="2"/>
      <c r="AK4277" s="2">
        <f t="shared" ref="AK4277:AK4278" si="643">T4277+(W4277)</f>
        <v>-304</v>
      </c>
      <c r="AL4277" s="18">
        <f t="shared" ref="AL4277:AL4278" si="644">SIGN(T4277)*((ABS(T4277)-W4277)/ABS(T4277))</f>
        <v>-0.38</v>
      </c>
    </row>
    <row r="4278" spans="1:38" x14ac:dyDescent="0.2">
      <c r="A4278" s="8">
        <v>2026</v>
      </c>
      <c r="B4278" s="8">
        <v>6</v>
      </c>
      <c r="C4278" s="8"/>
      <c r="D4278" s="2" t="s">
        <v>679</v>
      </c>
      <c r="P4278" s="2" t="s">
        <v>2699</v>
      </c>
      <c r="Q4278" s="2" t="s">
        <v>3106</v>
      </c>
      <c r="R4278" s="2" t="s">
        <v>3107</v>
      </c>
      <c r="S4278" s="9">
        <v>-4</v>
      </c>
      <c r="T4278" s="10">
        <v>-714.4</v>
      </c>
      <c r="U4278" s="2">
        <f t="shared" si="634"/>
        <v>-164.31200000000001</v>
      </c>
      <c r="V4278" s="10">
        <f t="shared" si="635"/>
        <v>-878.71199999999999</v>
      </c>
      <c r="W4278" s="2">
        <f>125*4</f>
        <v>500</v>
      </c>
      <c r="X4278" s="18">
        <f t="shared" si="642"/>
        <v>-0.30011198208286671</v>
      </c>
      <c r="Z4278" s="2" t="s">
        <v>3237</v>
      </c>
      <c r="AA4278" s="2" t="s">
        <v>3395</v>
      </c>
      <c r="AB4278" s="2" t="s">
        <v>3401</v>
      </c>
      <c r="AC4278" s="2" t="s">
        <v>3402</v>
      </c>
      <c r="AI4278" s="2"/>
      <c r="AK4278" s="2">
        <f t="shared" si="643"/>
        <v>-214.39999999999998</v>
      </c>
      <c r="AL4278" s="18">
        <f t="shared" si="644"/>
        <v>-0.30011198208286671</v>
      </c>
    </row>
    <row r="4279" spans="1:38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3240</v>
      </c>
      <c r="P4279" s="2" t="s">
        <v>283</v>
      </c>
      <c r="Q4279" s="6" t="s">
        <v>3239</v>
      </c>
      <c r="R4279" s="2" t="s">
        <v>1158</v>
      </c>
      <c r="S4279" s="8">
        <v>1</v>
      </c>
      <c r="T4279" s="2">
        <v>2900</v>
      </c>
      <c r="U4279" s="2">
        <f t="shared" si="634"/>
        <v>667</v>
      </c>
      <c r="V4279" s="10">
        <f>U4279+T4279</f>
        <v>3567</v>
      </c>
      <c r="W4279" s="2">
        <v>2190</v>
      </c>
      <c r="X4279" s="5">
        <f t="shared" si="639"/>
        <v>0.24482758620689654</v>
      </c>
      <c r="Z4279" s="2" t="s">
        <v>105</v>
      </c>
      <c r="AA4279" s="2" t="s">
        <v>1581</v>
      </c>
      <c r="AB4279" s="2" t="s">
        <v>389</v>
      </c>
      <c r="AC4279" s="2" t="s">
        <v>1331</v>
      </c>
      <c r="AK4279" s="2">
        <f t="shared" si="640"/>
        <v>710</v>
      </c>
      <c r="AL4279" s="5">
        <f t="shared" si="641"/>
        <v>0.24482758620689654</v>
      </c>
    </row>
    <row r="4280" spans="1:38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3240</v>
      </c>
      <c r="P4280" s="2" t="s">
        <v>283</v>
      </c>
      <c r="Q4280" s="6" t="s">
        <v>1161</v>
      </c>
      <c r="R4280" s="2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1581</v>
      </c>
      <c r="AB4280" s="2" t="s">
        <v>389</v>
      </c>
      <c r="AC4280" s="2" t="s">
        <v>1331</v>
      </c>
      <c r="AK4280" s="2">
        <f t="shared" si="640"/>
        <v>0</v>
      </c>
      <c r="AL4280" s="18">
        <v>-1</v>
      </c>
    </row>
    <row r="4281" spans="1:38" x14ac:dyDescent="0.2">
      <c r="A4281" s="2">
        <v>2026</v>
      </c>
      <c r="B4281" s="2">
        <v>7</v>
      </c>
      <c r="C4281" s="2" t="s">
        <v>3305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3281</v>
      </c>
      <c r="M4281" s="2" t="s">
        <v>41</v>
      </c>
      <c r="O4281" s="2" t="s">
        <v>3278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W4281" s="2">
        <v>14.535</v>
      </c>
      <c r="X4281" s="5">
        <f t="shared" si="639"/>
        <v>0.42321428571428571</v>
      </c>
      <c r="Z4281" s="2" t="s">
        <v>3237</v>
      </c>
      <c r="AA4281" s="2" t="s">
        <v>46</v>
      </c>
      <c r="AB4281" s="2" t="s">
        <v>47</v>
      </c>
      <c r="AC4281" s="2" t="s">
        <v>48</v>
      </c>
      <c r="AK4281" s="2">
        <f t="shared" si="640"/>
        <v>10.664999999999999</v>
      </c>
      <c r="AL4281" s="5">
        <f t="shared" si="641"/>
        <v>0.42321428571428571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3281</v>
      </c>
      <c r="M4282" s="2" t="s">
        <v>41</v>
      </c>
      <c r="O4282" s="2" t="s">
        <v>3278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45">T4282*23%</f>
        <v>4.83</v>
      </c>
      <c r="V4282" s="12">
        <f t="shared" ref="V4282:V4288" si="646">T4282+U4282</f>
        <v>25.83</v>
      </c>
      <c r="W4282" s="2">
        <f>9.3*S4282</f>
        <v>9.3000000000000007</v>
      </c>
      <c r="X4282" s="5">
        <f t="shared" si="639"/>
        <v>0.55714285714285716</v>
      </c>
      <c r="Z4282" s="2" t="s">
        <v>3237</v>
      </c>
      <c r="AA4282" s="2" t="s">
        <v>46</v>
      </c>
      <c r="AB4282" s="2" t="s">
        <v>47</v>
      </c>
      <c r="AC4282" s="2" t="s">
        <v>48</v>
      </c>
      <c r="AK4282" s="2">
        <f t="shared" si="640"/>
        <v>11.7</v>
      </c>
      <c r="AL4282" s="5">
        <f t="shared" si="641"/>
        <v>0.55714285714285716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3281</v>
      </c>
      <c r="M4283" s="2" t="s">
        <v>41</v>
      </c>
      <c r="O4283" s="2" t="s">
        <v>3278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45"/>
        <v>2.99</v>
      </c>
      <c r="V4283" s="12">
        <f t="shared" si="646"/>
        <v>15.99</v>
      </c>
      <c r="W4283" s="2">
        <f>6.6267*S4283</f>
        <v>6.6266999999999996</v>
      </c>
      <c r="X4283" s="5">
        <f t="shared" si="639"/>
        <v>0.49025384615384621</v>
      </c>
      <c r="Z4283" s="2" t="s">
        <v>3237</v>
      </c>
      <c r="AA4283" s="2" t="s">
        <v>46</v>
      </c>
      <c r="AB4283" s="2" t="s">
        <v>47</v>
      </c>
      <c r="AC4283" s="2" t="s">
        <v>48</v>
      </c>
      <c r="AK4283" s="2">
        <f t="shared" si="640"/>
        <v>6.3733000000000004</v>
      </c>
      <c r="AL4283" s="5">
        <f t="shared" si="641"/>
        <v>0.49025384615384621</v>
      </c>
    </row>
    <row r="4284" spans="1:38" x14ac:dyDescent="0.2">
      <c r="A4284" s="2">
        <v>2026</v>
      </c>
      <c r="B4284" s="2">
        <v>7</v>
      </c>
      <c r="C4284" s="2" t="s">
        <v>3306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3281</v>
      </c>
      <c r="M4284" s="2" t="s">
        <v>81</v>
      </c>
      <c r="O4284" s="2" t="s">
        <v>3279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45"/>
        <v>4.1400000000000006</v>
      </c>
      <c r="V4284" s="12">
        <f t="shared" si="646"/>
        <v>22.14</v>
      </c>
      <c r="W4284" s="2">
        <f>14.4*S4284</f>
        <v>14.4</v>
      </c>
      <c r="X4284" s="5">
        <f t="shared" si="639"/>
        <v>0.19999999999999998</v>
      </c>
      <c r="Z4284" s="2" t="s">
        <v>3237</v>
      </c>
      <c r="AA4284" s="2" t="s">
        <v>46</v>
      </c>
      <c r="AB4284" s="2" t="s">
        <v>47</v>
      </c>
      <c r="AC4284" s="2" t="s">
        <v>48</v>
      </c>
      <c r="AK4284" s="2">
        <f t="shared" si="640"/>
        <v>3.5999999999999996</v>
      </c>
      <c r="AL4284" s="5">
        <f t="shared" si="641"/>
        <v>0.19999999999999998</v>
      </c>
    </row>
    <row r="4285" spans="1:38" x14ac:dyDescent="0.2">
      <c r="A4285" s="2">
        <v>2026</v>
      </c>
      <c r="B4285" s="2">
        <v>7</v>
      </c>
      <c r="C4285" s="2" t="s">
        <v>3306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3281</v>
      </c>
      <c r="M4285" s="2" t="s">
        <v>81</v>
      </c>
      <c r="O4285" s="2" t="s">
        <v>3279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45"/>
        <v>6.9</v>
      </c>
      <c r="V4285" s="12">
        <f t="shared" si="646"/>
        <v>36.9</v>
      </c>
      <c r="X4285" s="5">
        <f t="shared" si="639"/>
        <v>1</v>
      </c>
      <c r="Z4285" s="2" t="s">
        <v>3237</v>
      </c>
      <c r="AA4285" s="2" t="s">
        <v>46</v>
      </c>
      <c r="AB4285" s="2" t="s">
        <v>57</v>
      </c>
      <c r="AC4285" s="2" t="s">
        <v>58</v>
      </c>
      <c r="AK4285" s="2">
        <f t="shared" si="640"/>
        <v>30</v>
      </c>
      <c r="AL4285" s="5">
        <f t="shared" si="641"/>
        <v>1</v>
      </c>
    </row>
    <row r="4286" spans="1:38" x14ac:dyDescent="0.2">
      <c r="A4286" s="2">
        <v>2026</v>
      </c>
      <c r="B4286" s="2">
        <v>7</v>
      </c>
      <c r="C4286" s="2" t="s">
        <v>3306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3281</v>
      </c>
      <c r="M4286" s="2" t="s">
        <v>81</v>
      </c>
      <c r="O4286" s="2" t="s">
        <v>3279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45"/>
        <v>5.5200000000000005</v>
      </c>
      <c r="V4286" s="12">
        <f t="shared" si="646"/>
        <v>29.52</v>
      </c>
      <c r="X4286" s="5">
        <f t="shared" si="639"/>
        <v>1</v>
      </c>
      <c r="Z4286" s="2" t="s">
        <v>3237</v>
      </c>
      <c r="AA4286" s="2" t="s">
        <v>46</v>
      </c>
      <c r="AB4286" s="2" t="s">
        <v>47</v>
      </c>
      <c r="AC4286" s="2" t="s">
        <v>48</v>
      </c>
      <c r="AK4286" s="2">
        <f t="shared" si="640"/>
        <v>24</v>
      </c>
      <c r="AL4286" s="5">
        <f t="shared" si="641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3281</v>
      </c>
      <c r="M4287" s="2" t="s">
        <v>81</v>
      </c>
      <c r="O4287" s="2" t="s">
        <v>3280</v>
      </c>
      <c r="P4287" s="2" t="s">
        <v>1041</v>
      </c>
      <c r="Q4287" s="2" t="s">
        <v>3276</v>
      </c>
      <c r="R4287" s="2" t="s">
        <v>3277</v>
      </c>
      <c r="S4287" s="13">
        <v>1</v>
      </c>
      <c r="T4287" s="14">
        <v>187</v>
      </c>
      <c r="U4287" s="2">
        <f t="shared" si="645"/>
        <v>43.010000000000005</v>
      </c>
      <c r="V4287" s="12">
        <f t="shared" si="646"/>
        <v>230.01</v>
      </c>
      <c r="W4287" s="2">
        <v>141.16</v>
      </c>
      <c r="X4287" s="5">
        <f t="shared" si="639"/>
        <v>0.24513368983957221</v>
      </c>
      <c r="Z4287" s="2" t="s">
        <v>3237</v>
      </c>
      <c r="AA4287" s="2" t="s">
        <v>76</v>
      </c>
      <c r="AB4287" s="2" t="s">
        <v>77</v>
      </c>
      <c r="AC4287" s="2" t="s">
        <v>1041</v>
      </c>
      <c r="AK4287" s="2">
        <f t="shared" si="640"/>
        <v>45.84</v>
      </c>
      <c r="AL4287" s="5">
        <f t="shared" si="641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3281</v>
      </c>
      <c r="M4288" s="2" t="s">
        <v>81</v>
      </c>
      <c r="O4288" s="2" t="s">
        <v>3280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45"/>
        <v>0.34040000000000004</v>
      </c>
      <c r="V4288" s="12">
        <f t="shared" si="646"/>
        <v>1.8204</v>
      </c>
      <c r="W4288" s="2">
        <v>1.48</v>
      </c>
      <c r="X4288" s="5">
        <f t="shared" si="639"/>
        <v>0</v>
      </c>
      <c r="Z4288" s="2" t="s">
        <v>3237</v>
      </c>
      <c r="AA4288" s="2" t="s">
        <v>97</v>
      </c>
      <c r="AB4288" s="2" t="s">
        <v>77</v>
      </c>
      <c r="AC4288" s="2" t="s">
        <v>94</v>
      </c>
      <c r="AK4288" s="2">
        <f t="shared" si="640"/>
        <v>0</v>
      </c>
      <c r="AL4288" s="5">
        <f t="shared" si="641"/>
        <v>0</v>
      </c>
    </row>
    <row r="4289" spans="1:38" x14ac:dyDescent="0.2">
      <c r="A4289" s="2">
        <v>2026</v>
      </c>
      <c r="B4289" s="2">
        <v>7</v>
      </c>
      <c r="C4289" s="2" t="s">
        <v>3306</v>
      </c>
      <c r="D4289" s="2" t="s">
        <v>1471</v>
      </c>
      <c r="E4289" s="2" t="s">
        <v>38</v>
      </c>
      <c r="F4289" s="2" t="s">
        <v>39</v>
      </c>
      <c r="H4289" s="2" t="s">
        <v>110</v>
      </c>
      <c r="I4289" s="2" t="s">
        <v>1472</v>
      </c>
      <c r="L4289" s="2" t="s">
        <v>361</v>
      </c>
      <c r="M4289" s="2" t="s">
        <v>81</v>
      </c>
      <c r="O4289" s="2" t="s">
        <v>3290</v>
      </c>
      <c r="P4289" s="2" t="s">
        <v>73</v>
      </c>
      <c r="Q4289" s="2" t="s">
        <v>3037</v>
      </c>
      <c r="R4289" s="2" t="s">
        <v>332</v>
      </c>
      <c r="S4289" s="13">
        <v>1</v>
      </c>
      <c r="T4289" s="14">
        <v>220</v>
      </c>
      <c r="U4289" s="2">
        <f t="shared" si="645"/>
        <v>50.6</v>
      </c>
      <c r="V4289" s="12">
        <f t="shared" ref="V4289:V4304" si="647">T4289+U4289</f>
        <v>270.60000000000002</v>
      </c>
      <c r="W4289" s="2">
        <v>113.4</v>
      </c>
      <c r="X4289" s="5">
        <f t="shared" si="639"/>
        <v>0.4845454545454545</v>
      </c>
      <c r="Z4289" s="2" t="s">
        <v>3237</v>
      </c>
      <c r="AA4289" s="2" t="s">
        <v>76</v>
      </c>
      <c r="AB4289" s="2" t="s">
        <v>77</v>
      </c>
      <c r="AC4289" s="2" t="s">
        <v>78</v>
      </c>
      <c r="AK4289" s="2">
        <f t="shared" si="640"/>
        <v>106.6</v>
      </c>
      <c r="AL4289" s="5">
        <f t="shared" si="641"/>
        <v>0.4845454545454545</v>
      </c>
    </row>
    <row r="4290" spans="1:38" x14ac:dyDescent="0.2">
      <c r="A4290" s="2">
        <v>2026</v>
      </c>
      <c r="B4290" s="2">
        <v>7</v>
      </c>
      <c r="C4290" s="2" t="s">
        <v>3306</v>
      </c>
      <c r="D4290" s="2" t="s">
        <v>1471</v>
      </c>
      <c r="E4290" s="2" t="s">
        <v>38</v>
      </c>
      <c r="F4290" s="2" t="s">
        <v>39</v>
      </c>
      <c r="H4290" s="2" t="s">
        <v>110</v>
      </c>
      <c r="I4290" s="2" t="s">
        <v>1472</v>
      </c>
      <c r="L4290" s="2" t="s">
        <v>361</v>
      </c>
      <c r="M4290" s="2" t="s">
        <v>81</v>
      </c>
      <c r="O4290" s="2" t="s">
        <v>3290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45"/>
        <v>0.34040000000000004</v>
      </c>
      <c r="V4290" s="12">
        <f t="shared" si="647"/>
        <v>1.8204</v>
      </c>
      <c r="W4290" s="2">
        <v>1.48</v>
      </c>
      <c r="X4290" s="5">
        <f t="shared" si="639"/>
        <v>0</v>
      </c>
      <c r="Z4290" s="2" t="s">
        <v>3237</v>
      </c>
      <c r="AA4290" s="2" t="s">
        <v>97</v>
      </c>
      <c r="AB4290" s="2" t="s">
        <v>77</v>
      </c>
      <c r="AC4290" s="2" t="s">
        <v>94</v>
      </c>
      <c r="AK4290" s="2">
        <f t="shared" si="640"/>
        <v>0</v>
      </c>
      <c r="AL4290" s="5">
        <f t="shared" si="641"/>
        <v>0</v>
      </c>
    </row>
    <row r="4291" spans="1:38" x14ac:dyDescent="0.2">
      <c r="A4291" s="2">
        <v>2026</v>
      </c>
      <c r="B4291" s="2">
        <v>7</v>
      </c>
      <c r="D4291" s="2" t="s">
        <v>1156</v>
      </c>
      <c r="E4291" s="2" t="s">
        <v>109</v>
      </c>
      <c r="F4291" s="2" t="s">
        <v>532</v>
      </c>
      <c r="H4291" s="2" t="s">
        <v>40</v>
      </c>
      <c r="I4291" s="2" t="s">
        <v>3296</v>
      </c>
      <c r="L4291" s="2" t="s">
        <v>340</v>
      </c>
      <c r="M4291" s="2" t="s">
        <v>40</v>
      </c>
      <c r="O4291" s="2" t="s">
        <v>3297</v>
      </c>
      <c r="P4291" s="2" t="s">
        <v>283</v>
      </c>
      <c r="Q4291" s="2" t="s">
        <v>3005</v>
      </c>
      <c r="R4291" s="2" t="s">
        <v>3006</v>
      </c>
      <c r="S4291" s="13">
        <v>1</v>
      </c>
      <c r="T4291" s="14">
        <v>1190</v>
      </c>
      <c r="U4291" s="2">
        <f t="shared" si="645"/>
        <v>273.7</v>
      </c>
      <c r="V4291" s="12">
        <f t="shared" si="647"/>
        <v>1463.7</v>
      </c>
      <c r="W4291" s="2">
        <v>773.5</v>
      </c>
      <c r="X4291" s="5">
        <f t="shared" si="639"/>
        <v>0.35</v>
      </c>
      <c r="Z4291" s="2" t="s">
        <v>118</v>
      </c>
      <c r="AK4291" s="2">
        <f t="shared" si="640"/>
        <v>416.5</v>
      </c>
      <c r="AL4291" s="5">
        <f t="shared" si="641"/>
        <v>0.35</v>
      </c>
    </row>
    <row r="4292" spans="1:38" x14ac:dyDescent="0.2">
      <c r="A4292" s="2">
        <v>2026</v>
      </c>
      <c r="B4292" s="2">
        <v>7</v>
      </c>
      <c r="C4292" s="2" t="s">
        <v>3306</v>
      </c>
      <c r="D4292" s="2" t="s">
        <v>3282</v>
      </c>
      <c r="E4292" s="2" t="s">
        <v>38</v>
      </c>
      <c r="F4292" s="2" t="s">
        <v>39</v>
      </c>
      <c r="H4292" s="2" t="s">
        <v>291</v>
      </c>
      <c r="I4292" s="2" t="s">
        <v>3292</v>
      </c>
      <c r="L4292" s="2" t="s">
        <v>340</v>
      </c>
      <c r="M4292" s="2" t="s">
        <v>81</v>
      </c>
      <c r="O4292" s="2" t="s">
        <v>3291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45"/>
        <v>52.9529</v>
      </c>
      <c r="V4292" s="12">
        <f t="shared" si="647"/>
        <v>283.18290000000002</v>
      </c>
      <c r="W4292" s="2">
        <f>115.92+6.06</f>
        <v>121.98</v>
      </c>
      <c r="X4292" s="5">
        <f t="shared" si="639"/>
        <v>0.47018199192112231</v>
      </c>
      <c r="Z4292" s="2" t="s">
        <v>3237</v>
      </c>
      <c r="AA4292" s="2" t="s">
        <v>76</v>
      </c>
      <c r="AB4292" s="2" t="s">
        <v>77</v>
      </c>
      <c r="AC4292" s="2" t="s">
        <v>78</v>
      </c>
      <c r="AK4292" s="2">
        <f t="shared" si="640"/>
        <v>108.24999999999999</v>
      </c>
      <c r="AL4292" s="5">
        <f t="shared" si="641"/>
        <v>0.47018199192112231</v>
      </c>
    </row>
    <row r="4293" spans="1:38" x14ac:dyDescent="0.2">
      <c r="A4293" s="2">
        <v>2026</v>
      </c>
      <c r="B4293" s="2">
        <v>7</v>
      </c>
      <c r="C4293" s="2" t="s">
        <v>3306</v>
      </c>
      <c r="D4293" s="2" t="s">
        <v>3282</v>
      </c>
      <c r="E4293" s="2" t="s">
        <v>38</v>
      </c>
      <c r="F4293" s="2" t="s">
        <v>39</v>
      </c>
      <c r="H4293" s="2" t="s">
        <v>291</v>
      </c>
      <c r="I4293" s="2" t="s">
        <v>3292</v>
      </c>
      <c r="L4293" s="2" t="s">
        <v>340</v>
      </c>
      <c r="M4293" s="2" t="s">
        <v>81</v>
      </c>
      <c r="O4293" s="2" t="s">
        <v>3291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45"/>
        <v>0.34040000000000004</v>
      </c>
      <c r="V4293" s="12">
        <f t="shared" si="647"/>
        <v>1.8204</v>
      </c>
      <c r="W4293" s="2">
        <v>1.48</v>
      </c>
      <c r="X4293" s="5">
        <f t="shared" si="639"/>
        <v>0</v>
      </c>
      <c r="Z4293" s="2" t="s">
        <v>3237</v>
      </c>
      <c r="AA4293" s="2" t="s">
        <v>97</v>
      </c>
      <c r="AB4293" s="2" t="s">
        <v>77</v>
      </c>
      <c r="AC4293" s="2" t="s">
        <v>94</v>
      </c>
      <c r="AK4293" s="2">
        <f t="shared" si="640"/>
        <v>0</v>
      </c>
      <c r="AL4293" s="5">
        <f t="shared" si="641"/>
        <v>0</v>
      </c>
    </row>
    <row r="4294" spans="1:38" x14ac:dyDescent="0.2">
      <c r="A4294" s="2">
        <v>2026</v>
      </c>
      <c r="B4294" s="2">
        <v>7</v>
      </c>
      <c r="D4294" s="2" t="s">
        <v>3283</v>
      </c>
      <c r="E4294" s="2" t="s">
        <v>754</v>
      </c>
      <c r="F4294" s="2" t="s">
        <v>921</v>
      </c>
      <c r="H4294" s="2" t="s">
        <v>40</v>
      </c>
      <c r="I4294" s="2" t="s">
        <v>3298</v>
      </c>
      <c r="L4294" s="2" t="s">
        <v>100</v>
      </c>
      <c r="M4294" s="2" t="s">
        <v>40</v>
      </c>
      <c r="O4294" s="2" t="s">
        <v>3299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45"/>
        <v>160.839</v>
      </c>
      <c r="V4294" s="12">
        <f t="shared" si="647"/>
        <v>860.1389999999999</v>
      </c>
      <c r="W4294" s="2">
        <v>345.20339999999999</v>
      </c>
      <c r="X4294" s="5">
        <f t="shared" si="639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40"/>
        <v>354.09659999999997</v>
      </c>
      <c r="AL4294" s="5">
        <f t="shared" si="641"/>
        <v>0.50635864435864431</v>
      </c>
    </row>
    <row r="4295" spans="1:38" x14ac:dyDescent="0.2">
      <c r="A4295" s="2">
        <v>2026</v>
      </c>
      <c r="B4295" s="2">
        <v>7</v>
      </c>
      <c r="D4295" s="2" t="s">
        <v>3283</v>
      </c>
      <c r="E4295" s="2" t="s">
        <v>754</v>
      </c>
      <c r="F4295" s="2" t="s">
        <v>921</v>
      </c>
      <c r="H4295" s="2" t="s">
        <v>40</v>
      </c>
      <c r="I4295" s="2" t="s">
        <v>3298</v>
      </c>
      <c r="L4295" s="2" t="s">
        <v>100</v>
      </c>
      <c r="M4295" s="2" t="s">
        <v>40</v>
      </c>
      <c r="O4295" s="2" t="s">
        <v>3299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45"/>
        <v>12.65</v>
      </c>
      <c r="V4295" s="12">
        <f t="shared" si="647"/>
        <v>67.650000000000006</v>
      </c>
      <c r="W4295" s="2">
        <f>T4295*40%</f>
        <v>22</v>
      </c>
      <c r="X4295" s="5">
        <f t="shared" si="639"/>
        <v>0.6</v>
      </c>
      <c r="Z4295" s="2" t="s">
        <v>118</v>
      </c>
      <c r="AA4295" s="2" t="s">
        <v>191</v>
      </c>
      <c r="AK4295" s="2">
        <f t="shared" si="640"/>
        <v>33</v>
      </c>
      <c r="AL4295" s="5">
        <f t="shared" si="641"/>
        <v>0.6</v>
      </c>
    </row>
    <row r="4296" spans="1:38" x14ac:dyDescent="0.2">
      <c r="A4296" s="2">
        <v>2026</v>
      </c>
      <c r="B4296" s="2">
        <v>7</v>
      </c>
      <c r="D4296" s="2" t="s">
        <v>3283</v>
      </c>
      <c r="E4296" s="2" t="s">
        <v>754</v>
      </c>
      <c r="F4296" s="2" t="s">
        <v>921</v>
      </c>
      <c r="H4296" s="2" t="s">
        <v>40</v>
      </c>
      <c r="I4296" s="2" t="s">
        <v>3298</v>
      </c>
      <c r="L4296" s="2" t="s">
        <v>100</v>
      </c>
      <c r="M4296" s="2" t="s">
        <v>40</v>
      </c>
      <c r="O4296" s="2" t="s">
        <v>3299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45"/>
        <v>6.3250000000000002</v>
      </c>
      <c r="V4296" s="12">
        <f t="shared" si="647"/>
        <v>33.825000000000003</v>
      </c>
      <c r="W4296" s="2">
        <f>T4296*50%</f>
        <v>13.75</v>
      </c>
      <c r="X4296" s="5">
        <f t="shared" si="639"/>
        <v>0.5</v>
      </c>
      <c r="Z4296" s="2" t="s">
        <v>118</v>
      </c>
      <c r="AA4296" s="2" t="s">
        <v>191</v>
      </c>
      <c r="AK4296" s="2">
        <f t="shared" si="640"/>
        <v>13.75</v>
      </c>
      <c r="AL4296" s="5">
        <f t="shared" si="641"/>
        <v>0.5</v>
      </c>
    </row>
    <row r="4297" spans="1:38" x14ac:dyDescent="0.2">
      <c r="A4297" s="2">
        <v>2026</v>
      </c>
      <c r="B4297" s="2">
        <v>7</v>
      </c>
      <c r="C4297" s="2" t="s">
        <v>3306</v>
      </c>
      <c r="D4297" s="2" t="s">
        <v>3284</v>
      </c>
      <c r="E4297" s="2" t="s">
        <v>109</v>
      </c>
      <c r="F4297" s="2" t="s">
        <v>39</v>
      </c>
      <c r="H4297" s="2" t="s">
        <v>291</v>
      </c>
      <c r="I4297" s="2" t="s">
        <v>3300</v>
      </c>
      <c r="L4297" s="2" t="s">
        <v>294</v>
      </c>
      <c r="M4297" s="2" t="s">
        <v>81</v>
      </c>
      <c r="O4297" s="2" t="s">
        <v>3301</v>
      </c>
      <c r="P4297" s="2" t="s">
        <v>73</v>
      </c>
      <c r="Q4297" s="2" t="s">
        <v>3285</v>
      </c>
      <c r="R4297" s="2" t="s">
        <v>308</v>
      </c>
      <c r="S4297" s="13">
        <v>1</v>
      </c>
      <c r="T4297" s="14">
        <v>220</v>
      </c>
      <c r="U4297" s="2">
        <f t="shared" si="645"/>
        <v>50.6</v>
      </c>
      <c r="V4297" s="12">
        <f t="shared" si="647"/>
        <v>270.60000000000002</v>
      </c>
      <c r="W4297" s="2">
        <v>119.95</v>
      </c>
      <c r="X4297" s="5">
        <f t="shared" si="639"/>
        <v>0.45477272727272727</v>
      </c>
      <c r="Z4297" s="2" t="s">
        <v>3237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40"/>
        <v>100.05</v>
      </c>
      <c r="AL4297" s="5">
        <f t="shared" si="641"/>
        <v>0.45477272727272727</v>
      </c>
    </row>
    <row r="4298" spans="1:38" x14ac:dyDescent="0.2">
      <c r="A4298" s="2">
        <v>2026</v>
      </c>
      <c r="B4298" s="2">
        <v>7</v>
      </c>
      <c r="C4298" s="2" t="s">
        <v>3306</v>
      </c>
      <c r="D4298" s="2" t="s">
        <v>3284</v>
      </c>
      <c r="E4298" s="2" t="s">
        <v>109</v>
      </c>
      <c r="F4298" s="2" t="s">
        <v>39</v>
      </c>
      <c r="H4298" s="2" t="s">
        <v>291</v>
      </c>
      <c r="I4298" s="2" t="s">
        <v>3300</v>
      </c>
      <c r="L4298" s="2" t="s">
        <v>294</v>
      </c>
      <c r="M4298" s="2" t="s">
        <v>81</v>
      </c>
      <c r="O4298" s="2" t="s">
        <v>3301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45"/>
        <v>0.34040000000000004</v>
      </c>
      <c r="V4298" s="12">
        <f t="shared" si="647"/>
        <v>1.8204</v>
      </c>
      <c r="W4298" s="2">
        <v>1.48</v>
      </c>
      <c r="X4298" s="5">
        <f t="shared" si="639"/>
        <v>0</v>
      </c>
      <c r="Z4298" s="2" t="s">
        <v>3237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40"/>
        <v>0</v>
      </c>
      <c r="AL4298" s="5">
        <f t="shared" si="641"/>
        <v>0</v>
      </c>
    </row>
    <row r="4299" spans="1:38" x14ac:dyDescent="0.2">
      <c r="A4299" s="2">
        <v>2026</v>
      </c>
      <c r="B4299" s="2">
        <v>7</v>
      </c>
      <c r="C4299" s="2" t="s">
        <v>3307</v>
      </c>
      <c r="D4299" s="2" t="s">
        <v>3109</v>
      </c>
      <c r="E4299" s="2" t="s">
        <v>38</v>
      </c>
      <c r="F4299" s="2" t="s">
        <v>39</v>
      </c>
      <c r="H4299" s="2" t="s">
        <v>110</v>
      </c>
      <c r="I4299" s="2" t="s">
        <v>3295</v>
      </c>
      <c r="L4299" s="2" t="s">
        <v>134</v>
      </c>
      <c r="M4299" s="2" t="s">
        <v>110</v>
      </c>
      <c r="O4299" s="2" t="s">
        <v>3294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45"/>
        <v>2990</v>
      </c>
      <c r="V4299" s="12">
        <f t="shared" si="647"/>
        <v>15990</v>
      </c>
      <c r="W4299" s="2">
        <v>8765.42</v>
      </c>
      <c r="X4299" s="5">
        <f t="shared" si="639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40"/>
        <v>4234.58</v>
      </c>
      <c r="AL4299" s="5">
        <f t="shared" si="641"/>
        <v>0.32573692307692309</v>
      </c>
    </row>
    <row r="4300" spans="1:38" x14ac:dyDescent="0.2">
      <c r="A4300" s="2">
        <v>2026</v>
      </c>
      <c r="B4300" s="2">
        <v>7</v>
      </c>
      <c r="C4300" s="2" t="s">
        <v>3307</v>
      </c>
      <c r="D4300" s="2" t="s">
        <v>3109</v>
      </c>
      <c r="E4300" s="2" t="s">
        <v>38</v>
      </c>
      <c r="F4300" s="2" t="s">
        <v>39</v>
      </c>
      <c r="H4300" s="2" t="s">
        <v>110</v>
      </c>
      <c r="I4300" s="2" t="s">
        <v>3295</v>
      </c>
      <c r="L4300" s="2" t="s">
        <v>134</v>
      </c>
      <c r="M4300" s="2" t="s">
        <v>110</v>
      </c>
      <c r="O4300" s="2" t="s">
        <v>3294</v>
      </c>
      <c r="P4300" s="2" t="s">
        <v>102</v>
      </c>
      <c r="Q4300" s="2" t="s">
        <v>3286</v>
      </c>
      <c r="R4300" s="2" t="s">
        <v>3287</v>
      </c>
      <c r="S4300" s="13">
        <v>1</v>
      </c>
      <c r="T4300" s="14">
        <v>6000</v>
      </c>
      <c r="U4300" s="2">
        <f t="shared" si="645"/>
        <v>1380</v>
      </c>
      <c r="V4300" s="12">
        <f t="shared" si="647"/>
        <v>7380</v>
      </c>
      <c r="W4300" s="2">
        <v>4221.5600000000004</v>
      </c>
      <c r="X4300" s="5">
        <f t="shared" si="639"/>
        <v>0.2964066666666666</v>
      </c>
      <c r="Z4300" s="2" t="s">
        <v>105</v>
      </c>
      <c r="AA4300" s="2" t="s">
        <v>106</v>
      </c>
      <c r="AB4300" s="2" t="s">
        <v>2035</v>
      </c>
      <c r="AC4300" s="2" t="s">
        <v>102</v>
      </c>
      <c r="AG4300" s="2">
        <v>4221.5600000000004</v>
      </c>
      <c r="AK4300" s="2">
        <f t="shared" si="640"/>
        <v>1778.4399999999996</v>
      </c>
      <c r="AL4300" s="5">
        <f t="shared" si="641"/>
        <v>0.2964066666666666</v>
      </c>
    </row>
    <row r="4301" spans="1:38" x14ac:dyDescent="0.2">
      <c r="A4301" s="2">
        <v>2026</v>
      </c>
      <c r="B4301" s="2">
        <v>7</v>
      </c>
      <c r="C4301" s="2" t="s">
        <v>3307</v>
      </c>
      <c r="D4301" s="2" t="s">
        <v>3109</v>
      </c>
      <c r="E4301" s="2" t="s">
        <v>38</v>
      </c>
      <c r="F4301" s="2" t="s">
        <v>39</v>
      </c>
      <c r="H4301" s="2" t="s">
        <v>110</v>
      </c>
      <c r="I4301" s="2" t="s">
        <v>3295</v>
      </c>
      <c r="L4301" s="2" t="s">
        <v>134</v>
      </c>
      <c r="M4301" s="2" t="s">
        <v>110</v>
      </c>
      <c r="O4301" s="2" t="s">
        <v>3294</v>
      </c>
      <c r="P4301" s="2" t="s">
        <v>102</v>
      </c>
      <c r="Q4301" s="2" t="s">
        <v>3288</v>
      </c>
      <c r="R4301" s="2" t="s">
        <v>3289</v>
      </c>
      <c r="S4301" s="13">
        <v>1</v>
      </c>
      <c r="T4301" s="14">
        <v>1000</v>
      </c>
      <c r="U4301" s="2">
        <f t="shared" si="645"/>
        <v>230</v>
      </c>
      <c r="V4301" s="12">
        <f t="shared" si="647"/>
        <v>1230</v>
      </c>
      <c r="W4301" s="2">
        <v>802.73</v>
      </c>
      <c r="X4301" s="5">
        <f t="shared" si="639"/>
        <v>0.19726999999999997</v>
      </c>
      <c r="Z4301" s="2" t="s">
        <v>105</v>
      </c>
      <c r="AA4301" s="2" t="s">
        <v>1114</v>
      </c>
      <c r="AB4301" s="2" t="s">
        <v>3293</v>
      </c>
      <c r="AC4301" s="2" t="s">
        <v>102</v>
      </c>
      <c r="AG4301" s="2">
        <v>802.73</v>
      </c>
      <c r="AK4301" s="2">
        <f t="shared" si="640"/>
        <v>197.26999999999998</v>
      </c>
      <c r="AL4301" s="5">
        <f t="shared" si="641"/>
        <v>0.19726999999999997</v>
      </c>
    </row>
    <row r="4302" spans="1:38" x14ac:dyDescent="0.2">
      <c r="A4302" s="2">
        <v>2026</v>
      </c>
      <c r="B4302" s="2">
        <v>7</v>
      </c>
      <c r="D4302" s="2" t="s">
        <v>2001</v>
      </c>
      <c r="E4302" s="2" t="s">
        <v>109</v>
      </c>
      <c r="F4302" s="2" t="s">
        <v>39</v>
      </c>
      <c r="H4302" s="2" t="s">
        <v>291</v>
      </c>
      <c r="I4302" s="2" t="s">
        <v>3292</v>
      </c>
      <c r="L4302" s="2" t="s">
        <v>340</v>
      </c>
      <c r="M4302" s="2" t="s">
        <v>40</v>
      </c>
      <c r="O4302" s="2" t="s">
        <v>3302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45"/>
        <v>13.8</v>
      </c>
      <c r="V4302" s="12">
        <f t="shared" si="647"/>
        <v>73.8</v>
      </c>
      <c r="W4302" s="2">
        <f>T4302*40%</f>
        <v>24</v>
      </c>
      <c r="X4302" s="5">
        <f t="shared" si="639"/>
        <v>0.6</v>
      </c>
      <c r="Z4302" s="2" t="s">
        <v>118</v>
      </c>
      <c r="AA4302" s="2" t="s">
        <v>191</v>
      </c>
      <c r="AK4302" s="2">
        <f t="shared" si="640"/>
        <v>36</v>
      </c>
      <c r="AL4302" s="5">
        <f t="shared" si="641"/>
        <v>0.6</v>
      </c>
    </row>
    <row r="4303" spans="1:38" x14ac:dyDescent="0.2">
      <c r="A4303" s="2">
        <v>2026</v>
      </c>
      <c r="B4303" s="2">
        <v>7</v>
      </c>
      <c r="D4303" s="2" t="s">
        <v>2001</v>
      </c>
      <c r="E4303" s="2" t="s">
        <v>109</v>
      </c>
      <c r="F4303" s="2" t="s">
        <v>39</v>
      </c>
      <c r="H4303" s="2" t="s">
        <v>291</v>
      </c>
      <c r="I4303" s="2" t="s">
        <v>3292</v>
      </c>
      <c r="L4303" s="2" t="s">
        <v>340</v>
      </c>
      <c r="M4303" s="2" t="s">
        <v>40</v>
      </c>
      <c r="O4303" s="2" t="s">
        <v>3302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45"/>
        <v>12.65</v>
      </c>
      <c r="V4303" s="12">
        <f t="shared" si="647"/>
        <v>67.650000000000006</v>
      </c>
      <c r="W4303" s="2">
        <f>T4303*50%</f>
        <v>27.5</v>
      </c>
      <c r="X4303" s="5">
        <f t="shared" si="639"/>
        <v>0.5</v>
      </c>
      <c r="Z4303" s="2" t="s">
        <v>118</v>
      </c>
      <c r="AA4303" s="2" t="s">
        <v>191</v>
      </c>
      <c r="AK4303" s="2">
        <f t="shared" si="640"/>
        <v>27.5</v>
      </c>
      <c r="AL4303" s="5">
        <f t="shared" si="641"/>
        <v>0.5</v>
      </c>
    </row>
    <row r="4304" spans="1:38" x14ac:dyDescent="0.2">
      <c r="A4304" s="2">
        <v>2026</v>
      </c>
      <c r="B4304" s="2">
        <v>7</v>
      </c>
      <c r="C4304" s="2" t="s">
        <v>3306</v>
      </c>
      <c r="D4304" s="2" t="s">
        <v>1488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47"/>
        <v>860.1389999999999</v>
      </c>
      <c r="W4304" s="2">
        <v>345.20339999999999</v>
      </c>
      <c r="X4304" s="5">
        <f t="shared" si="639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48">T4304-W4304</f>
        <v>354.09659999999997</v>
      </c>
      <c r="AL4304" s="5">
        <f t="shared" ref="AL4304:AL4367" si="649">(T4304-W4304)/T4304</f>
        <v>0.50635864435864431</v>
      </c>
    </row>
    <row r="4305" spans="1:38" x14ac:dyDescent="0.2">
      <c r="A4305" s="2">
        <v>2026</v>
      </c>
      <c r="B4305" s="2">
        <v>7</v>
      </c>
      <c r="C4305" s="2" t="s">
        <v>3306</v>
      </c>
      <c r="D4305" s="2" t="s">
        <v>1488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50">T4305*23%</f>
        <v>72.22</v>
      </c>
      <c r="V4305" s="2">
        <f t="shared" ref="V4305:V4368" si="651">T4305+U4305</f>
        <v>386.22</v>
      </c>
      <c r="W4305" s="2">
        <f>T4305*40%</f>
        <v>125.60000000000001</v>
      </c>
      <c r="X4305" s="5">
        <f t="shared" si="639"/>
        <v>0.6</v>
      </c>
      <c r="Z4305" s="2" t="s">
        <v>118</v>
      </c>
      <c r="AA4305" s="2" t="s">
        <v>191</v>
      </c>
      <c r="AK4305" s="2">
        <f t="shared" si="648"/>
        <v>188.39999999999998</v>
      </c>
      <c r="AL4305" s="5">
        <f t="shared" si="649"/>
        <v>0.6</v>
      </c>
    </row>
    <row r="4306" spans="1:38" x14ac:dyDescent="0.2">
      <c r="A4306" s="2">
        <v>2026</v>
      </c>
      <c r="B4306" s="2">
        <v>7</v>
      </c>
      <c r="C4306" s="2" t="s">
        <v>3306</v>
      </c>
      <c r="D4306" s="2" t="s">
        <v>1488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50"/>
        <v>12.65</v>
      </c>
      <c r="V4306" s="2">
        <f t="shared" si="651"/>
        <v>67.650000000000006</v>
      </c>
      <c r="W4306" s="2">
        <f>T4306*50%</f>
        <v>27.5</v>
      </c>
      <c r="X4306" s="5">
        <f t="shared" si="639"/>
        <v>0.5</v>
      </c>
      <c r="Z4306" s="2" t="s">
        <v>118</v>
      </c>
      <c r="AA4306" s="2" t="s">
        <v>191</v>
      </c>
      <c r="AK4306" s="2">
        <f t="shared" si="648"/>
        <v>27.5</v>
      </c>
      <c r="AL4306" s="5">
        <f t="shared" si="649"/>
        <v>0.5</v>
      </c>
    </row>
    <row r="4307" spans="1:38" x14ac:dyDescent="0.2">
      <c r="A4307" s="2">
        <v>2026</v>
      </c>
      <c r="B4307" s="2">
        <v>7</v>
      </c>
      <c r="C4307" s="2" t="s">
        <v>3307</v>
      </c>
      <c r="D4307" s="2" t="s">
        <v>3344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50"/>
        <v>13.8</v>
      </c>
      <c r="V4307" s="2">
        <f t="shared" si="651"/>
        <v>73.8</v>
      </c>
      <c r="W4307" s="2">
        <f>T4307*40%</f>
        <v>24</v>
      </c>
      <c r="X4307" s="5">
        <f t="shared" si="639"/>
        <v>0.6</v>
      </c>
      <c r="Z4307" s="2" t="s">
        <v>118</v>
      </c>
      <c r="AA4307" s="2" t="s">
        <v>191</v>
      </c>
      <c r="AK4307" s="2">
        <f t="shared" si="648"/>
        <v>36</v>
      </c>
      <c r="AL4307" s="5">
        <f t="shared" si="649"/>
        <v>0.6</v>
      </c>
    </row>
    <row r="4308" spans="1:38" x14ac:dyDescent="0.2">
      <c r="A4308" s="2">
        <v>2026</v>
      </c>
      <c r="B4308" s="2">
        <v>7</v>
      </c>
      <c r="C4308" s="2" t="s">
        <v>3307</v>
      </c>
      <c r="D4308" s="2" t="s">
        <v>3344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50"/>
        <v>12.65</v>
      </c>
      <c r="V4308" s="2">
        <f t="shared" si="651"/>
        <v>67.650000000000006</v>
      </c>
      <c r="W4308" s="2">
        <f>T4308*50%</f>
        <v>27.5</v>
      </c>
      <c r="X4308" s="5">
        <f t="shared" si="639"/>
        <v>0.5</v>
      </c>
      <c r="Z4308" s="2" t="s">
        <v>118</v>
      </c>
      <c r="AA4308" s="2" t="s">
        <v>191</v>
      </c>
      <c r="AK4308" s="2">
        <f t="shared" si="648"/>
        <v>27.5</v>
      </c>
      <c r="AL4308" s="5">
        <f t="shared" si="649"/>
        <v>0.5</v>
      </c>
    </row>
    <row r="4309" spans="1:38" x14ac:dyDescent="0.2">
      <c r="A4309" s="2">
        <v>2026</v>
      </c>
      <c r="B4309" s="2">
        <v>7</v>
      </c>
      <c r="C4309" s="2" t="s">
        <v>3306</v>
      </c>
      <c r="D4309" s="2" t="s">
        <v>3345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50"/>
        <v>50.6</v>
      </c>
      <c r="V4309" s="2">
        <f t="shared" si="651"/>
        <v>270.60000000000002</v>
      </c>
      <c r="W4309" s="2">
        <f>113.905+11.25</f>
        <v>125.155</v>
      </c>
      <c r="X4309" s="5">
        <f t="shared" si="639"/>
        <v>0.43111363636363637</v>
      </c>
      <c r="Z4309" s="2" t="s">
        <v>3237</v>
      </c>
      <c r="AA4309" s="2" t="s">
        <v>76</v>
      </c>
      <c r="AB4309" s="2" t="s">
        <v>77</v>
      </c>
      <c r="AC4309" s="2" t="s">
        <v>78</v>
      </c>
      <c r="AK4309" s="2">
        <f t="shared" si="648"/>
        <v>94.844999999999999</v>
      </c>
      <c r="AL4309" s="5">
        <f t="shared" si="649"/>
        <v>0.43111363636363637</v>
      </c>
    </row>
    <row r="4310" spans="1:38" x14ac:dyDescent="0.2">
      <c r="A4310" s="2">
        <v>2026</v>
      </c>
      <c r="B4310" s="2">
        <v>7</v>
      </c>
      <c r="C4310" s="2" t="s">
        <v>3306</v>
      </c>
      <c r="D4310" s="2" t="s">
        <v>3345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50"/>
        <v>0.34040000000000004</v>
      </c>
      <c r="V4310" s="2">
        <f t="shared" si="651"/>
        <v>1.8204</v>
      </c>
      <c r="W4310" s="2">
        <v>1.48</v>
      </c>
      <c r="X4310" s="5">
        <f t="shared" si="639"/>
        <v>0</v>
      </c>
      <c r="Z4310" s="2" t="s">
        <v>3237</v>
      </c>
      <c r="AA4310" s="2" t="s">
        <v>97</v>
      </c>
      <c r="AB4310" s="2" t="s">
        <v>77</v>
      </c>
      <c r="AC4310" s="2" t="s">
        <v>94</v>
      </c>
      <c r="AK4310" s="2">
        <f t="shared" si="648"/>
        <v>0</v>
      </c>
      <c r="AL4310" s="5">
        <f t="shared" si="649"/>
        <v>0</v>
      </c>
    </row>
    <row r="4311" spans="1:38" x14ac:dyDescent="0.2">
      <c r="A4311" s="2">
        <v>2026</v>
      </c>
      <c r="B4311" s="2">
        <v>7</v>
      </c>
      <c r="C4311" s="2" t="s">
        <v>3307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50"/>
        <v>145.82</v>
      </c>
      <c r="V4311" s="2">
        <f t="shared" si="651"/>
        <v>779.81999999999994</v>
      </c>
      <c r="W4311" s="2">
        <f>T4311*40%</f>
        <v>253.60000000000002</v>
      </c>
      <c r="X4311" s="5">
        <f t="shared" si="639"/>
        <v>0.6</v>
      </c>
      <c r="Z4311" s="2" t="s">
        <v>118</v>
      </c>
      <c r="AA4311" s="2" t="s">
        <v>191</v>
      </c>
      <c r="AK4311" s="2">
        <f t="shared" si="648"/>
        <v>380.4</v>
      </c>
      <c r="AL4311" s="5">
        <f t="shared" si="649"/>
        <v>0.6</v>
      </c>
    </row>
    <row r="4312" spans="1:38" x14ac:dyDescent="0.2">
      <c r="A4312" s="2">
        <v>2026</v>
      </c>
      <c r="B4312" s="2">
        <v>7</v>
      </c>
      <c r="C4312" s="2" t="s">
        <v>3307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50"/>
        <v>44.274999999999999</v>
      </c>
      <c r="V4312" s="2">
        <f t="shared" si="651"/>
        <v>236.77500000000001</v>
      </c>
      <c r="W4312" s="2">
        <f>T4312*50%</f>
        <v>96.25</v>
      </c>
      <c r="X4312" s="5">
        <f t="shared" si="639"/>
        <v>0.5</v>
      </c>
      <c r="Z4312" s="2" t="s">
        <v>118</v>
      </c>
      <c r="AA4312" s="2" t="s">
        <v>191</v>
      </c>
      <c r="AK4312" s="2">
        <f t="shared" si="648"/>
        <v>96.25</v>
      </c>
      <c r="AL4312" s="5">
        <f t="shared" si="649"/>
        <v>0.5</v>
      </c>
    </row>
    <row r="4313" spans="1:38" x14ac:dyDescent="0.2">
      <c r="A4313" s="2">
        <v>2026</v>
      </c>
      <c r="B4313" s="2">
        <v>7</v>
      </c>
      <c r="C4313" s="2" t="s">
        <v>3306</v>
      </c>
      <c r="D4313" s="15" t="s">
        <v>976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50"/>
        <v>13.8</v>
      </c>
      <c r="V4313" s="2">
        <f t="shared" si="651"/>
        <v>73.8</v>
      </c>
      <c r="W4313" s="2">
        <f>T4313*40%</f>
        <v>24</v>
      </c>
      <c r="X4313" s="5">
        <f t="shared" si="639"/>
        <v>0.6</v>
      </c>
      <c r="Z4313" s="2" t="s">
        <v>118</v>
      </c>
      <c r="AA4313" s="2" t="s">
        <v>191</v>
      </c>
      <c r="AK4313" s="2">
        <f t="shared" si="648"/>
        <v>36</v>
      </c>
      <c r="AL4313" s="5">
        <f t="shared" si="649"/>
        <v>0.6</v>
      </c>
    </row>
    <row r="4314" spans="1:38" x14ac:dyDescent="0.2">
      <c r="A4314" s="2">
        <v>2026</v>
      </c>
      <c r="B4314" s="2">
        <v>7</v>
      </c>
      <c r="C4314" s="2" t="s">
        <v>3306</v>
      </c>
      <c r="D4314" s="15" t="s">
        <v>976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50"/>
        <v>18.975000000000001</v>
      </c>
      <c r="V4314" s="2">
        <f t="shared" si="651"/>
        <v>101.47499999999999</v>
      </c>
      <c r="W4314" s="2">
        <f>T4314*50%</f>
        <v>41.25</v>
      </c>
      <c r="X4314" s="5">
        <f t="shared" si="639"/>
        <v>0.5</v>
      </c>
      <c r="Z4314" s="2" t="s">
        <v>118</v>
      </c>
      <c r="AA4314" s="2" t="s">
        <v>191</v>
      </c>
      <c r="AK4314" s="2">
        <f t="shared" si="648"/>
        <v>41.25</v>
      </c>
      <c r="AL4314" s="5">
        <f t="shared" si="649"/>
        <v>0.5</v>
      </c>
    </row>
    <row r="4315" spans="1:38" x14ac:dyDescent="0.2">
      <c r="A4315" s="2">
        <v>2026</v>
      </c>
      <c r="B4315" s="2">
        <v>7</v>
      </c>
      <c r="C4315" s="2" t="s">
        <v>3306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50"/>
        <v>18.278100000000002</v>
      </c>
      <c r="V4315" s="2">
        <f t="shared" si="651"/>
        <v>97.748099999999994</v>
      </c>
      <c r="W4315" s="2">
        <v>25.2</v>
      </c>
      <c r="X4315" s="5">
        <f t="shared" si="639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48"/>
        <v>54.269999999999996</v>
      </c>
      <c r="AL4315" s="5">
        <f t="shared" si="649"/>
        <v>0.68289920724801811</v>
      </c>
    </row>
    <row r="4316" spans="1:38" x14ac:dyDescent="0.2">
      <c r="A4316" s="2">
        <v>2026</v>
      </c>
      <c r="B4316" s="2">
        <v>7</v>
      </c>
      <c r="C4316" s="2" t="s">
        <v>3306</v>
      </c>
      <c r="D4316" s="15" t="s">
        <v>984</v>
      </c>
      <c r="M4316" s="2" t="s">
        <v>81</v>
      </c>
      <c r="P4316" s="2" t="s">
        <v>1041</v>
      </c>
      <c r="Q4316" s="16" t="s">
        <v>3356</v>
      </c>
      <c r="R4316" s="15" t="s">
        <v>3357</v>
      </c>
      <c r="S4316" s="13">
        <v>1</v>
      </c>
      <c r="T4316" s="14">
        <v>280</v>
      </c>
      <c r="U4316" s="2">
        <f t="shared" si="650"/>
        <v>64.400000000000006</v>
      </c>
      <c r="V4316" s="2">
        <f t="shared" si="651"/>
        <v>344.4</v>
      </c>
      <c r="W4316" s="2">
        <f>144.32+16.82</f>
        <v>161.13999999999999</v>
      </c>
      <c r="X4316" s="5">
        <f t="shared" si="639"/>
        <v>0.42450000000000004</v>
      </c>
      <c r="Z4316" s="2" t="s">
        <v>3237</v>
      </c>
      <c r="AA4316" s="2" t="s">
        <v>76</v>
      </c>
      <c r="AB4316" s="2" t="s">
        <v>77</v>
      </c>
      <c r="AC4316" s="2" t="s">
        <v>1041</v>
      </c>
      <c r="AK4316" s="2">
        <f t="shared" si="648"/>
        <v>118.86000000000001</v>
      </c>
      <c r="AL4316" s="5">
        <f t="shared" si="649"/>
        <v>0.42450000000000004</v>
      </c>
    </row>
    <row r="4317" spans="1:38" x14ac:dyDescent="0.2">
      <c r="A4317" s="2">
        <v>2026</v>
      </c>
      <c r="B4317" s="2">
        <v>7</v>
      </c>
      <c r="C4317" s="2" t="s">
        <v>3306</v>
      </c>
      <c r="D4317" s="15" t="s">
        <v>984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50"/>
        <v>0.34040000000000004</v>
      </c>
      <c r="V4317" s="2">
        <f t="shared" si="651"/>
        <v>1.8204</v>
      </c>
      <c r="W4317" s="2">
        <v>1.48</v>
      </c>
      <c r="X4317" s="5">
        <f t="shared" si="639"/>
        <v>0</v>
      </c>
      <c r="Z4317" s="2" t="s">
        <v>3237</v>
      </c>
      <c r="AA4317" s="2" t="s">
        <v>97</v>
      </c>
      <c r="AB4317" s="2" t="s">
        <v>77</v>
      </c>
      <c r="AC4317" s="2" t="s">
        <v>94</v>
      </c>
      <c r="AK4317" s="2">
        <f t="shared" si="648"/>
        <v>0</v>
      </c>
      <c r="AL4317" s="5">
        <f t="shared" si="649"/>
        <v>0</v>
      </c>
    </row>
    <row r="4318" spans="1:38" x14ac:dyDescent="0.2">
      <c r="A4318" s="2">
        <v>2026</v>
      </c>
      <c r="B4318" s="2">
        <v>7</v>
      </c>
      <c r="C4318" s="2" t="s">
        <v>3305</v>
      </c>
      <c r="D4318" s="15" t="s">
        <v>1359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1360</v>
      </c>
      <c r="L4318" s="2" t="s">
        <v>419</v>
      </c>
      <c r="M4318" s="2" t="s">
        <v>40</v>
      </c>
      <c r="P4318" s="2" t="s">
        <v>283</v>
      </c>
      <c r="Q4318" s="16" t="s">
        <v>3005</v>
      </c>
      <c r="R4318" s="15" t="s">
        <v>3006</v>
      </c>
      <c r="S4318" s="13">
        <v>1</v>
      </c>
      <c r="T4318" s="14">
        <v>1190</v>
      </c>
      <c r="U4318" s="2">
        <f t="shared" si="650"/>
        <v>273.7</v>
      </c>
      <c r="V4318" s="2">
        <f t="shared" si="651"/>
        <v>1463.7</v>
      </c>
      <c r="W4318" s="2">
        <v>773.5</v>
      </c>
      <c r="X4318" s="5">
        <f t="shared" si="639"/>
        <v>0.35</v>
      </c>
      <c r="Z4318" s="2" t="s">
        <v>118</v>
      </c>
      <c r="AA4318" s="2" t="s">
        <v>182</v>
      </c>
      <c r="AB4318" s="2" t="s">
        <v>3393</v>
      </c>
      <c r="AC4318" s="2" t="s">
        <v>1331</v>
      </c>
      <c r="AK4318" s="2">
        <f t="shared" si="648"/>
        <v>416.5</v>
      </c>
      <c r="AL4318" s="5">
        <f t="shared" si="649"/>
        <v>0.35</v>
      </c>
    </row>
    <row r="4319" spans="1:38" x14ac:dyDescent="0.2">
      <c r="A4319" s="2">
        <v>2026</v>
      </c>
      <c r="B4319" s="2">
        <v>7</v>
      </c>
      <c r="C4319" s="2" t="s">
        <v>3306</v>
      </c>
      <c r="D4319" s="15" t="s">
        <v>1359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1360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50"/>
        <v>41.4</v>
      </c>
      <c r="V4319" s="2">
        <f t="shared" si="651"/>
        <v>221.4</v>
      </c>
      <c r="W4319" s="2">
        <v>125.51600000000001</v>
      </c>
      <c r="X4319" s="5">
        <f t="shared" si="639"/>
        <v>0.30268888888888884</v>
      </c>
      <c r="Z4319" s="2" t="s">
        <v>3237</v>
      </c>
      <c r="AA4319" s="2" t="s">
        <v>76</v>
      </c>
      <c r="AB4319" s="2" t="s">
        <v>77</v>
      </c>
      <c r="AC4319" s="2" t="s">
        <v>78</v>
      </c>
      <c r="AK4319" s="2">
        <f t="shared" si="648"/>
        <v>54.483999999999995</v>
      </c>
      <c r="AL4319" s="5">
        <f t="shared" si="649"/>
        <v>0.30268888888888884</v>
      </c>
    </row>
    <row r="4320" spans="1:38" x14ac:dyDescent="0.2">
      <c r="A4320" s="2">
        <v>2026</v>
      </c>
      <c r="B4320" s="2">
        <v>7</v>
      </c>
      <c r="C4320" s="2" t="s">
        <v>3306</v>
      </c>
      <c r="D4320" s="15" t="s">
        <v>1359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1360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50"/>
        <v>0.34040000000000004</v>
      </c>
      <c r="V4320" s="2">
        <f t="shared" si="651"/>
        <v>1.8204</v>
      </c>
      <c r="W4320" s="2">
        <v>1.48</v>
      </c>
      <c r="X4320" s="5">
        <f t="shared" si="639"/>
        <v>0</v>
      </c>
      <c r="Z4320" s="2" t="s">
        <v>3237</v>
      </c>
      <c r="AA4320" s="2" t="s">
        <v>97</v>
      </c>
      <c r="AB4320" s="2" t="s">
        <v>77</v>
      </c>
      <c r="AC4320" s="2" t="s">
        <v>94</v>
      </c>
      <c r="AK4320" s="2">
        <f t="shared" si="648"/>
        <v>0</v>
      </c>
      <c r="AL4320" s="5">
        <f t="shared" si="649"/>
        <v>0</v>
      </c>
    </row>
    <row r="4321" spans="1:38" x14ac:dyDescent="0.2">
      <c r="A4321" s="2">
        <v>2026</v>
      </c>
      <c r="B4321" s="2">
        <v>7</v>
      </c>
      <c r="C4321" s="2" t="s">
        <v>3306</v>
      </c>
      <c r="D4321" s="15" t="s">
        <v>2565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50"/>
        <v>52.900000000000006</v>
      </c>
      <c r="V4321" s="2">
        <f t="shared" si="651"/>
        <v>282.89999999999998</v>
      </c>
      <c r="W4321" s="2">
        <v>135.68</v>
      </c>
      <c r="X4321" s="5">
        <f t="shared" si="639"/>
        <v>0.4100869565217391</v>
      </c>
      <c r="Z4321" s="2" t="s">
        <v>3237</v>
      </c>
      <c r="AA4321" s="2" t="s">
        <v>76</v>
      </c>
      <c r="AB4321" s="2" t="s">
        <v>77</v>
      </c>
      <c r="AC4321" s="2" t="s">
        <v>78</v>
      </c>
      <c r="AK4321" s="2">
        <f t="shared" si="648"/>
        <v>94.32</v>
      </c>
      <c r="AL4321" s="5">
        <f t="shared" si="649"/>
        <v>0.4100869565217391</v>
      </c>
    </row>
    <row r="4322" spans="1:38" x14ac:dyDescent="0.2">
      <c r="A4322" s="2">
        <v>2026</v>
      </c>
      <c r="B4322" s="2">
        <v>7</v>
      </c>
      <c r="C4322" s="2" t="s">
        <v>3306</v>
      </c>
      <c r="D4322" s="15" t="s">
        <v>2565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50"/>
        <v>0.34040000000000004</v>
      </c>
      <c r="V4322" s="2">
        <f t="shared" si="651"/>
        <v>1.8204</v>
      </c>
      <c r="X4322" s="5">
        <f t="shared" si="639"/>
        <v>1</v>
      </c>
      <c r="Z4322" s="2" t="s">
        <v>3237</v>
      </c>
      <c r="AA4322" s="2" t="s">
        <v>97</v>
      </c>
      <c r="AB4322" s="2" t="s">
        <v>77</v>
      </c>
      <c r="AC4322" s="2" t="s">
        <v>94</v>
      </c>
      <c r="AK4322" s="2">
        <f t="shared" si="648"/>
        <v>1.48</v>
      </c>
      <c r="AL4322" s="5">
        <f t="shared" si="649"/>
        <v>1</v>
      </c>
    </row>
    <row r="4323" spans="1:38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3358</v>
      </c>
      <c r="R4323" s="15" t="s">
        <v>3359</v>
      </c>
      <c r="S4323" s="13">
        <v>1</v>
      </c>
      <c r="T4323" s="14">
        <v>37.6</v>
      </c>
      <c r="U4323" s="2">
        <f t="shared" si="650"/>
        <v>8.6480000000000015</v>
      </c>
      <c r="V4323" s="2">
        <f t="shared" si="651"/>
        <v>46.248000000000005</v>
      </c>
      <c r="W4323" s="2">
        <v>21.71</v>
      </c>
      <c r="X4323" s="5">
        <f t="shared" si="639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48"/>
        <v>15.89</v>
      </c>
      <c r="AL4323" s="5">
        <f t="shared" si="649"/>
        <v>0.42260638297872338</v>
      </c>
    </row>
    <row r="4324" spans="1:38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50"/>
        <v>13.8</v>
      </c>
      <c r="V4324" s="2">
        <f t="shared" si="651"/>
        <v>73.8</v>
      </c>
      <c r="W4324" s="2">
        <f>T4324*40%</f>
        <v>24</v>
      </c>
      <c r="X4324" s="5">
        <f t="shared" si="639"/>
        <v>0.6</v>
      </c>
      <c r="Z4324" s="2" t="s">
        <v>118</v>
      </c>
      <c r="AA4324" s="2" t="s">
        <v>191</v>
      </c>
      <c r="AK4324" s="2">
        <f t="shared" si="648"/>
        <v>36</v>
      </c>
      <c r="AL4324" s="5">
        <f t="shared" si="649"/>
        <v>0.6</v>
      </c>
    </row>
    <row r="4325" spans="1:38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50"/>
        <v>12.65</v>
      </c>
      <c r="V4325" s="2">
        <f t="shared" si="651"/>
        <v>67.650000000000006</v>
      </c>
      <c r="W4325" s="2">
        <f>T4325*50%</f>
        <v>27.5</v>
      </c>
      <c r="X4325" s="5">
        <f t="shared" si="639"/>
        <v>0.5</v>
      </c>
      <c r="Z4325" s="2" t="s">
        <v>118</v>
      </c>
      <c r="AA4325" s="2" t="s">
        <v>191</v>
      </c>
      <c r="AK4325" s="2">
        <f t="shared" si="648"/>
        <v>27.5</v>
      </c>
      <c r="AL4325" s="5">
        <f t="shared" si="649"/>
        <v>0.5</v>
      </c>
    </row>
    <row r="4326" spans="1:38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50"/>
        <v>1.84</v>
      </c>
      <c r="V4326" s="2">
        <f t="shared" si="651"/>
        <v>9.84</v>
      </c>
      <c r="X4326" s="5">
        <f t="shared" si="639"/>
        <v>1</v>
      </c>
      <c r="Z4326" s="2" t="s">
        <v>170</v>
      </c>
      <c r="AA4326" s="2" t="s">
        <v>170</v>
      </c>
      <c r="AK4326" s="2">
        <f t="shared" si="648"/>
        <v>8</v>
      </c>
      <c r="AL4326" s="5">
        <f t="shared" si="649"/>
        <v>1</v>
      </c>
    </row>
    <row r="4327" spans="1:38" x14ac:dyDescent="0.2">
      <c r="A4327" s="2">
        <v>2026</v>
      </c>
      <c r="B4327" s="2">
        <v>7</v>
      </c>
      <c r="D4327" s="15" t="s">
        <v>2002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3285</v>
      </c>
      <c r="R4327" s="15" t="s">
        <v>308</v>
      </c>
      <c r="S4327" s="13">
        <v>1</v>
      </c>
      <c r="T4327" s="14">
        <v>240</v>
      </c>
      <c r="U4327" s="2">
        <f t="shared" si="650"/>
        <v>55.2</v>
      </c>
      <c r="V4327" s="2">
        <f t="shared" si="651"/>
        <v>295.2</v>
      </c>
      <c r="W4327" s="2">
        <v>119.95</v>
      </c>
      <c r="X4327" s="5">
        <f t="shared" si="639"/>
        <v>0.50020833333333337</v>
      </c>
      <c r="Z4327" s="2" t="s">
        <v>3237</v>
      </c>
      <c r="AA4327" s="2" t="s">
        <v>76</v>
      </c>
      <c r="AB4327" s="2" t="s">
        <v>77</v>
      </c>
      <c r="AC4327" s="2" t="s">
        <v>78</v>
      </c>
      <c r="AK4327" s="2">
        <f t="shared" si="648"/>
        <v>120.05</v>
      </c>
      <c r="AL4327" s="5">
        <f t="shared" si="649"/>
        <v>0.50020833333333337</v>
      </c>
    </row>
    <row r="4328" spans="1:38" x14ac:dyDescent="0.2">
      <c r="A4328" s="2">
        <v>2026</v>
      </c>
      <c r="B4328" s="2">
        <v>7</v>
      </c>
      <c r="D4328" s="15" t="s">
        <v>2002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50"/>
        <v>0.34040000000000004</v>
      </c>
      <c r="V4328" s="2">
        <f t="shared" si="651"/>
        <v>1.8204</v>
      </c>
      <c r="W4328" s="2">
        <v>1.48</v>
      </c>
      <c r="X4328" s="5">
        <f t="shared" si="639"/>
        <v>0</v>
      </c>
      <c r="Z4328" s="2" t="s">
        <v>3237</v>
      </c>
      <c r="AA4328" s="2" t="s">
        <v>97</v>
      </c>
      <c r="AB4328" s="2" t="s">
        <v>77</v>
      </c>
      <c r="AC4328" s="2" t="s">
        <v>94</v>
      </c>
      <c r="AK4328" s="2">
        <f t="shared" si="648"/>
        <v>0</v>
      </c>
      <c r="AL4328" s="5">
        <f t="shared" si="649"/>
        <v>0</v>
      </c>
    </row>
    <row r="4329" spans="1:38" x14ac:dyDescent="0.2">
      <c r="A4329" s="2">
        <v>2026</v>
      </c>
      <c r="B4329" s="2">
        <v>7</v>
      </c>
      <c r="C4329" s="2" t="s">
        <v>3306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50"/>
        <v>46</v>
      </c>
      <c r="V4329" s="2">
        <f t="shared" si="651"/>
        <v>246</v>
      </c>
      <c r="W4329" s="2">
        <v>124.6</v>
      </c>
      <c r="X4329" s="5">
        <f t="shared" si="639"/>
        <v>0.377</v>
      </c>
      <c r="Z4329" s="2" t="s">
        <v>3237</v>
      </c>
      <c r="AA4329" s="2" t="s">
        <v>76</v>
      </c>
      <c r="AB4329" s="2" t="s">
        <v>77</v>
      </c>
      <c r="AC4329" s="2" t="s">
        <v>78</v>
      </c>
      <c r="AK4329" s="2">
        <f t="shared" si="648"/>
        <v>75.400000000000006</v>
      </c>
      <c r="AL4329" s="5">
        <f t="shared" si="649"/>
        <v>0.377</v>
      </c>
    </row>
    <row r="4330" spans="1:38" x14ac:dyDescent="0.2">
      <c r="A4330" s="2">
        <v>2026</v>
      </c>
      <c r="B4330" s="2">
        <v>7</v>
      </c>
      <c r="C4330" s="2" t="s">
        <v>3306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50"/>
        <v>0.34040000000000004</v>
      </c>
      <c r="V4330" s="2">
        <f t="shared" si="651"/>
        <v>1.8204</v>
      </c>
      <c r="X4330" s="5">
        <f t="shared" si="639"/>
        <v>1</v>
      </c>
      <c r="Z4330" s="2" t="s">
        <v>3237</v>
      </c>
      <c r="AA4330" s="2" t="s">
        <v>97</v>
      </c>
      <c r="AB4330" s="2" t="s">
        <v>77</v>
      </c>
      <c r="AC4330" s="2" t="s">
        <v>94</v>
      </c>
      <c r="AK4330" s="2">
        <f t="shared" si="648"/>
        <v>1.48</v>
      </c>
      <c r="AL4330" s="5">
        <f t="shared" si="649"/>
        <v>1</v>
      </c>
    </row>
    <row r="4331" spans="1:38" x14ac:dyDescent="0.2">
      <c r="A4331" s="2">
        <v>2026</v>
      </c>
      <c r="B4331" s="2">
        <v>7</v>
      </c>
      <c r="C4331" s="2" t="s">
        <v>3306</v>
      </c>
      <c r="D4331" s="15" t="s">
        <v>3346</v>
      </c>
      <c r="E4331" s="2" t="s">
        <v>3389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2000</v>
      </c>
      <c r="U4331" s="2">
        <f t="shared" si="650"/>
        <v>460</v>
      </c>
      <c r="V4331" s="2">
        <f t="shared" si="651"/>
        <v>2460</v>
      </c>
      <c r="W4331" s="2">
        <v>1150</v>
      </c>
      <c r="X4331" s="5">
        <f t="shared" si="639"/>
        <v>0.42499999999999999</v>
      </c>
      <c r="Z4331" s="2" t="s">
        <v>105</v>
      </c>
      <c r="AA4331" s="2" t="s">
        <v>1581</v>
      </c>
      <c r="AB4331" s="2" t="s">
        <v>389</v>
      </c>
      <c r="AC4331" s="2" t="s">
        <v>1331</v>
      </c>
      <c r="AK4331" s="2">
        <f t="shared" si="648"/>
        <v>850</v>
      </c>
      <c r="AL4331" s="5">
        <f t="shared" si="649"/>
        <v>0.42499999999999999</v>
      </c>
    </row>
    <row r="4332" spans="1:38" x14ac:dyDescent="0.2">
      <c r="A4332" s="2">
        <v>2026</v>
      </c>
      <c r="B4332" s="2">
        <v>7</v>
      </c>
      <c r="C4332" s="2" t="s">
        <v>3306</v>
      </c>
      <c r="D4332" s="15" t="s">
        <v>3346</v>
      </c>
      <c r="E4332" s="2" t="s">
        <v>3389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1161</v>
      </c>
      <c r="R4332" s="15" t="s">
        <v>1162</v>
      </c>
      <c r="S4332" s="13">
        <v>1</v>
      </c>
      <c r="T4332" s="14">
        <v>0</v>
      </c>
      <c r="U4332" s="2">
        <f t="shared" si="650"/>
        <v>0</v>
      </c>
      <c r="V4332" s="2">
        <f t="shared" si="651"/>
        <v>0</v>
      </c>
      <c r="W4332" s="2">
        <v>0</v>
      </c>
      <c r="X4332" s="5">
        <v>0</v>
      </c>
      <c r="Z4332" s="2" t="s">
        <v>105</v>
      </c>
      <c r="AA4332" s="2" t="s">
        <v>1581</v>
      </c>
      <c r="AB4332" s="2" t="s">
        <v>389</v>
      </c>
      <c r="AC4332" s="2" t="s">
        <v>1331</v>
      </c>
      <c r="AK4332" s="2">
        <f t="shared" si="648"/>
        <v>0</v>
      </c>
      <c r="AL4332" s="5">
        <v>0</v>
      </c>
    </row>
    <row r="4333" spans="1:38" ht="10.5" customHeight="1" x14ac:dyDescent="0.2">
      <c r="A4333" s="2">
        <v>2026</v>
      </c>
      <c r="B4333" s="2">
        <v>7</v>
      </c>
      <c r="C4333" s="2" t="s">
        <v>3306</v>
      </c>
      <c r="D4333" s="15" t="s">
        <v>3346</v>
      </c>
      <c r="E4333" s="2" t="s">
        <v>3389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1292</v>
      </c>
      <c r="R4333" s="15" t="s">
        <v>1293</v>
      </c>
      <c r="S4333" s="13">
        <v>1</v>
      </c>
      <c r="T4333" s="14">
        <v>0</v>
      </c>
      <c r="U4333" s="2">
        <f t="shared" si="650"/>
        <v>0</v>
      </c>
      <c r="V4333" s="2">
        <f t="shared" si="651"/>
        <v>0</v>
      </c>
      <c r="W4333" s="2">
        <v>0</v>
      </c>
      <c r="X4333" s="5">
        <v>0</v>
      </c>
      <c r="Z4333" s="2" t="s">
        <v>105</v>
      </c>
      <c r="AA4333" s="2" t="s">
        <v>1581</v>
      </c>
      <c r="AB4333" s="2" t="s">
        <v>389</v>
      </c>
      <c r="AC4333" s="2" t="s">
        <v>1331</v>
      </c>
      <c r="AK4333" s="2">
        <f t="shared" si="648"/>
        <v>0</v>
      </c>
      <c r="AL4333" s="5">
        <v>0</v>
      </c>
    </row>
    <row r="4334" spans="1:38" x14ac:dyDescent="0.2">
      <c r="A4334" s="2">
        <v>2026</v>
      </c>
      <c r="B4334" s="2">
        <v>7</v>
      </c>
      <c r="D4334" s="15" t="s">
        <v>2952</v>
      </c>
      <c r="P4334" s="2" t="s">
        <v>73</v>
      </c>
      <c r="Q4334" s="16" t="s">
        <v>3360</v>
      </c>
      <c r="R4334" s="15" t="s">
        <v>75</v>
      </c>
      <c r="S4334" s="13">
        <v>1</v>
      </c>
      <c r="T4334" s="14">
        <v>270</v>
      </c>
      <c r="U4334" s="2">
        <f t="shared" si="650"/>
        <v>62.1</v>
      </c>
      <c r="V4334" s="2">
        <f t="shared" si="651"/>
        <v>332.1</v>
      </c>
      <c r="W4334" s="2">
        <f>118.44+11.7</f>
        <v>130.13999999999999</v>
      </c>
      <c r="X4334" s="5">
        <f t="shared" si="639"/>
        <v>0.51800000000000002</v>
      </c>
      <c r="Z4334" s="2" t="s">
        <v>3237</v>
      </c>
      <c r="AA4334" s="2" t="s">
        <v>76</v>
      </c>
      <c r="AB4334" s="2" t="s">
        <v>77</v>
      </c>
      <c r="AC4334" s="2" t="s">
        <v>78</v>
      </c>
      <c r="AK4334" s="2">
        <f t="shared" si="648"/>
        <v>139.86000000000001</v>
      </c>
      <c r="AL4334" s="5">
        <f t="shared" si="649"/>
        <v>0.51800000000000002</v>
      </c>
    </row>
    <row r="4335" spans="1:38" x14ac:dyDescent="0.2">
      <c r="A4335" s="2">
        <v>2026</v>
      </c>
      <c r="B4335" s="2">
        <v>7</v>
      </c>
      <c r="D4335" s="15" t="s">
        <v>2952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50"/>
        <v>0.34040000000000004</v>
      </c>
      <c r="V4335" s="2">
        <f t="shared" si="651"/>
        <v>1.8204</v>
      </c>
      <c r="X4335" s="5">
        <f t="shared" si="639"/>
        <v>1</v>
      </c>
      <c r="Z4335" s="2" t="s">
        <v>3237</v>
      </c>
      <c r="AA4335" s="2" t="s">
        <v>97</v>
      </c>
      <c r="AB4335" s="2" t="s">
        <v>77</v>
      </c>
      <c r="AC4335" s="2" t="s">
        <v>94</v>
      </c>
      <c r="AK4335" s="2">
        <f t="shared" si="648"/>
        <v>1.48</v>
      </c>
      <c r="AL4335" s="5">
        <f t="shared" si="649"/>
        <v>1</v>
      </c>
    </row>
    <row r="4336" spans="1:38" x14ac:dyDescent="0.2">
      <c r="A4336" s="2">
        <v>2026</v>
      </c>
      <c r="B4336" s="2">
        <v>7</v>
      </c>
      <c r="D4336" s="15" t="s">
        <v>1231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50"/>
        <v>16.79</v>
      </c>
      <c r="V4336" s="2">
        <f t="shared" si="651"/>
        <v>89.789999999999992</v>
      </c>
      <c r="W4336" s="2">
        <f>T4336*40%</f>
        <v>29.200000000000003</v>
      </c>
      <c r="X4336" s="5">
        <f t="shared" si="639"/>
        <v>0.6</v>
      </c>
      <c r="Z4336" s="2" t="s">
        <v>118</v>
      </c>
      <c r="AA4336" s="2" t="s">
        <v>191</v>
      </c>
      <c r="AK4336" s="2">
        <f t="shared" si="648"/>
        <v>43.8</v>
      </c>
      <c r="AL4336" s="5">
        <f t="shared" si="649"/>
        <v>0.6</v>
      </c>
    </row>
    <row r="4337" spans="1:38" x14ac:dyDescent="0.2">
      <c r="A4337" s="2">
        <v>2026</v>
      </c>
      <c r="B4337" s="2">
        <v>7</v>
      </c>
      <c r="D4337" s="15" t="s">
        <v>1231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50"/>
        <v>12.65</v>
      </c>
      <c r="V4337" s="2">
        <f t="shared" si="651"/>
        <v>67.650000000000006</v>
      </c>
      <c r="W4337" s="2">
        <f>T4337*50%</f>
        <v>27.5</v>
      </c>
      <c r="X4337" s="5">
        <f t="shared" ref="X4337:X4400" si="652">(T4337-W4337)/T4337</f>
        <v>0.5</v>
      </c>
      <c r="Z4337" s="2" t="s">
        <v>118</v>
      </c>
      <c r="AA4337" s="2" t="s">
        <v>191</v>
      </c>
      <c r="AK4337" s="2">
        <f t="shared" si="648"/>
        <v>27.5</v>
      </c>
      <c r="AL4337" s="5">
        <f t="shared" si="649"/>
        <v>0.5</v>
      </c>
    </row>
    <row r="4338" spans="1:38" x14ac:dyDescent="0.2">
      <c r="A4338" s="2">
        <v>2026</v>
      </c>
      <c r="B4338" s="2">
        <v>7</v>
      </c>
      <c r="D4338" s="15" t="s">
        <v>1560</v>
      </c>
      <c r="P4338" s="2" t="s">
        <v>73</v>
      </c>
      <c r="Q4338" s="16" t="s">
        <v>3360</v>
      </c>
      <c r="R4338" s="15" t="s">
        <v>75</v>
      </c>
      <c r="S4338" s="13">
        <v>1</v>
      </c>
      <c r="T4338" s="14">
        <v>220</v>
      </c>
      <c r="U4338" s="2">
        <f t="shared" si="650"/>
        <v>50.6</v>
      </c>
      <c r="V4338" s="2">
        <f t="shared" si="651"/>
        <v>270.60000000000002</v>
      </c>
      <c r="W4338" s="2">
        <f>118.44+11.7</f>
        <v>130.13999999999999</v>
      </c>
      <c r="X4338" s="5">
        <f t="shared" si="652"/>
        <v>0.40845454545454551</v>
      </c>
      <c r="Z4338" s="2" t="s">
        <v>3237</v>
      </c>
      <c r="AA4338" s="2" t="s">
        <v>76</v>
      </c>
      <c r="AB4338" s="2" t="s">
        <v>77</v>
      </c>
      <c r="AC4338" s="2" t="s">
        <v>78</v>
      </c>
      <c r="AK4338" s="2">
        <f t="shared" si="648"/>
        <v>89.860000000000014</v>
      </c>
      <c r="AL4338" s="5">
        <f t="shared" si="649"/>
        <v>0.40845454545454551</v>
      </c>
    </row>
    <row r="4339" spans="1:38" x14ac:dyDescent="0.2">
      <c r="A4339" s="2">
        <v>2026</v>
      </c>
      <c r="B4339" s="2">
        <v>7</v>
      </c>
      <c r="D4339" s="15" t="s">
        <v>1560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50"/>
        <v>0.34040000000000004</v>
      </c>
      <c r="V4339" s="2">
        <f t="shared" si="651"/>
        <v>1.8204</v>
      </c>
      <c r="X4339" s="5">
        <f t="shared" si="652"/>
        <v>1</v>
      </c>
      <c r="Z4339" s="2" t="s">
        <v>3237</v>
      </c>
      <c r="AA4339" s="2" t="s">
        <v>97</v>
      </c>
      <c r="AB4339" s="2" t="s">
        <v>77</v>
      </c>
      <c r="AC4339" s="2" t="s">
        <v>94</v>
      </c>
      <c r="AK4339" s="2">
        <f t="shared" si="648"/>
        <v>1.48</v>
      </c>
      <c r="AL4339" s="5">
        <f t="shared" si="649"/>
        <v>1</v>
      </c>
    </row>
    <row r="4340" spans="1:38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3361</v>
      </c>
      <c r="R4340" s="15" t="s">
        <v>3362</v>
      </c>
      <c r="S4340" s="13">
        <v>1</v>
      </c>
      <c r="T4340" s="14">
        <v>59.17</v>
      </c>
      <c r="U4340" s="2">
        <f t="shared" si="650"/>
        <v>13.609100000000002</v>
      </c>
      <c r="V4340" s="2">
        <f t="shared" si="651"/>
        <v>72.7791</v>
      </c>
      <c r="W4340" s="2">
        <v>28.25</v>
      </c>
      <c r="X4340" s="5">
        <f t="shared" si="652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48"/>
        <v>30.92</v>
      </c>
      <c r="AL4340" s="5">
        <f t="shared" si="649"/>
        <v>0.52256210917694779</v>
      </c>
    </row>
    <row r="4341" spans="1:38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50"/>
        <v>13.8</v>
      </c>
      <c r="V4341" s="2">
        <f t="shared" si="651"/>
        <v>73.8</v>
      </c>
      <c r="W4341" s="2">
        <f>T4341*40%</f>
        <v>24</v>
      </c>
      <c r="X4341" s="5">
        <f t="shared" si="652"/>
        <v>0.6</v>
      </c>
      <c r="Z4341" s="2" t="s">
        <v>118</v>
      </c>
      <c r="AA4341" s="2" t="s">
        <v>191</v>
      </c>
      <c r="AK4341" s="2">
        <f t="shared" si="648"/>
        <v>36</v>
      </c>
      <c r="AL4341" s="5">
        <f t="shared" si="649"/>
        <v>0.6</v>
      </c>
    </row>
    <row r="4342" spans="1:38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50"/>
        <v>12.65</v>
      </c>
      <c r="V4342" s="2">
        <f t="shared" si="651"/>
        <v>67.650000000000006</v>
      </c>
      <c r="W4342" s="2">
        <f>T4342*50%</f>
        <v>27.5</v>
      </c>
      <c r="X4342" s="5">
        <f t="shared" si="652"/>
        <v>0.5</v>
      </c>
      <c r="Z4342" s="2" t="s">
        <v>118</v>
      </c>
      <c r="AA4342" s="2" t="s">
        <v>191</v>
      </c>
      <c r="AK4342" s="2">
        <f t="shared" si="648"/>
        <v>27.5</v>
      </c>
      <c r="AL4342" s="5">
        <f t="shared" si="649"/>
        <v>0.5</v>
      </c>
    </row>
    <row r="4343" spans="1:38" x14ac:dyDescent="0.2">
      <c r="A4343" s="2">
        <v>2026</v>
      </c>
      <c r="B4343" s="2">
        <v>7</v>
      </c>
      <c r="D4343" s="15" t="s">
        <v>1380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50"/>
        <v>50.6</v>
      </c>
      <c r="V4343" s="2">
        <f t="shared" si="651"/>
        <v>270.60000000000002</v>
      </c>
      <c r="W4343" s="2">
        <v>125.51600000000001</v>
      </c>
      <c r="X4343" s="5">
        <f t="shared" si="652"/>
        <v>0.42947272727272723</v>
      </c>
      <c r="Z4343" s="2" t="s">
        <v>3237</v>
      </c>
      <c r="AA4343" s="2" t="s">
        <v>76</v>
      </c>
      <c r="AB4343" s="2" t="s">
        <v>77</v>
      </c>
      <c r="AC4343" s="2" t="s">
        <v>78</v>
      </c>
      <c r="AK4343" s="2">
        <f t="shared" si="648"/>
        <v>94.483999999999995</v>
      </c>
      <c r="AL4343" s="5">
        <f t="shared" si="649"/>
        <v>0.42947272727272723</v>
      </c>
    </row>
    <row r="4344" spans="1:38" x14ac:dyDescent="0.2">
      <c r="A4344" s="2">
        <v>2026</v>
      </c>
      <c r="B4344" s="2">
        <v>7</v>
      </c>
      <c r="D4344" s="15" t="s">
        <v>1380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50"/>
        <v>0.34040000000000004</v>
      </c>
      <c r="V4344" s="2">
        <f t="shared" si="651"/>
        <v>1.8204</v>
      </c>
      <c r="W4344" s="2">
        <v>1.48</v>
      </c>
      <c r="X4344" s="5">
        <f t="shared" si="652"/>
        <v>0</v>
      </c>
      <c r="Z4344" s="2" t="s">
        <v>3237</v>
      </c>
      <c r="AA4344" s="2" t="s">
        <v>97</v>
      </c>
      <c r="AB4344" s="2" t="s">
        <v>77</v>
      </c>
      <c r="AC4344" s="2" t="s">
        <v>94</v>
      </c>
      <c r="AK4344" s="2">
        <f t="shared" si="648"/>
        <v>0</v>
      </c>
      <c r="AL4344" s="5">
        <f t="shared" si="649"/>
        <v>0</v>
      </c>
    </row>
    <row r="4345" spans="1:38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50"/>
        <v>50.6</v>
      </c>
      <c r="V4345" s="2">
        <f t="shared" si="651"/>
        <v>270.60000000000002</v>
      </c>
      <c r="W4345" s="2">
        <v>125.51600000000001</v>
      </c>
      <c r="X4345" s="5">
        <f t="shared" si="652"/>
        <v>0.42947272727272723</v>
      </c>
      <c r="Z4345" s="2" t="s">
        <v>3237</v>
      </c>
      <c r="AA4345" s="2" t="s">
        <v>76</v>
      </c>
      <c r="AB4345" s="2" t="s">
        <v>77</v>
      </c>
      <c r="AC4345" s="2" t="s">
        <v>78</v>
      </c>
      <c r="AK4345" s="2">
        <f t="shared" si="648"/>
        <v>94.483999999999995</v>
      </c>
      <c r="AL4345" s="5">
        <f t="shared" si="649"/>
        <v>0.42947272727272723</v>
      </c>
    </row>
    <row r="4346" spans="1:38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50"/>
        <v>0.34040000000000004</v>
      </c>
      <c r="V4346" s="2">
        <f t="shared" si="651"/>
        <v>1.8204</v>
      </c>
      <c r="X4346" s="5">
        <f t="shared" si="652"/>
        <v>1</v>
      </c>
      <c r="Z4346" s="2" t="s">
        <v>3237</v>
      </c>
      <c r="AA4346" s="2" t="s">
        <v>97</v>
      </c>
      <c r="AB4346" s="2" t="s">
        <v>77</v>
      </c>
      <c r="AC4346" s="2" t="s">
        <v>94</v>
      </c>
      <c r="AK4346" s="2">
        <f t="shared" si="648"/>
        <v>1.48</v>
      </c>
      <c r="AL4346" s="5">
        <f t="shared" si="649"/>
        <v>1</v>
      </c>
    </row>
    <row r="4347" spans="1:38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1390</v>
      </c>
      <c r="R4347" s="15" t="s">
        <v>1391</v>
      </c>
      <c r="S4347" s="13">
        <v>1</v>
      </c>
      <c r="T4347" s="14">
        <v>508.68</v>
      </c>
      <c r="U4347" s="2">
        <f t="shared" si="650"/>
        <v>116.99640000000001</v>
      </c>
      <c r="V4347" s="2">
        <f t="shared" si="651"/>
        <v>625.67640000000006</v>
      </c>
      <c r="W4347" s="2">
        <v>178.3383</v>
      </c>
      <c r="X4347" s="5">
        <f t="shared" si="652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48"/>
        <v>330.3417</v>
      </c>
      <c r="AL4347" s="5">
        <f t="shared" si="649"/>
        <v>0.64940964850200522</v>
      </c>
    </row>
    <row r="4348" spans="1:38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50"/>
        <v>20.851800000000001</v>
      </c>
      <c r="V4348" s="2">
        <f t="shared" si="651"/>
        <v>111.51179999999999</v>
      </c>
      <c r="W4348" s="2">
        <v>30.61</v>
      </c>
      <c r="X4348" s="5">
        <f t="shared" si="652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48"/>
        <v>60.05</v>
      </c>
      <c r="AL4348" s="5">
        <f t="shared" si="649"/>
        <v>0.66236487977057135</v>
      </c>
    </row>
    <row r="4349" spans="1:38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50"/>
        <v>84.64</v>
      </c>
      <c r="V4349" s="2">
        <f t="shared" si="651"/>
        <v>452.64</v>
      </c>
      <c r="W4349" s="2">
        <f>T4349*40%</f>
        <v>147.20000000000002</v>
      </c>
      <c r="X4349" s="5">
        <f t="shared" si="652"/>
        <v>0.6</v>
      </c>
      <c r="Z4349" s="2" t="s">
        <v>118</v>
      </c>
      <c r="AA4349" s="2" t="s">
        <v>191</v>
      </c>
      <c r="AK4349" s="2">
        <f t="shared" si="648"/>
        <v>220.79999999999998</v>
      </c>
      <c r="AL4349" s="5">
        <f t="shared" si="649"/>
        <v>0.6</v>
      </c>
    </row>
    <row r="4350" spans="1:38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50"/>
        <v>50.6</v>
      </c>
      <c r="V4350" s="2">
        <f t="shared" si="651"/>
        <v>270.60000000000002</v>
      </c>
      <c r="W4350" s="2">
        <f>T4350*50%</f>
        <v>110</v>
      </c>
      <c r="X4350" s="5">
        <f t="shared" si="652"/>
        <v>0.5</v>
      </c>
      <c r="Z4350" s="2" t="s">
        <v>118</v>
      </c>
      <c r="AA4350" s="2" t="s">
        <v>191</v>
      </c>
      <c r="AK4350" s="2">
        <f t="shared" si="648"/>
        <v>110</v>
      </c>
      <c r="AL4350" s="5">
        <f t="shared" si="649"/>
        <v>0.5</v>
      </c>
    </row>
    <row r="4351" spans="1:38" x14ac:dyDescent="0.2">
      <c r="A4351" s="2">
        <v>2026</v>
      </c>
      <c r="B4351" s="2">
        <v>7</v>
      </c>
      <c r="D4351" s="15" t="s">
        <v>2025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50"/>
        <v>17.25</v>
      </c>
      <c r="V4351" s="2">
        <f t="shared" si="651"/>
        <v>92.25</v>
      </c>
      <c r="W4351" s="2">
        <f>T4351*40%</f>
        <v>30</v>
      </c>
      <c r="X4351" s="5">
        <f t="shared" si="652"/>
        <v>0.6</v>
      </c>
      <c r="Z4351" s="2" t="s">
        <v>118</v>
      </c>
      <c r="AA4351" s="2" t="s">
        <v>191</v>
      </c>
      <c r="AK4351" s="2">
        <f t="shared" si="648"/>
        <v>45</v>
      </c>
      <c r="AL4351" s="5">
        <f t="shared" si="649"/>
        <v>0.6</v>
      </c>
    </row>
    <row r="4352" spans="1:38" x14ac:dyDescent="0.2">
      <c r="A4352" s="2">
        <v>2026</v>
      </c>
      <c r="B4352" s="2">
        <v>7</v>
      </c>
      <c r="D4352" s="15" t="s">
        <v>2025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50"/>
        <v>22.137499999999999</v>
      </c>
      <c r="V4352" s="2">
        <f t="shared" si="651"/>
        <v>118.3875</v>
      </c>
      <c r="W4352" s="2">
        <f>T4352*50%</f>
        <v>48.125</v>
      </c>
      <c r="X4352" s="5">
        <f t="shared" si="652"/>
        <v>0.5</v>
      </c>
      <c r="Z4352" s="2" t="s">
        <v>118</v>
      </c>
      <c r="AA4352" s="2" t="s">
        <v>191</v>
      </c>
      <c r="AK4352" s="2">
        <f t="shared" si="648"/>
        <v>48.125</v>
      </c>
      <c r="AL4352" s="5">
        <f t="shared" si="649"/>
        <v>0.5</v>
      </c>
    </row>
    <row r="4353" spans="1:38" x14ac:dyDescent="0.2">
      <c r="A4353" s="2">
        <v>2026</v>
      </c>
      <c r="B4353" s="2">
        <v>7</v>
      </c>
      <c r="D4353" s="15" t="s">
        <v>2025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50"/>
        <v>68.424999999999997</v>
      </c>
      <c r="V4353" s="2">
        <f t="shared" si="651"/>
        <v>365.92500000000001</v>
      </c>
      <c r="X4353" s="5">
        <f t="shared" si="652"/>
        <v>1</v>
      </c>
      <c r="Z4353" s="2" t="s">
        <v>120</v>
      </c>
      <c r="AA4353" s="2" t="s">
        <v>3392</v>
      </c>
      <c r="AK4353" s="2">
        <f t="shared" si="648"/>
        <v>297.5</v>
      </c>
      <c r="AL4353" s="5">
        <f t="shared" si="649"/>
        <v>1</v>
      </c>
    </row>
    <row r="4354" spans="1:38" x14ac:dyDescent="0.2">
      <c r="A4354" s="2">
        <v>2026</v>
      </c>
      <c r="B4354" s="2">
        <v>7</v>
      </c>
      <c r="D4354" s="15" t="s">
        <v>3347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50"/>
        <v>115</v>
      </c>
      <c r="V4354" s="2">
        <f t="shared" si="651"/>
        <v>615</v>
      </c>
      <c r="X4354" s="5">
        <f t="shared" si="652"/>
        <v>1</v>
      </c>
      <c r="Z4354" s="2" t="s">
        <v>120</v>
      </c>
      <c r="AA4354" s="2" t="s">
        <v>3392</v>
      </c>
      <c r="AK4354" s="2">
        <f t="shared" si="648"/>
        <v>500</v>
      </c>
      <c r="AL4354" s="5">
        <f t="shared" si="649"/>
        <v>1</v>
      </c>
    </row>
    <row r="4355" spans="1:38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50"/>
        <v>13.34</v>
      </c>
      <c r="V4355" s="2">
        <f t="shared" si="651"/>
        <v>71.34</v>
      </c>
      <c r="W4355" s="2">
        <f t="shared" ref="W4355:W4356" si="653">14.5099*S4355</f>
        <v>29.0198</v>
      </c>
      <c r="X4355" s="5">
        <f t="shared" si="652"/>
        <v>0.49965862068965516</v>
      </c>
      <c r="Z4355" s="2" t="s">
        <v>3237</v>
      </c>
      <c r="AA4355" s="2" t="s">
        <v>46</v>
      </c>
      <c r="AB4355" s="2" t="s">
        <v>61</v>
      </c>
      <c r="AC4355" s="2" t="s">
        <v>3343</v>
      </c>
      <c r="AK4355" s="2">
        <f t="shared" si="648"/>
        <v>28.9802</v>
      </c>
      <c r="AL4355" s="5">
        <f t="shared" si="649"/>
        <v>0.49965862068965516</v>
      </c>
    </row>
    <row r="4356" spans="1:38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50"/>
        <v>22.080000000000002</v>
      </c>
      <c r="V4356" s="2">
        <f t="shared" si="651"/>
        <v>118.08</v>
      </c>
      <c r="W4356" s="2">
        <f t="shared" si="653"/>
        <v>58.0396</v>
      </c>
      <c r="X4356" s="5">
        <f t="shared" si="652"/>
        <v>0.39542083333333333</v>
      </c>
      <c r="Z4356" s="2" t="s">
        <v>3237</v>
      </c>
      <c r="AA4356" s="2" t="s">
        <v>46</v>
      </c>
      <c r="AB4356" s="2" t="s">
        <v>61</v>
      </c>
      <c r="AC4356" s="2" t="s">
        <v>3343</v>
      </c>
      <c r="AK4356" s="2">
        <f t="shared" si="648"/>
        <v>37.9604</v>
      </c>
      <c r="AL4356" s="5">
        <f t="shared" si="649"/>
        <v>0.39542083333333333</v>
      </c>
    </row>
    <row r="4357" spans="1:38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50"/>
        <v>40.71</v>
      </c>
      <c r="V4357" s="2">
        <f t="shared" si="651"/>
        <v>217.71</v>
      </c>
      <c r="W4357" s="2">
        <f>T4357*40%</f>
        <v>70.8</v>
      </c>
      <c r="X4357" s="5">
        <f t="shared" si="652"/>
        <v>0.6</v>
      </c>
      <c r="Z4357" s="2" t="s">
        <v>118</v>
      </c>
      <c r="AA4357" s="2" t="s">
        <v>191</v>
      </c>
      <c r="AK4357" s="2">
        <f t="shared" si="648"/>
        <v>106.2</v>
      </c>
      <c r="AL4357" s="5">
        <f t="shared" si="649"/>
        <v>0.6</v>
      </c>
    </row>
    <row r="4358" spans="1:38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50"/>
        <v>12.65</v>
      </c>
      <c r="V4358" s="2">
        <f t="shared" si="651"/>
        <v>67.650000000000006</v>
      </c>
      <c r="W4358" s="2">
        <f>T4358*50%</f>
        <v>27.5</v>
      </c>
      <c r="X4358" s="5">
        <f t="shared" si="652"/>
        <v>0.5</v>
      </c>
      <c r="Z4358" s="2" t="s">
        <v>118</v>
      </c>
      <c r="AA4358" s="2" t="s">
        <v>191</v>
      </c>
      <c r="AK4358" s="2">
        <f t="shared" si="648"/>
        <v>27.5</v>
      </c>
      <c r="AL4358" s="5">
        <f t="shared" si="649"/>
        <v>0.5</v>
      </c>
    </row>
    <row r="4359" spans="1:38" x14ac:dyDescent="0.2">
      <c r="A4359" s="2">
        <v>2026</v>
      </c>
      <c r="B4359" s="2">
        <v>7</v>
      </c>
      <c r="C4359" s="2" t="s">
        <v>3306</v>
      </c>
      <c r="D4359" s="15" t="s">
        <v>1580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2655</v>
      </c>
      <c r="R4359" s="15" t="s">
        <v>2656</v>
      </c>
      <c r="S4359" s="13">
        <v>1</v>
      </c>
      <c r="T4359" s="14">
        <v>0</v>
      </c>
      <c r="U4359" s="2">
        <f t="shared" si="650"/>
        <v>0</v>
      </c>
      <c r="V4359" s="2">
        <f t="shared" si="651"/>
        <v>0</v>
      </c>
      <c r="W4359" s="2">
        <v>0</v>
      </c>
      <c r="X4359" s="5">
        <v>0</v>
      </c>
      <c r="Z4359" s="2" t="s">
        <v>105</v>
      </c>
      <c r="AA4359" s="2" t="s">
        <v>1581</v>
      </c>
      <c r="AB4359" s="2" t="s">
        <v>389</v>
      </c>
      <c r="AC4359" s="2" t="s">
        <v>1331</v>
      </c>
      <c r="AK4359" s="2">
        <f t="shared" si="648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3306</v>
      </c>
      <c r="D4360" s="15" t="s">
        <v>1580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2659</v>
      </c>
      <c r="R4360" s="15" t="s">
        <v>2660</v>
      </c>
      <c r="S4360" s="13">
        <v>1</v>
      </c>
      <c r="T4360" s="14">
        <v>0</v>
      </c>
      <c r="U4360" s="2">
        <f t="shared" si="650"/>
        <v>0</v>
      </c>
      <c r="V4360" s="2">
        <f t="shared" si="651"/>
        <v>0</v>
      </c>
      <c r="W4360" s="2">
        <v>0</v>
      </c>
      <c r="X4360" s="5">
        <v>0</v>
      </c>
      <c r="Z4360" s="2" t="s">
        <v>105</v>
      </c>
      <c r="AA4360" s="2" t="s">
        <v>1581</v>
      </c>
      <c r="AB4360" s="2" t="s">
        <v>389</v>
      </c>
      <c r="AC4360" s="2" t="s">
        <v>1331</v>
      </c>
      <c r="AK4360" s="2">
        <f t="shared" si="648"/>
        <v>0</v>
      </c>
      <c r="AL4360" s="5">
        <v>0</v>
      </c>
    </row>
    <row r="4361" spans="1:38" x14ac:dyDescent="0.2">
      <c r="A4361" s="2">
        <v>2026</v>
      </c>
      <c r="B4361" s="2">
        <v>7</v>
      </c>
      <c r="C4361" s="2" t="s">
        <v>3306</v>
      </c>
      <c r="D4361" s="15" t="s">
        <v>1580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3363</v>
      </c>
      <c r="R4361" s="15" t="s">
        <v>3364</v>
      </c>
      <c r="S4361" s="13">
        <v>1</v>
      </c>
      <c r="T4361" s="14">
        <v>12000</v>
      </c>
      <c r="U4361" s="2">
        <f t="shared" si="650"/>
        <v>2760</v>
      </c>
      <c r="V4361" s="2">
        <f t="shared" si="651"/>
        <v>14760</v>
      </c>
      <c r="W4361" s="2">
        <f>10440+150</f>
        <v>10590</v>
      </c>
      <c r="X4361" s="5">
        <f t="shared" si="652"/>
        <v>0.11749999999999999</v>
      </c>
      <c r="Z4361" s="2" t="s">
        <v>105</v>
      </c>
      <c r="AA4361" s="2" t="s">
        <v>1581</v>
      </c>
      <c r="AB4361" s="2" t="s">
        <v>389</v>
      </c>
      <c r="AC4361" s="2" t="s">
        <v>1331</v>
      </c>
      <c r="AK4361" s="2">
        <f t="shared" si="648"/>
        <v>1410</v>
      </c>
      <c r="AL4361" s="5">
        <f t="shared" si="649"/>
        <v>0.11749999999999999</v>
      </c>
    </row>
    <row r="4362" spans="1:38" x14ac:dyDescent="0.2">
      <c r="A4362" s="2">
        <v>2026</v>
      </c>
      <c r="B4362" s="2">
        <v>7</v>
      </c>
      <c r="D4362" s="15" t="s">
        <v>3348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50"/>
        <v>43.7</v>
      </c>
      <c r="V4362" s="2">
        <f t="shared" si="651"/>
        <v>233.7</v>
      </c>
      <c r="W4362" s="2">
        <v>125.51600000000001</v>
      </c>
      <c r="X4362" s="5">
        <f t="shared" si="652"/>
        <v>0.33938947368421052</v>
      </c>
      <c r="Z4362" s="2" t="s">
        <v>3237</v>
      </c>
      <c r="AA4362" s="2" t="s">
        <v>76</v>
      </c>
      <c r="AB4362" s="2" t="s">
        <v>77</v>
      </c>
      <c r="AC4362" s="2" t="s">
        <v>78</v>
      </c>
      <c r="AK4362" s="2">
        <f t="shared" si="648"/>
        <v>64.483999999999995</v>
      </c>
      <c r="AL4362" s="5">
        <f t="shared" si="649"/>
        <v>0.33938947368421052</v>
      </c>
    </row>
    <row r="4363" spans="1:38" x14ac:dyDescent="0.2">
      <c r="A4363" s="2">
        <v>2026</v>
      </c>
      <c r="B4363" s="2">
        <v>7</v>
      </c>
      <c r="D4363" s="15" t="s">
        <v>3348</v>
      </c>
      <c r="P4363" s="2" t="s">
        <v>188</v>
      </c>
      <c r="Q4363" s="16" t="s">
        <v>1312</v>
      </c>
      <c r="R4363" s="15" t="s">
        <v>1313</v>
      </c>
      <c r="S4363" s="13">
        <v>1</v>
      </c>
      <c r="T4363" s="14">
        <v>0</v>
      </c>
      <c r="U4363" s="2">
        <f t="shared" si="650"/>
        <v>0</v>
      </c>
      <c r="V4363" s="2">
        <f t="shared" si="651"/>
        <v>0</v>
      </c>
      <c r="W4363" s="2">
        <v>0</v>
      </c>
      <c r="X4363" s="5">
        <v>0</v>
      </c>
      <c r="Z4363" s="2" t="s">
        <v>118</v>
      </c>
      <c r="AA4363" s="2" t="s">
        <v>1314</v>
      </c>
      <c r="AK4363" s="2">
        <f t="shared" si="648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3348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50"/>
        <v>0.34040000000000004</v>
      </c>
      <c r="V4364" s="2">
        <f t="shared" si="651"/>
        <v>1.8204</v>
      </c>
      <c r="W4364" s="2">
        <v>1.48</v>
      </c>
      <c r="X4364" s="5">
        <f t="shared" si="652"/>
        <v>0</v>
      </c>
      <c r="Z4364" s="2" t="s">
        <v>3237</v>
      </c>
      <c r="AA4364" s="2" t="s">
        <v>97</v>
      </c>
      <c r="AB4364" s="2" t="s">
        <v>77</v>
      </c>
      <c r="AC4364" s="2" t="s">
        <v>94</v>
      </c>
      <c r="AK4364" s="2">
        <f t="shared" si="648"/>
        <v>0</v>
      </c>
      <c r="AL4364" s="5">
        <f t="shared" si="649"/>
        <v>0</v>
      </c>
    </row>
    <row r="4365" spans="1:38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50"/>
        <v>18.075700000000001</v>
      </c>
      <c r="V4365" s="2">
        <f t="shared" si="651"/>
        <v>96.665700000000001</v>
      </c>
      <c r="W4365" s="2">
        <f>36.2258</f>
        <v>36.2258</v>
      </c>
      <c r="X4365" s="5">
        <f t="shared" si="652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48"/>
        <v>42.364200000000004</v>
      </c>
      <c r="AL4365" s="5">
        <f t="shared" si="649"/>
        <v>0.53905331467107775</v>
      </c>
    </row>
    <row r="4366" spans="1:38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50"/>
        <v>1.61</v>
      </c>
      <c r="V4366" s="2">
        <f t="shared" si="651"/>
        <v>8.61</v>
      </c>
      <c r="X4366" s="5">
        <f t="shared" si="652"/>
        <v>1</v>
      </c>
      <c r="Z4366" s="2" t="s">
        <v>170</v>
      </c>
      <c r="AA4366" s="2" t="s">
        <v>170</v>
      </c>
      <c r="AK4366" s="2">
        <f t="shared" si="648"/>
        <v>7</v>
      </c>
      <c r="AL4366" s="5">
        <f t="shared" si="649"/>
        <v>1</v>
      </c>
    </row>
    <row r="4367" spans="1:38" x14ac:dyDescent="0.2">
      <c r="A4367" s="2">
        <v>2026</v>
      </c>
      <c r="B4367" s="2">
        <v>7</v>
      </c>
      <c r="D4367" s="15" t="s">
        <v>3432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50"/>
        <v>368</v>
      </c>
      <c r="V4367" s="2">
        <f t="shared" si="651"/>
        <v>1968</v>
      </c>
      <c r="W4367" s="2">
        <v>1244.2445</v>
      </c>
      <c r="X4367" s="5">
        <f t="shared" si="652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48"/>
        <v>355.75549999999998</v>
      </c>
      <c r="AL4367" s="5">
        <f t="shared" si="649"/>
        <v>0.22234718749999999</v>
      </c>
    </row>
    <row r="4368" spans="1:38" x14ac:dyDescent="0.2">
      <c r="A4368" s="2">
        <v>2026</v>
      </c>
      <c r="B4368" s="2">
        <v>7</v>
      </c>
      <c r="D4368" s="15" t="s">
        <v>3432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50"/>
        <v>1012</v>
      </c>
      <c r="V4368" s="2">
        <f t="shared" si="651"/>
        <v>5412</v>
      </c>
      <c r="W4368" s="2">
        <f>3229.76+112.87</f>
        <v>3342.63</v>
      </c>
      <c r="X4368" s="5">
        <f t="shared" si="652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54">T4368-W4368</f>
        <v>1057.3699999999999</v>
      </c>
      <c r="AL4368" s="5">
        <f t="shared" ref="AL4368:AL4431" si="655">(T4368-W4368)/T4368</f>
        <v>0.2403113636363636</v>
      </c>
    </row>
    <row r="4369" spans="1:38" x14ac:dyDescent="0.2">
      <c r="A4369" s="2">
        <v>2026</v>
      </c>
      <c r="B4369" s="2">
        <v>7</v>
      </c>
      <c r="D4369" s="15" t="s">
        <v>842</v>
      </c>
      <c r="E4369" s="2" t="s">
        <v>109</v>
      </c>
      <c r="F4369" s="2" t="s">
        <v>843</v>
      </c>
      <c r="G4369" s="2">
        <v>504981285</v>
      </c>
      <c r="H4369" s="2" t="s">
        <v>291</v>
      </c>
      <c r="I4369" s="2" t="s">
        <v>844</v>
      </c>
      <c r="J4369" s="2" t="s">
        <v>845</v>
      </c>
      <c r="K4369" s="2">
        <v>932209225</v>
      </c>
      <c r="L4369" s="2" t="s">
        <v>340</v>
      </c>
      <c r="M4369" s="2" t="s">
        <v>40</v>
      </c>
      <c r="P4369" s="2" t="s">
        <v>115</v>
      </c>
      <c r="Q4369" s="16" t="s">
        <v>1378</v>
      </c>
      <c r="R4369" s="15" t="s">
        <v>1379</v>
      </c>
      <c r="S4369" s="13">
        <v>1</v>
      </c>
      <c r="T4369" s="14">
        <v>58.74</v>
      </c>
      <c r="U4369" s="2">
        <f t="shared" ref="U4369:U4432" si="656">T4369*23%</f>
        <v>13.510200000000001</v>
      </c>
      <c r="V4369" s="2">
        <f t="shared" ref="V4369:V4432" si="657">T4369+U4369</f>
        <v>72.250200000000007</v>
      </c>
      <c r="W4369" s="2">
        <v>27.86</v>
      </c>
      <c r="X4369" s="5">
        <f t="shared" si="652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54"/>
        <v>30.880000000000003</v>
      </c>
      <c r="AL4369" s="5">
        <f t="shared" si="655"/>
        <v>0.52570650323459311</v>
      </c>
    </row>
    <row r="4370" spans="1:38" x14ac:dyDescent="0.2">
      <c r="A4370" s="2">
        <v>2026</v>
      </c>
      <c r="B4370" s="2">
        <v>7</v>
      </c>
      <c r="D4370" s="15" t="s">
        <v>842</v>
      </c>
      <c r="E4370" s="2" t="s">
        <v>109</v>
      </c>
      <c r="F4370" s="2" t="s">
        <v>843</v>
      </c>
      <c r="G4370" s="2">
        <v>504981285</v>
      </c>
      <c r="H4370" s="2" t="s">
        <v>291</v>
      </c>
      <c r="I4370" s="2" t="s">
        <v>844</v>
      </c>
      <c r="J4370" s="2" t="s">
        <v>845</v>
      </c>
      <c r="K4370" s="2">
        <v>932209225</v>
      </c>
      <c r="L4370" s="2" t="s">
        <v>340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56"/>
        <v>12.65</v>
      </c>
      <c r="V4370" s="2">
        <f t="shared" si="657"/>
        <v>67.650000000000006</v>
      </c>
      <c r="W4370" s="2">
        <f>T4370*40%</f>
        <v>22</v>
      </c>
      <c r="X4370" s="5">
        <f t="shared" si="652"/>
        <v>0.6</v>
      </c>
      <c r="Z4370" s="2" t="s">
        <v>118</v>
      </c>
      <c r="AA4370" s="2" t="s">
        <v>191</v>
      </c>
      <c r="AK4370" s="2">
        <f t="shared" si="654"/>
        <v>33</v>
      </c>
      <c r="AL4370" s="5">
        <f t="shared" si="655"/>
        <v>0.6</v>
      </c>
    </row>
    <row r="4371" spans="1:38" x14ac:dyDescent="0.2">
      <c r="A4371" s="2">
        <v>2026</v>
      </c>
      <c r="B4371" s="2">
        <v>7</v>
      </c>
      <c r="D4371" s="15" t="s">
        <v>842</v>
      </c>
      <c r="E4371" s="2" t="s">
        <v>109</v>
      </c>
      <c r="F4371" s="2" t="s">
        <v>843</v>
      </c>
      <c r="G4371" s="2">
        <v>504981285</v>
      </c>
      <c r="H4371" s="2" t="s">
        <v>291</v>
      </c>
      <c r="I4371" s="2" t="s">
        <v>844</v>
      </c>
      <c r="J4371" s="2" t="s">
        <v>845</v>
      </c>
      <c r="K4371" s="2">
        <v>932209225</v>
      </c>
      <c r="L4371" s="2" t="s">
        <v>340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56"/>
        <v>18.975000000000001</v>
      </c>
      <c r="V4371" s="2">
        <f t="shared" si="657"/>
        <v>101.47499999999999</v>
      </c>
      <c r="W4371" s="2">
        <f>T4371*50%</f>
        <v>41.25</v>
      </c>
      <c r="X4371" s="5">
        <f t="shared" si="652"/>
        <v>0.5</v>
      </c>
      <c r="Z4371" s="2" t="s">
        <v>118</v>
      </c>
      <c r="AA4371" s="2" t="s">
        <v>191</v>
      </c>
      <c r="AK4371" s="2">
        <f t="shared" si="654"/>
        <v>41.25</v>
      </c>
      <c r="AL4371" s="5">
        <f t="shared" si="655"/>
        <v>0.5</v>
      </c>
    </row>
    <row r="4372" spans="1:38" x14ac:dyDescent="0.2">
      <c r="A4372" s="2">
        <v>2026</v>
      </c>
      <c r="B4372" s="2">
        <v>7</v>
      </c>
      <c r="D4372" s="15" t="s">
        <v>842</v>
      </c>
      <c r="E4372" s="2" t="s">
        <v>109</v>
      </c>
      <c r="F4372" s="2" t="s">
        <v>843</v>
      </c>
      <c r="G4372" s="2">
        <v>504981285</v>
      </c>
      <c r="H4372" s="2" t="s">
        <v>291</v>
      </c>
      <c r="I4372" s="2" t="s">
        <v>844</v>
      </c>
      <c r="J4372" s="2" t="s">
        <v>845</v>
      </c>
      <c r="K4372" s="2">
        <v>932209225</v>
      </c>
      <c r="L4372" s="2" t="s">
        <v>340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56"/>
        <v>2.1482000000000001</v>
      </c>
      <c r="V4372" s="2">
        <f t="shared" si="657"/>
        <v>11.488199999999999</v>
      </c>
      <c r="X4372" s="5">
        <f t="shared" si="652"/>
        <v>1</v>
      </c>
      <c r="Z4372" s="2" t="s">
        <v>120</v>
      </c>
      <c r="AA4372" s="2" t="s">
        <v>3392</v>
      </c>
      <c r="AK4372" s="2">
        <f t="shared" si="654"/>
        <v>9.34</v>
      </c>
      <c r="AL4372" s="5">
        <f t="shared" si="655"/>
        <v>1</v>
      </c>
    </row>
    <row r="4373" spans="1:38" x14ac:dyDescent="0.2">
      <c r="A4373" s="2">
        <v>2026</v>
      </c>
      <c r="B4373" s="2">
        <v>7</v>
      </c>
      <c r="D4373" s="15" t="s">
        <v>3349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56"/>
        <v>160.839</v>
      </c>
      <c r="V4373" s="2">
        <f t="shared" si="657"/>
        <v>860.1389999999999</v>
      </c>
      <c r="W4373" s="2">
        <v>343.38580000000002</v>
      </c>
      <c r="X4373" s="5">
        <f t="shared" si="652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54"/>
        <v>355.91419999999994</v>
      </c>
      <c r="AL4373" s="5">
        <f t="shared" si="655"/>
        <v>0.50895781495781489</v>
      </c>
    </row>
    <row r="4374" spans="1:38" x14ac:dyDescent="0.2">
      <c r="A4374" s="2">
        <v>2026</v>
      </c>
      <c r="B4374" s="2">
        <v>7</v>
      </c>
      <c r="D4374" s="15" t="s">
        <v>3349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56"/>
        <v>40.25</v>
      </c>
      <c r="V4374" s="2">
        <f t="shared" si="657"/>
        <v>215.25</v>
      </c>
      <c r="W4374" s="2">
        <f>T4374*40%</f>
        <v>70</v>
      </c>
      <c r="X4374" s="5">
        <f t="shared" si="652"/>
        <v>0.6</v>
      </c>
      <c r="Z4374" s="2" t="s">
        <v>118</v>
      </c>
      <c r="AA4374" s="2" t="s">
        <v>191</v>
      </c>
      <c r="AK4374" s="2">
        <f t="shared" si="654"/>
        <v>105</v>
      </c>
      <c r="AL4374" s="5">
        <f t="shared" si="655"/>
        <v>0.6</v>
      </c>
    </row>
    <row r="4375" spans="1:38" x14ac:dyDescent="0.2">
      <c r="A4375" s="2">
        <v>2026</v>
      </c>
      <c r="B4375" s="2">
        <v>7</v>
      </c>
      <c r="D4375" s="15" t="s">
        <v>3349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56"/>
        <v>12.65</v>
      </c>
      <c r="V4375" s="2">
        <f t="shared" si="657"/>
        <v>67.650000000000006</v>
      </c>
      <c r="W4375" s="2">
        <f>T4375*50%</f>
        <v>27.5</v>
      </c>
      <c r="X4375" s="5">
        <f t="shared" si="652"/>
        <v>0.5</v>
      </c>
      <c r="Z4375" s="2" t="s">
        <v>118</v>
      </c>
      <c r="AA4375" s="2" t="s">
        <v>191</v>
      </c>
      <c r="AK4375" s="2">
        <f t="shared" si="654"/>
        <v>27.5</v>
      </c>
      <c r="AL4375" s="5">
        <f t="shared" si="655"/>
        <v>0.5</v>
      </c>
    </row>
    <row r="4376" spans="1:38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56"/>
        <v>2.99</v>
      </c>
      <c r="V4376" s="2">
        <f t="shared" si="657"/>
        <v>15.99</v>
      </c>
      <c r="W4376" s="2">
        <f>6.6267*S4376</f>
        <v>6.6266999999999996</v>
      </c>
      <c r="X4376" s="5">
        <f t="shared" si="652"/>
        <v>0.49025384615384621</v>
      </c>
      <c r="Z4376" s="2" t="s">
        <v>3237</v>
      </c>
      <c r="AA4376" s="2" t="s">
        <v>46</v>
      </c>
      <c r="AB4376" s="2" t="s">
        <v>47</v>
      </c>
      <c r="AC4376" s="2" t="s">
        <v>48</v>
      </c>
      <c r="AK4376" s="2">
        <f t="shared" si="654"/>
        <v>6.3733000000000004</v>
      </c>
      <c r="AL4376" s="5">
        <f t="shared" si="655"/>
        <v>0.49025384615384621</v>
      </c>
    </row>
    <row r="4377" spans="1:38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56"/>
        <v>8.2800000000000011</v>
      </c>
      <c r="V4377" s="2">
        <f t="shared" si="657"/>
        <v>44.28</v>
      </c>
      <c r="X4377" s="5">
        <f t="shared" si="652"/>
        <v>1</v>
      </c>
      <c r="Z4377" s="2" t="s">
        <v>3237</v>
      </c>
      <c r="AK4377" s="2">
        <f t="shared" si="654"/>
        <v>36</v>
      </c>
      <c r="AL4377" s="5">
        <f t="shared" si="655"/>
        <v>1</v>
      </c>
    </row>
    <row r="4378" spans="1:38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2">
        <v>100</v>
      </c>
      <c r="T4378" s="14">
        <v>13</v>
      </c>
      <c r="U4378" s="2">
        <f t="shared" si="656"/>
        <v>2.99</v>
      </c>
      <c r="V4378" s="2">
        <f t="shared" si="657"/>
        <v>15.99</v>
      </c>
      <c r="W4378" s="2">
        <f>0.0914*S4378</f>
        <v>9.1399999999999988</v>
      </c>
      <c r="X4378" s="5">
        <f t="shared" si="652"/>
        <v>0.29692307692307701</v>
      </c>
      <c r="Z4378" s="2" t="s">
        <v>3237</v>
      </c>
      <c r="AA4378" s="2" t="s">
        <v>46</v>
      </c>
      <c r="AB4378" s="2" t="s">
        <v>61</v>
      </c>
      <c r="AC4378" s="2" t="s">
        <v>58</v>
      </c>
      <c r="AK4378" s="2">
        <f t="shared" si="654"/>
        <v>3.8600000000000012</v>
      </c>
      <c r="AL4378" s="5">
        <f t="shared" si="655"/>
        <v>0.29692307692307701</v>
      </c>
    </row>
    <row r="4379" spans="1:38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56"/>
        <v>1.84</v>
      </c>
      <c r="V4379" s="2">
        <f t="shared" si="657"/>
        <v>9.84</v>
      </c>
      <c r="X4379" s="5">
        <f t="shared" si="652"/>
        <v>1</v>
      </c>
      <c r="Z4379" s="2" t="s">
        <v>170</v>
      </c>
      <c r="AA4379" s="2" t="s">
        <v>170</v>
      </c>
      <c r="AK4379" s="2">
        <f t="shared" si="654"/>
        <v>8</v>
      </c>
      <c r="AL4379" s="5">
        <f t="shared" si="655"/>
        <v>1</v>
      </c>
    </row>
    <row r="4380" spans="1:38" x14ac:dyDescent="0.2">
      <c r="A4380" s="2">
        <v>2026</v>
      </c>
      <c r="B4380" s="2">
        <v>7</v>
      </c>
      <c r="D4380" s="15" t="s">
        <v>3350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56"/>
        <v>9.66</v>
      </c>
      <c r="V4380" s="2">
        <f t="shared" si="657"/>
        <v>51.66</v>
      </c>
      <c r="W4380" s="2">
        <f>14.4*S4380</f>
        <v>28.8</v>
      </c>
      <c r="X4380" s="5">
        <f t="shared" si="652"/>
        <v>0.31428571428571428</v>
      </c>
      <c r="Z4380" s="2" t="s">
        <v>3237</v>
      </c>
      <c r="AA4380" s="2" t="s">
        <v>46</v>
      </c>
      <c r="AB4380" s="2" t="s">
        <v>47</v>
      </c>
      <c r="AC4380" s="2" t="s">
        <v>48</v>
      </c>
      <c r="AK4380" s="2">
        <f t="shared" si="654"/>
        <v>13.2</v>
      </c>
      <c r="AL4380" s="5">
        <f t="shared" si="655"/>
        <v>0.31428571428571428</v>
      </c>
    </row>
    <row r="4381" spans="1:38" x14ac:dyDescent="0.2">
      <c r="A4381" s="2">
        <v>2026</v>
      </c>
      <c r="B4381" s="2">
        <v>7</v>
      </c>
      <c r="D4381" s="15" t="s">
        <v>3350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56"/>
        <v>19.55</v>
      </c>
      <c r="V4381" s="2">
        <f t="shared" si="657"/>
        <v>104.55</v>
      </c>
      <c r="X4381" s="5">
        <f t="shared" si="652"/>
        <v>1</v>
      </c>
      <c r="Z4381" s="2" t="s">
        <v>3237</v>
      </c>
      <c r="AK4381" s="2">
        <f t="shared" si="654"/>
        <v>85</v>
      </c>
      <c r="AL4381" s="5">
        <f t="shared" si="655"/>
        <v>1</v>
      </c>
    </row>
    <row r="4382" spans="1:38" x14ac:dyDescent="0.2">
      <c r="A4382" s="2">
        <v>2026</v>
      </c>
      <c r="B4382" s="2">
        <v>7</v>
      </c>
      <c r="D4382" s="15" t="s">
        <v>3350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56"/>
        <v>10.58</v>
      </c>
      <c r="V4382" s="2">
        <f t="shared" si="657"/>
        <v>56.58</v>
      </c>
      <c r="W4382" s="2">
        <f>0.082*S4382</f>
        <v>32.800000000000004</v>
      </c>
      <c r="X4382" s="5">
        <f t="shared" si="652"/>
        <v>0.28695652173913033</v>
      </c>
      <c r="Z4382" s="2" t="s">
        <v>3237</v>
      </c>
      <c r="AA4382" s="2" t="s">
        <v>46</v>
      </c>
      <c r="AB4382" s="2" t="s">
        <v>61</v>
      </c>
      <c r="AC4382" s="2" t="s">
        <v>58</v>
      </c>
      <c r="AK4382" s="2">
        <f t="shared" si="654"/>
        <v>13.199999999999996</v>
      </c>
      <c r="AL4382" s="5">
        <f t="shared" si="655"/>
        <v>0.28695652173913033</v>
      </c>
    </row>
    <row r="4383" spans="1:38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56"/>
        <v>156.14930000000001</v>
      </c>
      <c r="V4383" s="2">
        <f t="shared" si="657"/>
        <v>835.05930000000001</v>
      </c>
      <c r="X4383" s="5">
        <f t="shared" si="652"/>
        <v>1</v>
      </c>
      <c r="Z4383" s="2" t="s">
        <v>120</v>
      </c>
      <c r="AA4383" s="2" t="s">
        <v>493</v>
      </c>
      <c r="AK4383" s="2">
        <f t="shared" si="654"/>
        <v>678.91</v>
      </c>
      <c r="AL4383" s="5">
        <f t="shared" si="655"/>
        <v>1</v>
      </c>
    </row>
    <row r="4384" spans="1:38" x14ac:dyDescent="0.2">
      <c r="A4384" s="2">
        <v>2026</v>
      </c>
      <c r="B4384" s="2">
        <v>7</v>
      </c>
      <c r="C4384" s="2" t="s">
        <v>3307</v>
      </c>
      <c r="D4384" s="15" t="s">
        <v>3351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56"/>
        <v>160.839</v>
      </c>
      <c r="V4384" s="2">
        <f t="shared" si="657"/>
        <v>860.1389999999999</v>
      </c>
      <c r="W4384" s="2">
        <v>343.38580000000002</v>
      </c>
      <c r="X4384" s="5">
        <f t="shared" si="652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54"/>
        <v>355.91419999999994</v>
      </c>
      <c r="AL4384" s="5">
        <f t="shared" si="655"/>
        <v>0.50895781495781489</v>
      </c>
    </row>
    <row r="4385" spans="1:38" x14ac:dyDescent="0.2">
      <c r="A4385" s="2">
        <v>2026</v>
      </c>
      <c r="B4385" s="2">
        <v>7</v>
      </c>
      <c r="C4385" s="2" t="s">
        <v>3307</v>
      </c>
      <c r="D4385" s="15" t="s">
        <v>3351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56"/>
        <v>13.8</v>
      </c>
      <c r="V4385" s="2">
        <f t="shared" si="657"/>
        <v>73.8</v>
      </c>
      <c r="W4385" s="2">
        <f>T4385*40%</f>
        <v>24</v>
      </c>
      <c r="X4385" s="5">
        <f t="shared" si="652"/>
        <v>0.6</v>
      </c>
      <c r="Z4385" s="2" t="s">
        <v>118</v>
      </c>
      <c r="AA4385" s="2" t="s">
        <v>191</v>
      </c>
      <c r="AK4385" s="2">
        <f t="shared" si="654"/>
        <v>36</v>
      </c>
      <c r="AL4385" s="5">
        <f t="shared" si="655"/>
        <v>0.6</v>
      </c>
    </row>
    <row r="4386" spans="1:38" x14ac:dyDescent="0.2">
      <c r="A4386" s="2">
        <v>2026</v>
      </c>
      <c r="B4386" s="2">
        <v>7</v>
      </c>
      <c r="C4386" s="2" t="s">
        <v>3307</v>
      </c>
      <c r="D4386" s="15" t="s">
        <v>3351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56"/>
        <v>12.65</v>
      </c>
      <c r="V4386" s="2">
        <f t="shared" si="657"/>
        <v>67.650000000000006</v>
      </c>
      <c r="W4386" s="2">
        <f>T4386*50%</f>
        <v>27.5</v>
      </c>
      <c r="X4386" s="5">
        <f t="shared" si="652"/>
        <v>0.5</v>
      </c>
      <c r="Z4386" s="2" t="s">
        <v>118</v>
      </c>
      <c r="AA4386" s="2" t="s">
        <v>191</v>
      </c>
      <c r="AK4386" s="2">
        <f t="shared" si="654"/>
        <v>27.5</v>
      </c>
      <c r="AL4386" s="5">
        <f t="shared" si="655"/>
        <v>0.5</v>
      </c>
    </row>
    <row r="4387" spans="1:38" x14ac:dyDescent="0.2">
      <c r="A4387" s="2">
        <v>2026</v>
      </c>
      <c r="B4387" s="2">
        <v>7</v>
      </c>
      <c r="D4387" s="15" t="s">
        <v>2161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56"/>
        <v>92.69</v>
      </c>
      <c r="V4387" s="2">
        <f t="shared" si="657"/>
        <v>495.69</v>
      </c>
      <c r="W4387" s="2">
        <f>T4387*40%</f>
        <v>161.20000000000002</v>
      </c>
      <c r="X4387" s="5">
        <f t="shared" si="652"/>
        <v>0.6</v>
      </c>
      <c r="Z4387" s="2" t="s">
        <v>118</v>
      </c>
      <c r="AA4387" s="2" t="s">
        <v>191</v>
      </c>
      <c r="AK4387" s="2">
        <f t="shared" si="654"/>
        <v>241.79999999999998</v>
      </c>
      <c r="AL4387" s="5">
        <f t="shared" si="655"/>
        <v>0.6</v>
      </c>
    </row>
    <row r="4388" spans="1:38" x14ac:dyDescent="0.2">
      <c r="A4388" s="2">
        <v>2026</v>
      </c>
      <c r="B4388" s="2">
        <v>7</v>
      </c>
      <c r="D4388" s="15" t="s">
        <v>2161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56"/>
        <v>12.65</v>
      </c>
      <c r="V4388" s="2">
        <f t="shared" si="657"/>
        <v>67.650000000000006</v>
      </c>
      <c r="W4388" s="2">
        <f>T4388*50%</f>
        <v>27.5</v>
      </c>
      <c r="X4388" s="5">
        <f t="shared" si="652"/>
        <v>0.5</v>
      </c>
      <c r="Z4388" s="2" t="s">
        <v>118</v>
      </c>
      <c r="AA4388" s="2" t="s">
        <v>191</v>
      </c>
      <c r="AK4388" s="2">
        <f t="shared" si="654"/>
        <v>27.5</v>
      </c>
      <c r="AL4388" s="5">
        <f t="shared" si="655"/>
        <v>0.5</v>
      </c>
    </row>
    <row r="4389" spans="1:38" x14ac:dyDescent="0.2">
      <c r="A4389" s="2">
        <v>2026</v>
      </c>
      <c r="B4389" s="2">
        <v>7</v>
      </c>
      <c r="D4389" s="15" t="s">
        <v>3118</v>
      </c>
      <c r="M4389" s="2" t="s">
        <v>40</v>
      </c>
      <c r="P4389" s="2" t="s">
        <v>115</v>
      </c>
      <c r="Q4389" s="16" t="s">
        <v>3365</v>
      </c>
      <c r="R4389" s="15" t="s">
        <v>3366</v>
      </c>
      <c r="S4389" s="13">
        <v>2</v>
      </c>
      <c r="T4389" s="14">
        <v>32.549999999999997</v>
      </c>
      <c r="U4389" s="2">
        <f t="shared" si="656"/>
        <v>7.4864999999999995</v>
      </c>
      <c r="V4389" s="2">
        <f t="shared" si="657"/>
        <v>40.036499999999997</v>
      </c>
      <c r="X4389" s="5">
        <f t="shared" si="652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54"/>
        <v>32.549999999999997</v>
      </c>
      <c r="AL4389" s="5">
        <f t="shared" si="655"/>
        <v>1</v>
      </c>
    </row>
    <row r="4390" spans="1:38" x14ac:dyDescent="0.2">
      <c r="A4390" s="2">
        <v>2026</v>
      </c>
      <c r="B4390" s="2">
        <v>7</v>
      </c>
      <c r="D4390" s="15" t="s">
        <v>2912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56"/>
        <v>6.67</v>
      </c>
      <c r="V4390" s="2">
        <f t="shared" si="657"/>
        <v>35.67</v>
      </c>
      <c r="W4390" s="2">
        <f>14.5099*S4390</f>
        <v>14.5099</v>
      </c>
      <c r="X4390" s="5">
        <f t="shared" si="652"/>
        <v>0.49965862068965516</v>
      </c>
      <c r="Z4390" s="2" t="s">
        <v>3237</v>
      </c>
      <c r="AA4390" s="2" t="s">
        <v>46</v>
      </c>
      <c r="AB4390" s="2" t="s">
        <v>61</v>
      </c>
      <c r="AC4390" s="2" t="s">
        <v>3343</v>
      </c>
      <c r="AK4390" s="2">
        <f t="shared" si="654"/>
        <v>14.4901</v>
      </c>
      <c r="AL4390" s="5">
        <f t="shared" si="655"/>
        <v>0.49965862068965516</v>
      </c>
    </row>
    <row r="4391" spans="1:38" x14ac:dyDescent="0.2">
      <c r="A4391" s="2">
        <v>2026</v>
      </c>
      <c r="B4391" s="2">
        <v>7</v>
      </c>
      <c r="D4391" s="15" t="s">
        <v>1076</v>
      </c>
      <c r="P4391" s="2" t="s">
        <v>73</v>
      </c>
      <c r="Q4391" s="16" t="s">
        <v>3367</v>
      </c>
      <c r="R4391" s="15" t="s">
        <v>80</v>
      </c>
      <c r="S4391" s="13">
        <v>1</v>
      </c>
      <c r="T4391" s="14">
        <v>220</v>
      </c>
      <c r="U4391" s="2">
        <f t="shared" si="656"/>
        <v>50.6</v>
      </c>
      <c r="V4391" s="2">
        <f t="shared" si="657"/>
        <v>270.60000000000002</v>
      </c>
      <c r="W4391" s="2">
        <v>125.15</v>
      </c>
      <c r="X4391" s="5">
        <f t="shared" si="652"/>
        <v>0.4311363636363636</v>
      </c>
      <c r="Z4391" s="2" t="s">
        <v>3237</v>
      </c>
      <c r="AA4391" s="2" t="s">
        <v>76</v>
      </c>
      <c r="AB4391" s="2" t="s">
        <v>77</v>
      </c>
      <c r="AC4391" s="2" t="s">
        <v>78</v>
      </c>
      <c r="AK4391" s="2">
        <f t="shared" si="654"/>
        <v>94.85</v>
      </c>
      <c r="AL4391" s="5">
        <f t="shared" si="655"/>
        <v>0.4311363636363636</v>
      </c>
    </row>
    <row r="4392" spans="1:38" x14ac:dyDescent="0.2">
      <c r="A4392" s="2">
        <v>2026</v>
      </c>
      <c r="B4392" s="2">
        <v>7</v>
      </c>
      <c r="D4392" s="15" t="s">
        <v>1076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56"/>
        <v>0.34040000000000004</v>
      </c>
      <c r="V4392" s="2">
        <f t="shared" si="657"/>
        <v>1.8204</v>
      </c>
      <c r="X4392" s="5">
        <f t="shared" si="652"/>
        <v>1</v>
      </c>
      <c r="Z4392" s="2" t="s">
        <v>3237</v>
      </c>
      <c r="AA4392" s="2" t="s">
        <v>97</v>
      </c>
      <c r="AB4392" s="2" t="s">
        <v>77</v>
      </c>
      <c r="AC4392" s="2" t="s">
        <v>94</v>
      </c>
      <c r="AK4392" s="2">
        <f t="shared" si="654"/>
        <v>1.48</v>
      </c>
      <c r="AL4392" s="5">
        <f t="shared" si="655"/>
        <v>1</v>
      </c>
    </row>
    <row r="4393" spans="1:38" x14ac:dyDescent="0.2">
      <c r="A4393" s="2">
        <v>2026</v>
      </c>
      <c r="B4393" s="2">
        <v>7</v>
      </c>
      <c r="D4393" s="15" t="s">
        <v>3352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56"/>
        <v>68.08</v>
      </c>
      <c r="V4393" s="2">
        <f t="shared" si="657"/>
        <v>364.08</v>
      </c>
      <c r="W4393" s="2">
        <f>T4393*40%</f>
        <v>118.4</v>
      </c>
      <c r="X4393" s="5">
        <f t="shared" si="652"/>
        <v>0.6</v>
      </c>
      <c r="Z4393" s="2" t="s">
        <v>118</v>
      </c>
      <c r="AA4393" s="2" t="s">
        <v>191</v>
      </c>
      <c r="AK4393" s="2">
        <f t="shared" si="654"/>
        <v>177.6</v>
      </c>
      <c r="AL4393" s="5">
        <f t="shared" si="655"/>
        <v>0.6</v>
      </c>
    </row>
    <row r="4394" spans="1:38" x14ac:dyDescent="0.2">
      <c r="A4394" s="2">
        <v>2026</v>
      </c>
      <c r="B4394" s="2">
        <v>7</v>
      </c>
      <c r="D4394" s="15" t="s">
        <v>3352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56"/>
        <v>12.65</v>
      </c>
      <c r="V4394" s="2">
        <f t="shared" si="657"/>
        <v>67.650000000000006</v>
      </c>
      <c r="W4394" s="2">
        <f>T4394*50%</f>
        <v>27.5</v>
      </c>
      <c r="X4394" s="5">
        <f t="shared" si="652"/>
        <v>0.5</v>
      </c>
      <c r="Z4394" s="2" t="s">
        <v>118</v>
      </c>
      <c r="AA4394" s="2" t="s">
        <v>191</v>
      </c>
      <c r="AK4394" s="2">
        <f t="shared" si="654"/>
        <v>27.5</v>
      </c>
      <c r="AL4394" s="5">
        <f t="shared" si="655"/>
        <v>0.5</v>
      </c>
    </row>
    <row r="4395" spans="1:38" x14ac:dyDescent="0.2">
      <c r="A4395" s="2">
        <v>2026</v>
      </c>
      <c r="B4395" s="2">
        <v>7</v>
      </c>
      <c r="C4395" s="2" t="s">
        <v>3307</v>
      </c>
      <c r="D4395" s="15" t="s">
        <v>2529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56"/>
        <v>51.75</v>
      </c>
      <c r="V4395" s="2">
        <f t="shared" si="657"/>
        <v>276.75</v>
      </c>
      <c r="W4395" s="2">
        <v>125.51600000000001</v>
      </c>
      <c r="X4395" s="5">
        <f t="shared" si="652"/>
        <v>0.44215111111111111</v>
      </c>
      <c r="Z4395" s="2" t="s">
        <v>3237</v>
      </c>
      <c r="AA4395" s="2" t="s">
        <v>76</v>
      </c>
      <c r="AB4395" s="2" t="s">
        <v>77</v>
      </c>
      <c r="AC4395" s="2" t="s">
        <v>78</v>
      </c>
      <c r="AK4395" s="2">
        <f t="shared" si="654"/>
        <v>99.483999999999995</v>
      </c>
      <c r="AL4395" s="5">
        <f t="shared" si="655"/>
        <v>0.44215111111111111</v>
      </c>
    </row>
    <row r="4396" spans="1:38" x14ac:dyDescent="0.2">
      <c r="A4396" s="2">
        <v>2026</v>
      </c>
      <c r="B4396" s="2">
        <v>7</v>
      </c>
      <c r="C4396" s="2" t="s">
        <v>3307</v>
      </c>
      <c r="D4396" s="15" t="s">
        <v>2529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56"/>
        <v>0.34040000000000004</v>
      </c>
      <c r="V4396" s="2">
        <f t="shared" si="657"/>
        <v>1.8204</v>
      </c>
      <c r="W4396" s="2">
        <v>1.48</v>
      </c>
      <c r="X4396" s="5">
        <f t="shared" si="652"/>
        <v>0</v>
      </c>
      <c r="Z4396" s="2" t="s">
        <v>3237</v>
      </c>
      <c r="AA4396" s="2" t="s">
        <v>97</v>
      </c>
      <c r="AB4396" s="2" t="s">
        <v>77</v>
      </c>
      <c r="AC4396" s="2" t="s">
        <v>94</v>
      </c>
      <c r="AK4396" s="2">
        <f t="shared" si="654"/>
        <v>0</v>
      </c>
      <c r="AL4396" s="5">
        <f t="shared" si="655"/>
        <v>0</v>
      </c>
    </row>
    <row r="4397" spans="1:38" x14ac:dyDescent="0.2">
      <c r="A4397" s="2">
        <v>2026</v>
      </c>
      <c r="B4397" s="2">
        <v>7</v>
      </c>
      <c r="C4397" s="2" t="s">
        <v>3427</v>
      </c>
      <c r="D4397" s="15" t="s">
        <v>3353</v>
      </c>
      <c r="P4397" s="2" t="s">
        <v>73</v>
      </c>
      <c r="Q4397" s="16" t="s">
        <v>3368</v>
      </c>
      <c r="R4397" s="15" t="s">
        <v>198</v>
      </c>
      <c r="S4397" s="13">
        <v>1</v>
      </c>
      <c r="T4397" s="14">
        <v>375</v>
      </c>
      <c r="U4397" s="2">
        <f t="shared" si="656"/>
        <v>86.25</v>
      </c>
      <c r="V4397" s="2">
        <f t="shared" si="657"/>
        <v>461.25</v>
      </c>
      <c r="W4397" s="2">
        <v>227.14</v>
      </c>
      <c r="X4397" s="5">
        <f t="shared" si="652"/>
        <v>0.39429333333333338</v>
      </c>
      <c r="Z4397" s="2" t="s">
        <v>3237</v>
      </c>
      <c r="AA4397" s="2" t="s">
        <v>76</v>
      </c>
      <c r="AB4397" s="2" t="s">
        <v>77</v>
      </c>
      <c r="AC4397" s="2" t="s">
        <v>78</v>
      </c>
      <c r="AK4397" s="2">
        <f t="shared" si="654"/>
        <v>147.86000000000001</v>
      </c>
      <c r="AL4397" s="5">
        <f t="shared" si="655"/>
        <v>0.39429333333333338</v>
      </c>
    </row>
    <row r="4398" spans="1:38" x14ac:dyDescent="0.2">
      <c r="A4398" s="2">
        <v>2026</v>
      </c>
      <c r="B4398" s="2">
        <v>7</v>
      </c>
      <c r="C4398" s="2" t="s">
        <v>3427</v>
      </c>
      <c r="D4398" s="15" t="s">
        <v>3353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56"/>
        <v>0.34040000000000004</v>
      </c>
      <c r="V4398" s="2">
        <f t="shared" si="657"/>
        <v>1.8204</v>
      </c>
      <c r="W4398" s="2">
        <v>1.48</v>
      </c>
      <c r="X4398" s="5">
        <f t="shared" si="652"/>
        <v>0</v>
      </c>
      <c r="Z4398" s="2" t="s">
        <v>3237</v>
      </c>
      <c r="AA4398" s="2" t="s">
        <v>97</v>
      </c>
      <c r="AB4398" s="2" t="s">
        <v>77</v>
      </c>
      <c r="AC4398" s="2" t="s">
        <v>94</v>
      </c>
      <c r="AK4398" s="2">
        <f t="shared" si="654"/>
        <v>0</v>
      </c>
      <c r="AL4398" s="5">
        <f t="shared" si="655"/>
        <v>0</v>
      </c>
    </row>
    <row r="4399" spans="1:38" x14ac:dyDescent="0.2">
      <c r="A4399" s="2">
        <v>2026</v>
      </c>
      <c r="B4399" s="2">
        <v>7</v>
      </c>
      <c r="C4399" s="2" t="s">
        <v>3428</v>
      </c>
      <c r="D4399" s="15" t="s">
        <v>2567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56"/>
        <v>51.75</v>
      </c>
      <c r="V4399" s="2">
        <f t="shared" si="657"/>
        <v>276.75</v>
      </c>
      <c r="W4399" s="2">
        <v>132.35499999999999</v>
      </c>
      <c r="X4399" s="5">
        <f t="shared" si="652"/>
        <v>0.4117555555555556</v>
      </c>
      <c r="Z4399" s="2" t="s">
        <v>3237</v>
      </c>
      <c r="AA4399" s="2" t="s">
        <v>76</v>
      </c>
      <c r="AB4399" s="2" t="s">
        <v>77</v>
      </c>
      <c r="AC4399" s="2" t="s">
        <v>78</v>
      </c>
      <c r="AK4399" s="2">
        <f t="shared" si="654"/>
        <v>92.64500000000001</v>
      </c>
      <c r="AL4399" s="5">
        <f t="shared" si="655"/>
        <v>0.4117555555555556</v>
      </c>
    </row>
    <row r="4400" spans="1:38" x14ac:dyDescent="0.2">
      <c r="A4400" s="2">
        <v>2026</v>
      </c>
      <c r="B4400" s="2">
        <v>7</v>
      </c>
      <c r="C4400" s="2" t="s">
        <v>3428</v>
      </c>
      <c r="D4400" s="15" t="s">
        <v>2567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56"/>
        <v>0.34040000000000004</v>
      </c>
      <c r="V4400" s="2">
        <f t="shared" si="657"/>
        <v>1.8204</v>
      </c>
      <c r="W4400" s="2">
        <v>1.48</v>
      </c>
      <c r="X4400" s="5">
        <f t="shared" si="652"/>
        <v>0</v>
      </c>
      <c r="Z4400" s="2" t="s">
        <v>3237</v>
      </c>
      <c r="AA4400" s="2" t="s">
        <v>97</v>
      </c>
      <c r="AB4400" s="2" t="s">
        <v>77</v>
      </c>
      <c r="AC4400" s="2" t="s">
        <v>94</v>
      </c>
      <c r="AK4400" s="2">
        <f t="shared" si="654"/>
        <v>0</v>
      </c>
      <c r="AL4400" s="5">
        <f t="shared" si="655"/>
        <v>0</v>
      </c>
    </row>
    <row r="4401" spans="1:38" x14ac:dyDescent="0.2">
      <c r="A4401" s="2">
        <v>2026</v>
      </c>
      <c r="B4401" s="2">
        <v>7</v>
      </c>
      <c r="C4401" s="2" t="s">
        <v>3429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56"/>
        <v>8.2800000000000011</v>
      </c>
      <c r="V4401" s="2">
        <f t="shared" si="657"/>
        <v>44.28</v>
      </c>
      <c r="X4401" s="5">
        <f t="shared" ref="X4401:X4445" si="658">(T4401-W4401)/T4401</f>
        <v>1</v>
      </c>
      <c r="Z4401" s="2" t="s">
        <v>3237</v>
      </c>
      <c r="AA4401" s="2" t="s">
        <v>46</v>
      </c>
      <c r="AB4401" s="2" t="s">
        <v>61</v>
      </c>
      <c r="AC4401" s="2" t="s">
        <v>58</v>
      </c>
      <c r="AK4401" s="2">
        <f t="shared" si="654"/>
        <v>36</v>
      </c>
      <c r="AL4401" s="5">
        <f t="shared" si="655"/>
        <v>1</v>
      </c>
    </row>
    <row r="4402" spans="1:38" x14ac:dyDescent="0.2">
      <c r="A4402" s="2">
        <v>2026</v>
      </c>
      <c r="B4402" s="2">
        <v>7</v>
      </c>
      <c r="C4402" s="2" t="s">
        <v>3429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56"/>
        <v>13.8</v>
      </c>
      <c r="V4402" s="2">
        <f t="shared" si="657"/>
        <v>73.8</v>
      </c>
      <c r="X4402" s="5">
        <f t="shared" si="658"/>
        <v>1</v>
      </c>
      <c r="Z4402" s="2" t="s">
        <v>3237</v>
      </c>
      <c r="AA4402" s="2" t="s">
        <v>46</v>
      </c>
      <c r="AB4402" s="2" t="s">
        <v>61</v>
      </c>
      <c r="AC4402" s="2" t="s">
        <v>58</v>
      </c>
      <c r="AK4402" s="2">
        <f t="shared" si="654"/>
        <v>60</v>
      </c>
      <c r="AL4402" s="5">
        <f t="shared" si="655"/>
        <v>1</v>
      </c>
    </row>
    <row r="4403" spans="1:38" x14ac:dyDescent="0.2">
      <c r="A4403" s="2">
        <v>2026</v>
      </c>
      <c r="B4403" s="2">
        <v>7</v>
      </c>
      <c r="C4403" s="2" t="s">
        <v>3306</v>
      </c>
      <c r="D4403" s="15" t="s">
        <v>2284</v>
      </c>
      <c r="M4403" s="2" t="s">
        <v>40</v>
      </c>
      <c r="P4403" s="2" t="s">
        <v>115</v>
      </c>
      <c r="Q4403" s="16" t="s">
        <v>3369</v>
      </c>
      <c r="R4403" s="15" t="s">
        <v>1103</v>
      </c>
      <c r="S4403" s="13">
        <v>1</v>
      </c>
      <c r="T4403" s="14">
        <v>187.92</v>
      </c>
      <c r="U4403" s="2">
        <f t="shared" si="656"/>
        <v>43.221600000000002</v>
      </c>
      <c r="V4403" s="2">
        <f t="shared" si="657"/>
        <v>231.14159999999998</v>
      </c>
      <c r="W4403" s="2">
        <v>49.96</v>
      </c>
      <c r="X4403" s="5">
        <f t="shared" si="658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54"/>
        <v>137.95999999999998</v>
      </c>
      <c r="AL4403" s="5">
        <f t="shared" si="655"/>
        <v>0.73414218816517662</v>
      </c>
    </row>
    <row r="4404" spans="1:38" x14ac:dyDescent="0.2">
      <c r="A4404" s="2">
        <v>2026</v>
      </c>
      <c r="B4404" s="2">
        <v>7</v>
      </c>
      <c r="C4404" s="2" t="s">
        <v>3306</v>
      </c>
      <c r="D4404" s="15" t="s">
        <v>2284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56"/>
        <v>124.00909999999999</v>
      </c>
      <c r="V4404" s="2">
        <f t="shared" si="657"/>
        <v>663.17909999999995</v>
      </c>
      <c r="W4404" s="2">
        <v>257.3</v>
      </c>
      <c r="X4404" s="5">
        <f t="shared" si="658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54"/>
        <v>281.86999999999995</v>
      </c>
      <c r="AL4404" s="5">
        <f t="shared" si="655"/>
        <v>0.52278502142181493</v>
      </c>
    </row>
    <row r="4405" spans="1:38" x14ac:dyDescent="0.2">
      <c r="A4405" s="2">
        <v>2026</v>
      </c>
      <c r="B4405" s="2">
        <v>7</v>
      </c>
      <c r="C4405" s="2" t="s">
        <v>3306</v>
      </c>
      <c r="D4405" s="15" t="s">
        <v>2284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56"/>
        <v>34.270000000000003</v>
      </c>
      <c r="V4405" s="2">
        <f t="shared" si="657"/>
        <v>183.27</v>
      </c>
      <c r="W4405" s="2">
        <f>T4405*40%</f>
        <v>59.6</v>
      </c>
      <c r="X4405" s="5">
        <f t="shared" si="658"/>
        <v>0.60000000000000009</v>
      </c>
      <c r="Z4405" s="2" t="s">
        <v>118</v>
      </c>
      <c r="AA4405" s="2" t="s">
        <v>191</v>
      </c>
      <c r="AK4405" s="2">
        <f t="shared" si="654"/>
        <v>89.4</v>
      </c>
      <c r="AL4405" s="5">
        <f t="shared" si="655"/>
        <v>0.60000000000000009</v>
      </c>
    </row>
    <row r="4406" spans="1:38" x14ac:dyDescent="0.2">
      <c r="A4406" s="2">
        <v>2026</v>
      </c>
      <c r="B4406" s="2">
        <v>7</v>
      </c>
      <c r="C4406" s="2" t="s">
        <v>3306</v>
      </c>
      <c r="D4406" s="15" t="s">
        <v>2284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56"/>
        <v>25.3</v>
      </c>
      <c r="V4406" s="2">
        <f t="shared" si="657"/>
        <v>135.30000000000001</v>
      </c>
      <c r="W4406" s="2">
        <f>T4406*50%</f>
        <v>55</v>
      </c>
      <c r="X4406" s="5">
        <f t="shared" si="658"/>
        <v>0.5</v>
      </c>
      <c r="Z4406" s="2" t="s">
        <v>118</v>
      </c>
      <c r="AA4406" s="2" t="s">
        <v>191</v>
      </c>
      <c r="AK4406" s="2">
        <f t="shared" si="654"/>
        <v>55</v>
      </c>
      <c r="AL4406" s="5">
        <f t="shared" si="655"/>
        <v>0.5</v>
      </c>
    </row>
    <row r="4407" spans="1:38" x14ac:dyDescent="0.2">
      <c r="A4407" s="2">
        <v>2026</v>
      </c>
      <c r="B4407" s="2">
        <v>7</v>
      </c>
      <c r="C4407" s="2" t="s">
        <v>3307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3370</v>
      </c>
      <c r="R4407" s="15" t="s">
        <v>3371</v>
      </c>
      <c r="S4407" s="13">
        <v>8</v>
      </c>
      <c r="T4407" s="14">
        <v>100.8</v>
      </c>
      <c r="U4407" s="2">
        <f t="shared" si="656"/>
        <v>23.184000000000001</v>
      </c>
      <c r="V4407" s="2">
        <f t="shared" si="657"/>
        <v>123.98399999999999</v>
      </c>
      <c r="W4407" s="2">
        <f>3*S4407</f>
        <v>24</v>
      </c>
      <c r="X4407" s="5">
        <f t="shared" si="658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54"/>
        <v>76.8</v>
      </c>
      <c r="AL4407" s="5">
        <f t="shared" si="655"/>
        <v>0.76190476190476186</v>
      </c>
    </row>
    <row r="4408" spans="1:38" x14ac:dyDescent="0.2">
      <c r="A4408" s="2">
        <v>2026</v>
      </c>
      <c r="B4408" s="2">
        <v>7</v>
      </c>
      <c r="C4408" s="2" t="s">
        <v>3430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56"/>
        <v>11.258500000000002</v>
      </c>
      <c r="V4408" s="2">
        <f t="shared" si="657"/>
        <v>60.208500000000001</v>
      </c>
      <c r="W4408" s="2">
        <f>23.042*S4408</f>
        <v>23.042000000000002</v>
      </c>
      <c r="X4408" s="5">
        <f t="shared" si="658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54"/>
        <v>25.908000000000001</v>
      </c>
      <c r="AL4408" s="5">
        <f t="shared" si="655"/>
        <v>0.52927477017364655</v>
      </c>
    </row>
    <row r="4409" spans="1:38" x14ac:dyDescent="0.2">
      <c r="A4409" s="2">
        <v>2026</v>
      </c>
      <c r="B4409" s="2">
        <v>7</v>
      </c>
      <c r="C4409" s="2" t="s">
        <v>3430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56"/>
        <v>8.9700000000000006</v>
      </c>
      <c r="V4409" s="2">
        <f t="shared" si="657"/>
        <v>47.97</v>
      </c>
      <c r="W4409" s="2">
        <f>6.6267*S4409</f>
        <v>19.880099999999999</v>
      </c>
      <c r="X4409" s="5">
        <f t="shared" si="658"/>
        <v>0.49025384615384621</v>
      </c>
      <c r="Z4409" s="2" t="s">
        <v>3237</v>
      </c>
      <c r="AA4409" s="2" t="s">
        <v>46</v>
      </c>
      <c r="AB4409" s="2" t="s">
        <v>47</v>
      </c>
      <c r="AC4409" s="2" t="s">
        <v>48</v>
      </c>
      <c r="AK4409" s="2">
        <f t="shared" si="654"/>
        <v>19.119900000000001</v>
      </c>
      <c r="AL4409" s="5">
        <f t="shared" si="655"/>
        <v>0.49025384615384621</v>
      </c>
    </row>
    <row r="4410" spans="1:38" x14ac:dyDescent="0.2">
      <c r="A4410" s="2">
        <v>2026</v>
      </c>
      <c r="B4410" s="2">
        <v>7</v>
      </c>
      <c r="C4410" s="2" t="s">
        <v>3430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56"/>
        <v>34.5</v>
      </c>
      <c r="V4410" s="2">
        <f t="shared" si="657"/>
        <v>184.5</v>
      </c>
      <c r="W4410" s="2">
        <f>10.6*S4410</f>
        <v>106</v>
      </c>
      <c r="X4410" s="5">
        <f t="shared" si="658"/>
        <v>0.29333333333333333</v>
      </c>
      <c r="Z4410" s="2" t="s">
        <v>3237</v>
      </c>
      <c r="AK4410" s="2">
        <f t="shared" si="654"/>
        <v>44</v>
      </c>
      <c r="AL4410" s="5">
        <f t="shared" si="655"/>
        <v>0.29333333333333333</v>
      </c>
    </row>
    <row r="4411" spans="1:38" x14ac:dyDescent="0.2">
      <c r="A4411" s="2">
        <v>2026</v>
      </c>
      <c r="B4411" s="2">
        <v>7</v>
      </c>
      <c r="C4411" s="2" t="s">
        <v>3430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2">
        <v>100</v>
      </c>
      <c r="T4411" s="14">
        <v>14</v>
      </c>
      <c r="U4411" s="2">
        <f t="shared" si="656"/>
        <v>3.22</v>
      </c>
      <c r="V4411" s="2">
        <f t="shared" si="657"/>
        <v>17.22</v>
      </c>
      <c r="W4411" s="2">
        <f>0.0914*S4411</f>
        <v>9.1399999999999988</v>
      </c>
      <c r="X4411" s="5">
        <f t="shared" si="658"/>
        <v>0.34714285714285725</v>
      </c>
      <c r="Z4411" s="2" t="s">
        <v>3237</v>
      </c>
      <c r="AA4411" s="2" t="s">
        <v>46</v>
      </c>
      <c r="AB4411" s="2" t="s">
        <v>61</v>
      </c>
      <c r="AC4411" s="2" t="s">
        <v>58</v>
      </c>
      <c r="AK4411" s="2">
        <f t="shared" si="654"/>
        <v>4.8600000000000012</v>
      </c>
      <c r="AL4411" s="5">
        <f t="shared" si="655"/>
        <v>0.34714285714285725</v>
      </c>
    </row>
    <row r="4412" spans="1:38" x14ac:dyDescent="0.2">
      <c r="A4412" s="2">
        <v>2026</v>
      </c>
      <c r="B4412" s="2">
        <v>7</v>
      </c>
      <c r="C4412" s="2" t="s">
        <v>3430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56"/>
        <v>17.48</v>
      </c>
      <c r="V4412" s="2">
        <f t="shared" si="657"/>
        <v>93.48</v>
      </c>
      <c r="W4412" s="2">
        <f>T4412*40%</f>
        <v>30.400000000000002</v>
      </c>
      <c r="X4412" s="5">
        <f t="shared" si="658"/>
        <v>0.6</v>
      </c>
      <c r="Z4412" s="2" t="s">
        <v>118</v>
      </c>
      <c r="AA4412" s="2" t="s">
        <v>191</v>
      </c>
      <c r="AK4412" s="2">
        <f t="shared" si="654"/>
        <v>45.599999999999994</v>
      </c>
      <c r="AL4412" s="5">
        <f t="shared" si="655"/>
        <v>0.6</v>
      </c>
    </row>
    <row r="4413" spans="1:38" x14ac:dyDescent="0.2">
      <c r="A4413" s="2">
        <v>2026</v>
      </c>
      <c r="B4413" s="2">
        <v>7</v>
      </c>
      <c r="C4413" s="2" t="s">
        <v>3430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56"/>
        <v>12.65</v>
      </c>
      <c r="V4413" s="2">
        <f t="shared" si="657"/>
        <v>67.650000000000006</v>
      </c>
      <c r="W4413" s="2">
        <f>T4413*50%</f>
        <v>27.5</v>
      </c>
      <c r="X4413" s="5">
        <f t="shared" si="658"/>
        <v>0.5</v>
      </c>
      <c r="Z4413" s="2" t="s">
        <v>118</v>
      </c>
      <c r="AA4413" s="2" t="s">
        <v>191</v>
      </c>
      <c r="AK4413" s="2">
        <f t="shared" si="654"/>
        <v>27.5</v>
      </c>
      <c r="AL4413" s="5">
        <f t="shared" si="655"/>
        <v>0.5</v>
      </c>
    </row>
    <row r="4414" spans="1:38" x14ac:dyDescent="0.2">
      <c r="A4414" s="2">
        <v>2026</v>
      </c>
      <c r="B4414" s="2">
        <v>7</v>
      </c>
      <c r="C4414" s="2" t="s">
        <v>3431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56"/>
        <v>10.143000000000001</v>
      </c>
      <c r="V4414" s="2">
        <f t="shared" si="657"/>
        <v>54.243000000000002</v>
      </c>
      <c r="W4414" s="2">
        <f>11.098*S4414</f>
        <v>22.196000000000002</v>
      </c>
      <c r="X4414" s="5">
        <f t="shared" si="658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54"/>
        <v>21.904</v>
      </c>
      <c r="AL4414" s="5">
        <f t="shared" si="655"/>
        <v>0.49668934240362811</v>
      </c>
    </row>
    <row r="4415" spans="1:38" x14ac:dyDescent="0.2">
      <c r="A4415" s="2">
        <v>2026</v>
      </c>
      <c r="B4415" s="2">
        <v>7</v>
      </c>
      <c r="C4415" s="2" t="s">
        <v>3431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56"/>
        <v>1.84</v>
      </c>
      <c r="V4415" s="2">
        <f t="shared" si="657"/>
        <v>9.84</v>
      </c>
      <c r="X4415" s="5">
        <f t="shared" si="658"/>
        <v>1</v>
      </c>
      <c r="Z4415" s="2" t="s">
        <v>170</v>
      </c>
      <c r="AA4415" s="2" t="s">
        <v>170</v>
      </c>
      <c r="AK4415" s="2">
        <f t="shared" si="654"/>
        <v>8</v>
      </c>
      <c r="AL4415" s="5">
        <f t="shared" si="655"/>
        <v>1</v>
      </c>
    </row>
    <row r="4416" spans="1:38" x14ac:dyDescent="0.2">
      <c r="A4416" s="2">
        <v>2026</v>
      </c>
      <c r="B4416" s="2">
        <v>7</v>
      </c>
      <c r="C4416" s="2" t="s">
        <v>3307</v>
      </c>
      <c r="D4416" s="15" t="s">
        <v>2789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56"/>
        <v>13.144500000000001</v>
      </c>
      <c r="V4416" s="2">
        <f t="shared" si="657"/>
        <v>70.294499999999999</v>
      </c>
      <c r="W4416" s="2">
        <f>5.3525*S4416</f>
        <v>21.41</v>
      </c>
      <c r="X4416" s="5">
        <f t="shared" si="658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54"/>
        <v>35.739999999999995</v>
      </c>
      <c r="AL4416" s="5">
        <f t="shared" si="655"/>
        <v>0.62537182852143469</v>
      </c>
    </row>
    <row r="4417" spans="1:38" x14ac:dyDescent="0.2">
      <c r="A4417" s="2">
        <v>2026</v>
      </c>
      <c r="B4417" s="2">
        <v>7</v>
      </c>
      <c r="C4417" s="2" t="s">
        <v>3307</v>
      </c>
      <c r="D4417" s="15" t="s">
        <v>2789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56"/>
        <v>1.84</v>
      </c>
      <c r="V4417" s="2">
        <f t="shared" si="657"/>
        <v>9.84</v>
      </c>
      <c r="X4417" s="5">
        <f t="shared" si="658"/>
        <v>1</v>
      </c>
      <c r="Z4417" s="2" t="s">
        <v>170</v>
      </c>
      <c r="AA4417" s="2" t="s">
        <v>170</v>
      </c>
      <c r="AK4417" s="2">
        <f t="shared" si="654"/>
        <v>8</v>
      </c>
      <c r="AL4417" s="5">
        <f t="shared" si="655"/>
        <v>1</v>
      </c>
    </row>
    <row r="4418" spans="1:38" x14ac:dyDescent="0.2">
      <c r="A4418" s="2">
        <v>2026</v>
      </c>
      <c r="B4418" s="2">
        <v>7</v>
      </c>
      <c r="C4418" s="2" t="s">
        <v>3306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57"/>
        <v>577.91999999999996</v>
      </c>
      <c r="W4418" s="2">
        <v>344.89339999999999</v>
      </c>
      <c r="X4418" s="5">
        <f t="shared" si="658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54"/>
        <v>233.02659999999997</v>
      </c>
      <c r="AL4418" s="5">
        <f t="shared" si="655"/>
        <v>0.40321601605758584</v>
      </c>
    </row>
    <row r="4419" spans="1:38" x14ac:dyDescent="0.2">
      <c r="A4419" s="2">
        <v>2026</v>
      </c>
      <c r="B4419" s="2">
        <v>7</v>
      </c>
      <c r="C4419" s="2" t="s">
        <v>3306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56"/>
        <v>3220</v>
      </c>
      <c r="V4419" s="2">
        <f t="shared" si="657"/>
        <v>17220</v>
      </c>
      <c r="W4419" s="2">
        <f>10699.41+285.74</f>
        <v>10985.15</v>
      </c>
      <c r="X4419" s="5">
        <f t="shared" si="658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54"/>
        <v>3014.8500000000004</v>
      </c>
      <c r="AL4419" s="5">
        <f t="shared" si="655"/>
        <v>0.21534642857142861</v>
      </c>
    </row>
    <row r="4420" spans="1:38" x14ac:dyDescent="0.2">
      <c r="A4420" s="2">
        <v>2026</v>
      </c>
      <c r="B4420" s="2">
        <v>7</v>
      </c>
      <c r="C4420" s="2" t="s">
        <v>3306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56"/>
        <v>48.300000000000004</v>
      </c>
      <c r="V4420" s="2">
        <f t="shared" si="657"/>
        <v>258.3</v>
      </c>
      <c r="W4420" s="2">
        <f>113.905+11.25</f>
        <v>125.155</v>
      </c>
      <c r="X4420" s="5">
        <f t="shared" si="658"/>
        <v>0.40402380952380951</v>
      </c>
      <c r="Z4420" s="2" t="s">
        <v>3237</v>
      </c>
      <c r="AA4420" s="2" t="s">
        <v>76</v>
      </c>
      <c r="AB4420" s="2" t="s">
        <v>77</v>
      </c>
      <c r="AC4420" s="2" t="s">
        <v>78</v>
      </c>
      <c r="AK4420" s="2">
        <f t="shared" si="654"/>
        <v>84.844999999999999</v>
      </c>
      <c r="AL4420" s="5">
        <f t="shared" si="655"/>
        <v>0.40402380952380951</v>
      </c>
    </row>
    <row r="4421" spans="1:38" ht="12" customHeight="1" x14ac:dyDescent="0.2">
      <c r="A4421" s="2">
        <v>2026</v>
      </c>
      <c r="B4421" s="2">
        <v>7</v>
      </c>
      <c r="C4421" s="2" t="s">
        <v>3306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56"/>
        <v>0.34040000000000004</v>
      </c>
      <c r="V4421" s="2">
        <f t="shared" si="657"/>
        <v>1.8204</v>
      </c>
      <c r="W4421" s="2">
        <v>1.48</v>
      </c>
      <c r="X4421" s="5">
        <f t="shared" si="658"/>
        <v>0</v>
      </c>
      <c r="Z4421" s="2" t="s">
        <v>3237</v>
      </c>
      <c r="AA4421" s="2" t="s">
        <v>97</v>
      </c>
      <c r="AB4421" s="2" t="s">
        <v>77</v>
      </c>
      <c r="AC4421" s="2" t="s">
        <v>94</v>
      </c>
      <c r="AK4421" s="2">
        <f t="shared" si="654"/>
        <v>0</v>
      </c>
      <c r="AL4421" s="5">
        <f t="shared" si="655"/>
        <v>0</v>
      </c>
    </row>
    <row r="4422" spans="1:38" x14ac:dyDescent="0.2">
      <c r="A4422" s="2">
        <v>2026</v>
      </c>
      <c r="B4422" s="2">
        <v>7</v>
      </c>
      <c r="C4422" s="2" t="s">
        <v>3306</v>
      </c>
      <c r="D4422" s="15" t="s">
        <v>636</v>
      </c>
      <c r="M4422" s="2" t="s">
        <v>40</v>
      </c>
      <c r="P4422" s="2" t="s">
        <v>115</v>
      </c>
      <c r="Q4422" s="16" t="s">
        <v>3372</v>
      </c>
      <c r="R4422" s="15" t="s">
        <v>3373</v>
      </c>
      <c r="S4422" s="13">
        <v>1</v>
      </c>
      <c r="T4422" s="14">
        <v>103.55</v>
      </c>
      <c r="U4422" s="2">
        <f t="shared" si="656"/>
        <v>23.816500000000001</v>
      </c>
      <c r="V4422" s="2">
        <f t="shared" si="657"/>
        <v>127.3665</v>
      </c>
      <c r="W4422" s="2">
        <f>57.53+1</f>
        <v>58.53</v>
      </c>
      <c r="X4422" s="5">
        <f t="shared" si="658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54"/>
        <v>45.019999999999996</v>
      </c>
      <c r="AL4422" s="5">
        <f t="shared" si="655"/>
        <v>0.43476581361661032</v>
      </c>
    </row>
    <row r="4423" spans="1:38" x14ac:dyDescent="0.2">
      <c r="A4423" s="2">
        <v>2026</v>
      </c>
      <c r="B4423" s="2">
        <v>7</v>
      </c>
      <c r="C4423" s="2" t="s">
        <v>3305</v>
      </c>
      <c r="D4423" s="15" t="s">
        <v>3354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3098</v>
      </c>
      <c r="R4423" s="15" t="s">
        <v>3099</v>
      </c>
      <c r="S4423" s="13">
        <v>1</v>
      </c>
      <c r="T4423" s="14">
        <v>2490</v>
      </c>
      <c r="U4423" s="2">
        <f t="shared" si="656"/>
        <v>572.70000000000005</v>
      </c>
      <c r="V4423" s="2">
        <f t="shared" si="657"/>
        <v>3062.7</v>
      </c>
      <c r="W4423" s="2">
        <f>1907.5+49</f>
        <v>1956.5</v>
      </c>
      <c r="X4423" s="5">
        <f t="shared" si="658"/>
        <v>0.21425702811244979</v>
      </c>
      <c r="Z4423" s="2" t="s">
        <v>105</v>
      </c>
      <c r="AA4423" s="2" t="s">
        <v>388</v>
      </c>
      <c r="AB4423" s="2" t="s">
        <v>1334</v>
      </c>
      <c r="AC4423" s="2" t="s">
        <v>1331</v>
      </c>
      <c r="AK4423" s="2">
        <f t="shared" si="654"/>
        <v>533.5</v>
      </c>
      <c r="AL4423" s="5">
        <f t="shared" si="655"/>
        <v>0.21425702811244979</v>
      </c>
    </row>
    <row r="4424" spans="1:38" x14ac:dyDescent="0.2">
      <c r="A4424" s="2">
        <v>2026</v>
      </c>
      <c r="B4424" s="2">
        <v>7</v>
      </c>
      <c r="C4424" s="2" t="s">
        <v>3306</v>
      </c>
      <c r="D4424" s="15" t="s">
        <v>1123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3256</v>
      </c>
      <c r="J4424" s="2" t="s">
        <v>3257</v>
      </c>
      <c r="K4424" s="2">
        <v>96179412</v>
      </c>
      <c r="L4424" s="2" t="s">
        <v>462</v>
      </c>
      <c r="M4424" s="2" t="s">
        <v>40</v>
      </c>
      <c r="O4424" s="2" t="s">
        <v>3388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56"/>
        <v>160.839</v>
      </c>
      <c r="V4424" s="2">
        <f t="shared" si="657"/>
        <v>860.1389999999999</v>
      </c>
      <c r="W4424" s="2">
        <v>343.38580000000002</v>
      </c>
      <c r="X4424" s="5">
        <f t="shared" si="658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54"/>
        <v>355.91419999999994</v>
      </c>
      <c r="AL4424" s="5">
        <f t="shared" si="655"/>
        <v>0.50895781495781489</v>
      </c>
    </row>
    <row r="4425" spans="1:38" x14ac:dyDescent="0.2">
      <c r="A4425" s="2">
        <v>2026</v>
      </c>
      <c r="B4425" s="2">
        <v>7</v>
      </c>
      <c r="C4425" s="2" t="s">
        <v>3306</v>
      </c>
      <c r="D4425" s="15" t="s">
        <v>1123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3256</v>
      </c>
      <c r="J4425" s="2" t="s">
        <v>3257</v>
      </c>
      <c r="K4425" s="2">
        <v>96179412</v>
      </c>
      <c r="L4425" s="2" t="s">
        <v>462</v>
      </c>
      <c r="M4425" s="2" t="s">
        <v>40</v>
      </c>
      <c r="O4425" s="2" t="s">
        <v>3388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56"/>
        <v>56.580000000000005</v>
      </c>
      <c r="V4425" s="2">
        <f t="shared" si="657"/>
        <v>302.58</v>
      </c>
      <c r="W4425" s="2">
        <f>T4425*40%</f>
        <v>98.4</v>
      </c>
      <c r="X4425" s="5">
        <f t="shared" si="658"/>
        <v>0.6</v>
      </c>
      <c r="Z4425" s="2" t="s">
        <v>118</v>
      </c>
      <c r="AA4425" s="2" t="s">
        <v>191</v>
      </c>
      <c r="AK4425" s="2">
        <f t="shared" si="654"/>
        <v>147.6</v>
      </c>
      <c r="AL4425" s="5">
        <f t="shared" si="655"/>
        <v>0.6</v>
      </c>
    </row>
    <row r="4426" spans="1:38" x14ac:dyDescent="0.2">
      <c r="A4426" s="2">
        <v>2026</v>
      </c>
      <c r="B4426" s="2">
        <v>7</v>
      </c>
      <c r="C4426" s="2" t="s">
        <v>3306</v>
      </c>
      <c r="D4426" s="15" t="s">
        <v>1123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3256</v>
      </c>
      <c r="J4426" s="2" t="s">
        <v>3257</v>
      </c>
      <c r="K4426" s="2">
        <v>96179412</v>
      </c>
      <c r="L4426" s="2" t="s">
        <v>462</v>
      </c>
      <c r="M4426" s="2" t="s">
        <v>40</v>
      </c>
      <c r="O4426" s="2" t="s">
        <v>3388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56"/>
        <v>18.975000000000001</v>
      </c>
      <c r="V4426" s="2">
        <f t="shared" si="657"/>
        <v>101.47499999999999</v>
      </c>
      <c r="W4426" s="2">
        <f>T4426*50%</f>
        <v>41.25</v>
      </c>
      <c r="X4426" s="5">
        <f t="shared" si="658"/>
        <v>0.5</v>
      </c>
      <c r="Z4426" s="2" t="s">
        <v>118</v>
      </c>
      <c r="AA4426" s="2" t="s">
        <v>191</v>
      </c>
      <c r="AK4426" s="2">
        <f t="shared" si="654"/>
        <v>41.25</v>
      </c>
      <c r="AL4426" s="5">
        <f t="shared" si="655"/>
        <v>0.5</v>
      </c>
    </row>
    <row r="4427" spans="1:38" x14ac:dyDescent="0.2">
      <c r="A4427" s="2">
        <v>2026</v>
      </c>
      <c r="B4427" s="2">
        <v>7</v>
      </c>
      <c r="C4427" s="2" t="s">
        <v>3307</v>
      </c>
      <c r="D4427" s="15" t="s">
        <v>3355</v>
      </c>
      <c r="E4427" s="2" t="s">
        <v>38</v>
      </c>
      <c r="F4427" s="2" t="s">
        <v>39</v>
      </c>
      <c r="H4427" s="2" t="s">
        <v>40</v>
      </c>
      <c r="I4427" s="2" t="s">
        <v>3387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56"/>
        <v>52.900000000000006</v>
      </c>
      <c r="V4427" s="2">
        <f t="shared" si="657"/>
        <v>282.89999999999998</v>
      </c>
      <c r="W4427" s="2">
        <v>125.51600000000001</v>
      </c>
      <c r="X4427" s="5">
        <f t="shared" si="658"/>
        <v>0.45427826086956519</v>
      </c>
      <c r="Z4427" s="2" t="s">
        <v>3237</v>
      </c>
      <c r="AA4427" s="2" t="s">
        <v>76</v>
      </c>
      <c r="AB4427" s="2" t="s">
        <v>77</v>
      </c>
      <c r="AC4427" s="2" t="s">
        <v>78</v>
      </c>
      <c r="AK4427" s="2">
        <f t="shared" si="654"/>
        <v>104.48399999999999</v>
      </c>
      <c r="AL4427" s="5">
        <f t="shared" si="655"/>
        <v>0.45427826086956519</v>
      </c>
    </row>
    <row r="4428" spans="1:38" x14ac:dyDescent="0.2">
      <c r="A4428" s="2">
        <v>2026</v>
      </c>
      <c r="B4428" s="2">
        <v>7</v>
      </c>
      <c r="C4428" s="2" t="s">
        <v>3307</v>
      </c>
      <c r="D4428" s="15" t="s">
        <v>3355</v>
      </c>
      <c r="E4428" s="2" t="s">
        <v>38</v>
      </c>
      <c r="F4428" s="2" t="s">
        <v>39</v>
      </c>
      <c r="H4428" s="2" t="s">
        <v>40</v>
      </c>
      <c r="I4428" s="2" t="s">
        <v>3387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56"/>
        <v>0.34040000000000004</v>
      </c>
      <c r="V4428" s="2">
        <f t="shared" si="657"/>
        <v>1.8204</v>
      </c>
      <c r="W4428" s="2">
        <v>1.48</v>
      </c>
      <c r="X4428" s="5">
        <f t="shared" si="658"/>
        <v>0</v>
      </c>
      <c r="Z4428" s="2" t="s">
        <v>3237</v>
      </c>
      <c r="AA4428" s="2" t="s">
        <v>97</v>
      </c>
      <c r="AB4428" s="2" t="s">
        <v>77</v>
      </c>
      <c r="AC4428" s="2" t="s">
        <v>94</v>
      </c>
      <c r="AK4428" s="2">
        <f t="shared" si="654"/>
        <v>0</v>
      </c>
      <c r="AL4428" s="5">
        <f t="shared" si="655"/>
        <v>0</v>
      </c>
    </row>
    <row r="4429" spans="1:38" x14ac:dyDescent="0.2">
      <c r="A4429" s="2">
        <v>2026</v>
      </c>
      <c r="B4429" s="2">
        <v>7</v>
      </c>
      <c r="C4429" s="2" t="s">
        <v>3307</v>
      </c>
      <c r="D4429" s="15" t="s">
        <v>1316</v>
      </c>
      <c r="E4429" s="2" t="s">
        <v>38</v>
      </c>
      <c r="F4429" s="2" t="s">
        <v>39</v>
      </c>
      <c r="G4429" s="2">
        <v>509512739</v>
      </c>
      <c r="H4429" s="2" t="s">
        <v>41</v>
      </c>
      <c r="I4429" s="2" t="s">
        <v>178</v>
      </c>
      <c r="J4429" s="2" t="s">
        <v>1317</v>
      </c>
      <c r="L4429" s="2" t="s">
        <v>178</v>
      </c>
      <c r="M4429" s="2" t="s">
        <v>41</v>
      </c>
      <c r="O4429" s="2" t="s">
        <v>3386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56"/>
        <v>4.83</v>
      </c>
      <c r="V4429" s="2">
        <f t="shared" si="657"/>
        <v>25.83</v>
      </c>
      <c r="W4429" s="2">
        <f>9.3*S4429</f>
        <v>9.3000000000000007</v>
      </c>
      <c r="X4429" s="5">
        <f t="shared" si="658"/>
        <v>0.55714285714285716</v>
      </c>
      <c r="Z4429" s="2" t="s">
        <v>3237</v>
      </c>
      <c r="AA4429" s="2" t="s">
        <v>46</v>
      </c>
      <c r="AB4429" s="2" t="s">
        <v>47</v>
      </c>
      <c r="AC4429" s="2" t="s">
        <v>48</v>
      </c>
      <c r="AK4429" s="2">
        <f t="shared" si="654"/>
        <v>11.7</v>
      </c>
      <c r="AL4429" s="5">
        <f t="shared" si="655"/>
        <v>0.55714285714285716</v>
      </c>
    </row>
    <row r="4430" spans="1:38" x14ac:dyDescent="0.2">
      <c r="A4430" s="2">
        <v>2026</v>
      </c>
      <c r="B4430" s="2">
        <v>7</v>
      </c>
      <c r="C4430" s="2" t="s">
        <v>3307</v>
      </c>
      <c r="D4430" s="15" t="s">
        <v>1316</v>
      </c>
      <c r="E4430" s="2" t="s">
        <v>38</v>
      </c>
      <c r="F4430" s="2" t="s">
        <v>39</v>
      </c>
      <c r="G4430" s="2">
        <v>509512739</v>
      </c>
      <c r="H4430" s="2" t="s">
        <v>41</v>
      </c>
      <c r="I4430" s="2" t="s">
        <v>178</v>
      </c>
      <c r="J4430" s="2" t="s">
        <v>1317</v>
      </c>
      <c r="L4430" s="2" t="s">
        <v>178</v>
      </c>
      <c r="M4430" s="2" t="s">
        <v>41</v>
      </c>
      <c r="O4430" s="2" t="s">
        <v>3386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56"/>
        <v>8.2800000000000011</v>
      </c>
      <c r="V4430" s="2">
        <f t="shared" si="657"/>
        <v>44.28</v>
      </c>
      <c r="W4430" s="2">
        <f>10.6*S4430</f>
        <v>21.2</v>
      </c>
      <c r="X4430" s="5">
        <f t="shared" si="658"/>
        <v>0.41111111111111115</v>
      </c>
      <c r="Z4430" s="2" t="s">
        <v>3237</v>
      </c>
      <c r="AK4430" s="2">
        <f t="shared" si="654"/>
        <v>14.8</v>
      </c>
      <c r="AL4430" s="5">
        <f t="shared" si="655"/>
        <v>0.41111111111111115</v>
      </c>
    </row>
    <row r="4431" spans="1:38" x14ac:dyDescent="0.2">
      <c r="A4431" s="2">
        <v>2026</v>
      </c>
      <c r="B4431" s="2">
        <v>7</v>
      </c>
      <c r="C4431" s="2" t="s">
        <v>3307</v>
      </c>
      <c r="D4431" s="15" t="s">
        <v>1316</v>
      </c>
      <c r="E4431" s="2" t="s">
        <v>38</v>
      </c>
      <c r="F4431" s="2" t="s">
        <v>39</v>
      </c>
      <c r="G4431" s="2">
        <v>509512739</v>
      </c>
      <c r="H4431" s="2" t="s">
        <v>41</v>
      </c>
      <c r="I4431" s="2" t="s">
        <v>178</v>
      </c>
      <c r="J4431" s="2" t="s">
        <v>1317</v>
      </c>
      <c r="L4431" s="2" t="s">
        <v>178</v>
      </c>
      <c r="M4431" s="2" t="s">
        <v>41</v>
      </c>
      <c r="O4431" s="2" t="s">
        <v>3386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56"/>
        <v>3.22</v>
      </c>
      <c r="V4431" s="2">
        <f t="shared" si="657"/>
        <v>17.22</v>
      </c>
      <c r="W4431" s="2">
        <f>0.0914*S4431</f>
        <v>9.1399999999999988</v>
      </c>
      <c r="X4431" s="5">
        <f t="shared" si="658"/>
        <v>0.34714285714285725</v>
      </c>
      <c r="Z4431" s="2" t="s">
        <v>3237</v>
      </c>
      <c r="AA4431" s="2" t="s">
        <v>46</v>
      </c>
      <c r="AB4431" s="2" t="s">
        <v>61</v>
      </c>
      <c r="AC4431" s="2" t="s">
        <v>58</v>
      </c>
      <c r="AK4431" s="2">
        <f t="shared" si="654"/>
        <v>4.8600000000000012</v>
      </c>
      <c r="AL4431" s="5">
        <f t="shared" si="655"/>
        <v>0.34714285714285725</v>
      </c>
    </row>
    <row r="4432" spans="1:38" x14ac:dyDescent="0.2">
      <c r="A4432" s="2">
        <v>2026</v>
      </c>
      <c r="B4432" s="2">
        <v>7</v>
      </c>
      <c r="C4432" s="2" t="s">
        <v>3306</v>
      </c>
      <c r="D4432" s="15" t="s">
        <v>1128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3385</v>
      </c>
      <c r="P4432" s="2" t="s">
        <v>115</v>
      </c>
      <c r="Q4432" s="16" t="s">
        <v>3374</v>
      </c>
      <c r="R4432" s="15" t="s">
        <v>3375</v>
      </c>
      <c r="S4432" s="13">
        <v>12</v>
      </c>
      <c r="T4432" s="14">
        <v>157.75</v>
      </c>
      <c r="U4432" s="2">
        <f t="shared" si="656"/>
        <v>36.282499999999999</v>
      </c>
      <c r="V4432" s="2">
        <f t="shared" si="657"/>
        <v>194.0325</v>
      </c>
      <c r="W4432" s="2">
        <f>6.26*S4432</f>
        <v>75.12</v>
      </c>
      <c r="X4432" s="5">
        <f t="shared" si="658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x14ac:dyDescent="0.2">
      <c r="A4433" s="2">
        <v>2026</v>
      </c>
      <c r="B4433" s="2">
        <v>7</v>
      </c>
      <c r="C4433" s="2" t="s">
        <v>3306</v>
      </c>
      <c r="D4433" s="15" t="s">
        <v>1128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3385</v>
      </c>
      <c r="P4433" s="2" t="s">
        <v>115</v>
      </c>
      <c r="Q4433" s="16" t="s">
        <v>3376</v>
      </c>
      <c r="R4433" s="15" t="s">
        <v>3377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58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x14ac:dyDescent="0.2">
      <c r="A4434" s="2">
        <v>2026</v>
      </c>
      <c r="B4434" s="2">
        <v>7</v>
      </c>
      <c r="C4434" s="2" t="s">
        <v>3306</v>
      </c>
      <c r="D4434" s="15" t="s">
        <v>1128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3385</v>
      </c>
      <c r="P4434" s="2" t="s">
        <v>115</v>
      </c>
      <c r="Q4434" s="16" t="s">
        <v>3378</v>
      </c>
      <c r="R4434" s="15" t="s">
        <v>3379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58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x14ac:dyDescent="0.2">
      <c r="A4435" s="2">
        <v>2026</v>
      </c>
      <c r="B4435" s="2">
        <v>7</v>
      </c>
      <c r="C4435" s="2" t="s">
        <v>3439</v>
      </c>
      <c r="D4435" s="2" t="s">
        <v>37</v>
      </c>
      <c r="E4435" s="2" t="s">
        <v>38</v>
      </c>
      <c r="F4435" s="2" t="s">
        <v>39</v>
      </c>
      <c r="L4435" s="2" t="s">
        <v>3281</v>
      </c>
      <c r="M4435" s="2" t="s">
        <v>81</v>
      </c>
      <c r="P4435" s="2" t="s">
        <v>43</v>
      </c>
      <c r="Q4435" s="23" t="s">
        <v>55</v>
      </c>
      <c r="R4435" s="23" t="s">
        <v>56</v>
      </c>
      <c r="S4435" s="21">
        <v>3</v>
      </c>
      <c r="T4435" s="22">
        <v>48</v>
      </c>
      <c r="U4435" s="2">
        <f>T4435*23%</f>
        <v>11.040000000000001</v>
      </c>
      <c r="V4435" s="2">
        <f>T4435+U4435</f>
        <v>59.04</v>
      </c>
      <c r="W4435" s="2">
        <f>10.6*S4435</f>
        <v>31.799999999999997</v>
      </c>
      <c r="X4435" s="5">
        <f t="shared" si="658"/>
        <v>0.33750000000000008</v>
      </c>
      <c r="Z4435" s="2" t="s">
        <v>3237</v>
      </c>
      <c r="AK4435" s="2">
        <f t="shared" ref="AK4435:AK4445" si="659">T4435-W4435</f>
        <v>16.200000000000003</v>
      </c>
      <c r="AL4435" s="5">
        <f t="shared" ref="AL4435:AL4445" si="660">(T4435-W4435)/T4435</f>
        <v>0.33750000000000008</v>
      </c>
    </row>
    <row r="4436" spans="1:38" x14ac:dyDescent="0.2">
      <c r="A4436" s="2">
        <v>2026</v>
      </c>
      <c r="B4436" s="2">
        <v>7</v>
      </c>
      <c r="C4436" s="2" t="s">
        <v>3439</v>
      </c>
      <c r="D4436" s="2" t="s">
        <v>37</v>
      </c>
      <c r="E4436" s="2" t="s">
        <v>38</v>
      </c>
      <c r="F4436" s="2" t="s">
        <v>39</v>
      </c>
      <c r="L4436" s="2" t="s">
        <v>3281</v>
      </c>
      <c r="M4436" s="2" t="s">
        <v>81</v>
      </c>
      <c r="P4436" s="2" t="s">
        <v>43</v>
      </c>
      <c r="Q4436" s="23" t="s">
        <v>62</v>
      </c>
      <c r="R4436" s="23" t="s">
        <v>63</v>
      </c>
      <c r="S4436" s="21">
        <v>700</v>
      </c>
      <c r="T4436" s="22">
        <v>70</v>
      </c>
      <c r="U4436" s="2">
        <f t="shared" ref="U4436:U4445" si="661">T4436*23%</f>
        <v>16.100000000000001</v>
      </c>
      <c r="V4436" s="2">
        <f t="shared" ref="V4436:V4445" si="662">T4436+U4436</f>
        <v>86.1</v>
      </c>
      <c r="X4436" s="5">
        <f t="shared" si="658"/>
        <v>1</v>
      </c>
      <c r="Z4436" s="2" t="s">
        <v>3237</v>
      </c>
      <c r="AK4436" s="2">
        <f t="shared" si="659"/>
        <v>70</v>
      </c>
      <c r="AL4436" s="5">
        <f t="shared" si="660"/>
        <v>1</v>
      </c>
    </row>
    <row r="4437" spans="1:38" x14ac:dyDescent="0.2">
      <c r="A4437" s="2">
        <v>2026</v>
      </c>
      <c r="B4437" s="2">
        <v>7</v>
      </c>
      <c r="C4437" s="2" t="s">
        <v>3439</v>
      </c>
      <c r="D4437" s="23" t="s">
        <v>1550</v>
      </c>
      <c r="L4437" s="2" t="s">
        <v>178</v>
      </c>
      <c r="M4437" s="2" t="s">
        <v>40</v>
      </c>
      <c r="P4437" s="2" t="s">
        <v>115</v>
      </c>
      <c r="Q4437" s="23" t="s">
        <v>562</v>
      </c>
      <c r="R4437" s="23" t="s">
        <v>563</v>
      </c>
      <c r="S4437" s="21">
        <v>1</v>
      </c>
      <c r="T4437" s="22">
        <v>14.29</v>
      </c>
      <c r="U4437" s="2">
        <f t="shared" si="661"/>
        <v>3.2866999999999997</v>
      </c>
      <c r="V4437" s="2">
        <f t="shared" si="662"/>
        <v>17.576699999999999</v>
      </c>
      <c r="W4437" s="2">
        <v>5.3525</v>
      </c>
      <c r="X4437" s="5">
        <f t="shared" si="658"/>
        <v>0.62543736878936318</v>
      </c>
      <c r="Z4437" s="2" t="s">
        <v>118</v>
      </c>
      <c r="AA4437" s="2" t="s">
        <v>119</v>
      </c>
      <c r="AB4437" s="2" t="s">
        <v>120</v>
      </c>
      <c r="AC4437" s="2" t="s">
        <v>115</v>
      </c>
      <c r="AK4437" s="2">
        <f t="shared" si="659"/>
        <v>8.9375</v>
      </c>
      <c r="AL4437" s="5">
        <f t="shared" si="660"/>
        <v>0.62543736878936318</v>
      </c>
    </row>
    <row r="4438" spans="1:38" x14ac:dyDescent="0.2">
      <c r="A4438" s="2">
        <v>2026</v>
      </c>
      <c r="B4438" s="2">
        <v>7</v>
      </c>
      <c r="C4438" s="2" t="s">
        <v>3439</v>
      </c>
      <c r="D4438" s="23" t="s">
        <v>2782</v>
      </c>
      <c r="E4438" s="2" t="s">
        <v>109</v>
      </c>
      <c r="F4438" s="2" t="s">
        <v>39</v>
      </c>
      <c r="L4438" s="2" t="s">
        <v>2446</v>
      </c>
      <c r="M4438" s="2" t="s">
        <v>40</v>
      </c>
      <c r="P4438" s="2" t="s">
        <v>115</v>
      </c>
      <c r="Q4438" s="23" t="s">
        <v>468</v>
      </c>
      <c r="R4438" s="23" t="s">
        <v>469</v>
      </c>
      <c r="S4438" s="21">
        <v>1</v>
      </c>
      <c r="T4438" s="22">
        <v>418.99</v>
      </c>
      <c r="U4438" s="2">
        <f t="shared" si="661"/>
        <v>96.367699999999999</v>
      </c>
      <c r="V4438" s="2">
        <f t="shared" si="662"/>
        <v>515.35770000000002</v>
      </c>
      <c r="W4438" s="2">
        <v>237.8466</v>
      </c>
      <c r="X4438" s="5">
        <f t="shared" si="658"/>
        <v>0.43233346857920241</v>
      </c>
      <c r="Z4438" s="2" t="s">
        <v>118</v>
      </c>
      <c r="AA4438" s="2" t="s">
        <v>119</v>
      </c>
      <c r="AB4438" s="2" t="s">
        <v>120</v>
      </c>
      <c r="AC4438" s="2" t="s">
        <v>115</v>
      </c>
      <c r="AK4438" s="2">
        <f t="shared" si="659"/>
        <v>181.14340000000001</v>
      </c>
      <c r="AL4438" s="5">
        <f t="shared" si="660"/>
        <v>0.43233346857920241</v>
      </c>
    </row>
    <row r="4439" spans="1:38" x14ac:dyDescent="0.2">
      <c r="A4439" s="2">
        <v>2026</v>
      </c>
      <c r="B4439" s="2">
        <v>7</v>
      </c>
      <c r="C4439" s="2" t="s">
        <v>3439</v>
      </c>
      <c r="D4439" s="23" t="s">
        <v>2782</v>
      </c>
      <c r="E4439" s="2" t="s">
        <v>109</v>
      </c>
      <c r="F4439" s="2" t="s">
        <v>39</v>
      </c>
      <c r="L4439" s="2" t="s">
        <v>2446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99</v>
      </c>
      <c r="U4439" s="2">
        <f t="shared" si="661"/>
        <v>22.77</v>
      </c>
      <c r="V4439" s="2">
        <f t="shared" si="662"/>
        <v>121.77</v>
      </c>
      <c r="W4439" s="2">
        <f>T4439*40%</f>
        <v>39.6</v>
      </c>
      <c r="X4439" s="5">
        <f t="shared" si="658"/>
        <v>0.6</v>
      </c>
      <c r="Z4439" s="2" t="s">
        <v>118</v>
      </c>
      <c r="AA4439" s="2" t="s">
        <v>3442</v>
      </c>
      <c r="AK4439" s="2">
        <f t="shared" si="659"/>
        <v>59.4</v>
      </c>
      <c r="AL4439" s="5">
        <f t="shared" si="660"/>
        <v>0.6</v>
      </c>
    </row>
    <row r="4440" spans="1:38" x14ac:dyDescent="0.2">
      <c r="A4440" s="2">
        <v>2026</v>
      </c>
      <c r="B4440" s="2">
        <v>7</v>
      </c>
      <c r="C4440" s="2" t="s">
        <v>3439</v>
      </c>
      <c r="D4440" s="23" t="s">
        <v>2782</v>
      </c>
      <c r="E4440" s="2" t="s">
        <v>109</v>
      </c>
      <c r="F4440" s="2" t="s">
        <v>39</v>
      </c>
      <c r="L4440" s="2" t="s">
        <v>2446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1</v>
      </c>
      <c r="T4440" s="22">
        <v>49.5</v>
      </c>
      <c r="U4440" s="2">
        <f t="shared" si="661"/>
        <v>11.385</v>
      </c>
      <c r="V4440" s="2">
        <f t="shared" si="662"/>
        <v>60.884999999999998</v>
      </c>
      <c r="W4440" s="2">
        <f>T4440*50%</f>
        <v>24.75</v>
      </c>
      <c r="X4440" s="5">
        <f t="shared" si="658"/>
        <v>0.5</v>
      </c>
      <c r="Z4440" s="2" t="s">
        <v>118</v>
      </c>
      <c r="AA4440" s="2" t="s">
        <v>3442</v>
      </c>
      <c r="AK4440" s="2">
        <f t="shared" si="659"/>
        <v>24.75</v>
      </c>
      <c r="AL4440" s="5">
        <f t="shared" si="660"/>
        <v>0.5</v>
      </c>
    </row>
    <row r="4441" spans="1:38" x14ac:dyDescent="0.2">
      <c r="A4441" s="2">
        <v>2026</v>
      </c>
      <c r="B4441" s="2">
        <v>7</v>
      </c>
      <c r="C4441" s="2" t="s">
        <v>3439</v>
      </c>
      <c r="D4441" s="23" t="s">
        <v>1580</v>
      </c>
      <c r="E4441" s="2" t="s">
        <v>754</v>
      </c>
      <c r="F4441" s="2" t="s">
        <v>39</v>
      </c>
      <c r="L4441" s="2" t="s">
        <v>462</v>
      </c>
      <c r="M4441" s="2" t="s">
        <v>110</v>
      </c>
      <c r="P4441" s="2" t="s">
        <v>283</v>
      </c>
      <c r="Q4441" s="23" t="s">
        <v>3005</v>
      </c>
      <c r="R4441" s="23" t="s">
        <v>3006</v>
      </c>
      <c r="S4441" s="21">
        <v>1</v>
      </c>
      <c r="T4441" s="22">
        <v>1130.5</v>
      </c>
      <c r="U4441" s="2">
        <f t="shared" si="661"/>
        <v>260.01499999999999</v>
      </c>
      <c r="V4441" s="2">
        <f t="shared" si="662"/>
        <v>1390.5149999999999</v>
      </c>
      <c r="W4441" s="2">
        <v>773.5</v>
      </c>
      <c r="X4441" s="5">
        <f t="shared" si="658"/>
        <v>0.31578947368421051</v>
      </c>
      <c r="Z4441" s="2" t="s">
        <v>105</v>
      </c>
      <c r="AA4441" s="2" t="s">
        <v>182</v>
      </c>
      <c r="AB4441" s="2" t="s">
        <v>120</v>
      </c>
      <c r="AC4441" s="2" t="s">
        <v>1331</v>
      </c>
      <c r="AK4441" s="2">
        <f t="shared" si="659"/>
        <v>357</v>
      </c>
      <c r="AL4441" s="5">
        <f t="shared" si="660"/>
        <v>0.31578947368421051</v>
      </c>
    </row>
    <row r="4442" spans="1:38" x14ac:dyDescent="0.2">
      <c r="A4442" s="2">
        <v>2026</v>
      </c>
      <c r="B4442" s="2">
        <v>7</v>
      </c>
      <c r="C4442" s="2" t="s">
        <v>3439</v>
      </c>
      <c r="D4442" s="23" t="s">
        <v>842</v>
      </c>
      <c r="E4442" s="2" t="s">
        <v>109</v>
      </c>
      <c r="F4442" s="2" t="s">
        <v>843</v>
      </c>
      <c r="G4442" s="2">
        <v>504981285</v>
      </c>
      <c r="H4442" s="2" t="s">
        <v>291</v>
      </c>
      <c r="I4442" s="2" t="s">
        <v>844</v>
      </c>
      <c r="J4442" s="2" t="s">
        <v>845</v>
      </c>
      <c r="K4442" s="2">
        <v>932209225</v>
      </c>
      <c r="L4442" s="2" t="s">
        <v>340</v>
      </c>
      <c r="M4442" s="2" t="s">
        <v>40</v>
      </c>
      <c r="P4442" s="2" t="s">
        <v>188</v>
      </c>
      <c r="Q4442" s="23" t="s">
        <v>189</v>
      </c>
      <c r="R4442" s="23" t="s">
        <v>190</v>
      </c>
      <c r="S4442" s="21">
        <v>1</v>
      </c>
      <c r="T4442" s="22">
        <v>60</v>
      </c>
      <c r="U4442" s="2">
        <f t="shared" si="661"/>
        <v>13.8</v>
      </c>
      <c r="V4442" s="2">
        <f t="shared" si="662"/>
        <v>73.8</v>
      </c>
      <c r="W4442" s="2">
        <f>T4442*40%</f>
        <v>24</v>
      </c>
      <c r="X4442" s="5">
        <f t="shared" si="658"/>
        <v>0.6</v>
      </c>
      <c r="Z4442" s="2" t="s">
        <v>118</v>
      </c>
      <c r="AA4442" s="2" t="s">
        <v>191</v>
      </c>
      <c r="AK4442" s="2">
        <f t="shared" si="659"/>
        <v>36</v>
      </c>
      <c r="AL4442" s="5">
        <f t="shared" si="660"/>
        <v>0.6</v>
      </c>
    </row>
    <row r="4443" spans="1:38" x14ac:dyDescent="0.2">
      <c r="A4443" s="2">
        <v>2026</v>
      </c>
      <c r="B4443" s="2">
        <v>7</v>
      </c>
      <c r="C4443" s="2" t="s">
        <v>3439</v>
      </c>
      <c r="D4443" s="23" t="s">
        <v>842</v>
      </c>
      <c r="E4443" s="2" t="s">
        <v>109</v>
      </c>
      <c r="F4443" s="2" t="s">
        <v>843</v>
      </c>
      <c r="G4443" s="2">
        <v>504981285</v>
      </c>
      <c r="H4443" s="2" t="s">
        <v>291</v>
      </c>
      <c r="I4443" s="2" t="s">
        <v>844</v>
      </c>
      <c r="J4443" s="2" t="s">
        <v>845</v>
      </c>
      <c r="K4443" s="2">
        <v>932209225</v>
      </c>
      <c r="L4443" s="2" t="s">
        <v>340</v>
      </c>
      <c r="M4443" s="2" t="s">
        <v>40</v>
      </c>
      <c r="P4443" s="2" t="s">
        <v>188</v>
      </c>
      <c r="Q4443" s="23" t="s">
        <v>192</v>
      </c>
      <c r="R4443" s="23" t="s">
        <v>191</v>
      </c>
      <c r="S4443" s="21">
        <v>2</v>
      </c>
      <c r="T4443" s="22">
        <v>110</v>
      </c>
      <c r="U4443" s="2">
        <f t="shared" si="661"/>
        <v>25.3</v>
      </c>
      <c r="V4443" s="2">
        <f t="shared" si="662"/>
        <v>135.30000000000001</v>
      </c>
      <c r="W4443" s="2">
        <f>T4443*50%</f>
        <v>55</v>
      </c>
      <c r="X4443" s="5">
        <f t="shared" si="658"/>
        <v>0.5</v>
      </c>
      <c r="Z4443" s="2" t="s">
        <v>118</v>
      </c>
      <c r="AA4443" s="2" t="s">
        <v>191</v>
      </c>
      <c r="AK4443" s="2">
        <f t="shared" si="659"/>
        <v>55</v>
      </c>
      <c r="AL4443" s="5">
        <f t="shared" si="660"/>
        <v>0.5</v>
      </c>
    </row>
    <row r="4444" spans="1:38" x14ac:dyDescent="0.2">
      <c r="A4444" s="2">
        <v>2026</v>
      </c>
      <c r="B4444" s="2">
        <v>7</v>
      </c>
      <c r="C4444" s="2" t="s">
        <v>3439</v>
      </c>
      <c r="D4444" s="23" t="s">
        <v>1629</v>
      </c>
      <c r="E4444" s="2" t="s">
        <v>109</v>
      </c>
      <c r="F4444" s="2" t="s">
        <v>478</v>
      </c>
      <c r="G4444" s="2">
        <v>504161342</v>
      </c>
      <c r="H4444" s="2" t="s">
        <v>291</v>
      </c>
      <c r="I4444" s="2" t="s">
        <v>1630</v>
      </c>
      <c r="J4444" s="2" t="s">
        <v>1631</v>
      </c>
      <c r="L4444" s="2" t="s">
        <v>294</v>
      </c>
      <c r="M4444" s="2" t="s">
        <v>81</v>
      </c>
      <c r="P4444" s="2" t="s">
        <v>73</v>
      </c>
      <c r="Q4444" s="23" t="s">
        <v>307</v>
      </c>
      <c r="R4444" s="23" t="s">
        <v>308</v>
      </c>
      <c r="S4444" s="21">
        <v>1</v>
      </c>
      <c r="T4444" s="22">
        <v>230</v>
      </c>
      <c r="U4444" s="2">
        <f t="shared" si="661"/>
        <v>52.900000000000006</v>
      </c>
      <c r="V4444" s="2">
        <f t="shared" si="662"/>
        <v>282.89999999999998</v>
      </c>
      <c r="W4444" s="2">
        <v>134.57</v>
      </c>
      <c r="X4444" s="5">
        <f t="shared" si="658"/>
        <v>0.41491304347826091</v>
      </c>
      <c r="Z4444" s="2" t="s">
        <v>3237</v>
      </c>
      <c r="AA4444" s="2" t="s">
        <v>76</v>
      </c>
      <c r="AB4444" s="2" t="s">
        <v>77</v>
      </c>
      <c r="AC4444" s="2" t="s">
        <v>78</v>
      </c>
      <c r="AK4444" s="2">
        <f t="shared" si="659"/>
        <v>95.43</v>
      </c>
      <c r="AL4444" s="5">
        <f t="shared" si="660"/>
        <v>0.41491304347826091</v>
      </c>
    </row>
    <row r="4445" spans="1:38" x14ac:dyDescent="0.2">
      <c r="A4445" s="2">
        <v>2026</v>
      </c>
      <c r="B4445" s="2">
        <v>7</v>
      </c>
      <c r="C4445" s="2" t="s">
        <v>3439</v>
      </c>
      <c r="D4445" s="23" t="s">
        <v>1629</v>
      </c>
      <c r="E4445" s="2" t="s">
        <v>109</v>
      </c>
      <c r="F4445" s="2" t="s">
        <v>478</v>
      </c>
      <c r="G4445" s="2">
        <v>504161342</v>
      </c>
      <c r="H4445" s="2" t="s">
        <v>291</v>
      </c>
      <c r="I4445" s="2" t="s">
        <v>1630</v>
      </c>
      <c r="J4445" s="2" t="s">
        <v>1631</v>
      </c>
      <c r="L4445" s="2" t="s">
        <v>294</v>
      </c>
      <c r="M4445" s="2" t="s">
        <v>81</v>
      </c>
      <c r="P4445" s="2" t="s">
        <v>94</v>
      </c>
      <c r="Q4445" s="23" t="s">
        <v>95</v>
      </c>
      <c r="R4445" s="23" t="s">
        <v>96</v>
      </c>
      <c r="S4445" s="21">
        <v>1</v>
      </c>
      <c r="T4445" s="22">
        <v>1.48</v>
      </c>
      <c r="U4445" s="2">
        <f t="shared" si="661"/>
        <v>0.34040000000000004</v>
      </c>
      <c r="V4445" s="2">
        <f t="shared" si="662"/>
        <v>1.8204</v>
      </c>
      <c r="W4445" s="2">
        <v>1.48</v>
      </c>
      <c r="X4445" s="5">
        <f t="shared" si="658"/>
        <v>0</v>
      </c>
      <c r="Z4445" s="2" t="s">
        <v>3237</v>
      </c>
      <c r="AA4445" s="2" t="s">
        <v>97</v>
      </c>
      <c r="AB4445" s="2" t="s">
        <v>77</v>
      </c>
      <c r="AC4445" s="2" t="s">
        <v>94</v>
      </c>
      <c r="AK4445" s="2">
        <f t="shared" si="659"/>
        <v>0</v>
      </c>
      <c r="AL4445" s="5">
        <f t="shared" si="660"/>
        <v>0</v>
      </c>
    </row>
  </sheetData>
  <autoFilter ref="A1:AL4455" xr:uid="{00000000-0001-0000-0000-000000000000}"/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2026-07-21T16:43:18Z</dcterms:modified>
</cp:coreProperties>
</file>